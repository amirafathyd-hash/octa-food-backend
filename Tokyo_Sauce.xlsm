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 W1/"/>
    </mc:Choice>
  </mc:AlternateContent>
  <xr:revisionPtr revIDLastSave="4807" documentId="8_{E51C3E55-E561-45FD-BC82-2236644A3293}" xr6:coauthVersionLast="47" xr6:coauthVersionMax="47" xr10:uidLastSave="{40EFDD80-3F3F-460D-B74C-7C137AA1DEC7}"/>
  <bookViews>
    <workbookView xWindow="19740" yWindow="1150" windowWidth="16670" windowHeight="18150" tabRatio="843" firstSheet="1" activeTab="1" xr2:uid="{00000000-000D-0000-FFFF-FFFF00000000}"/>
  </bookViews>
  <sheets>
    <sheet name="List of Meals" sheetId="1" r:id="rId1"/>
    <sheet name="Ordering" sheetId="16" r:id="rId2"/>
    <sheet name="Tahina Small" sheetId="6" r:id="rId3"/>
    <sheet name="Red sauce" sheetId="15" r:id="rId4"/>
    <sheet name="Cucumber yogurt sauce" sheetId="13" r:id="rId5"/>
    <sheet name="Herbal Sauce" sheetId="10" r:id="rId6"/>
    <sheet name="Coctail Sauce Dip In " sheetId="12" r:id="rId7"/>
    <sheet name="Red sauce Big" sheetId="19" r:id="rId8"/>
    <sheet name="Tahina Big" sheetId="7" r:id="rId9"/>
    <sheet name="Coctail Sauce Weight" sheetId="11" r:id="rId10"/>
    <sheet name="Coctail Sauce Dip In  (2)" sheetId="17" r:id="rId11"/>
    <sheet name="Coctail Sauce Weight (3)" sheetId="33" r:id="rId12"/>
    <sheet name="Cucumber Pickle" sheetId="4" r:id="rId13"/>
    <sheet name="Cucumber yogurt sauce (2)" sheetId="18" r:id="rId14"/>
    <sheet name="Red sauce Big (2)" sheetId="14" r:id="rId15"/>
    <sheet name="Tahina Big (2)" sheetId="21" r:id="rId16"/>
    <sheet name="Red sauce Big (3)" sheetId="20" r:id="rId17"/>
    <sheet name="Coctail Sauce Dip In  (3)" sheetId="22" r:id="rId18"/>
    <sheet name="Coctail Sauce Weight (2)" sheetId="31" r:id="rId19"/>
    <sheet name="Mixed Pickle" sheetId="5" r:id="rId20"/>
    <sheet name="Cucumber yogurt sauce (3)" sheetId="23" r:id="rId21"/>
    <sheet name="Shabat Sauce" sheetId="8" r:id="rId22"/>
    <sheet name="Biryani Yoghrt sauce" sheetId="9" r:id="rId23"/>
    <sheet name="Coctail Sauce Dip In  (4)" sheetId="24" r:id="rId24"/>
    <sheet name="Coctail Sauce Weight (5)" sheetId="35" r:id="rId25"/>
    <sheet name="Red sauce Big (4)" sheetId="25" r:id="rId26"/>
    <sheet name="Cucumber yogurt sauce (4)" sheetId="26" r:id="rId27"/>
    <sheet name="Coctail Sauce Weight (4)" sheetId="34" r:id="rId28"/>
    <sheet name="Sumak Onion" sheetId="3" r:id="rId29"/>
    <sheet name="Tahina Small (2)" sheetId="27" r:id="rId30"/>
    <sheet name="Red sauce (2)" sheetId="28" r:id="rId31"/>
    <sheet name="Red sauce Big (5)" sheetId="29" r:id="rId32"/>
    <sheet name="Cucumber yogurt sauce (5)" sheetId="30" r:id="rId33"/>
  </sheets>
  <definedNames>
    <definedName name="_xlnm._FilterDatabase" localSheetId="1" hidden="1">Ordering!$A$1:$O$35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9" i="16" l="1"/>
  <c r="O29" i="16" s="1"/>
  <c r="L31" i="16"/>
  <c r="O31" i="16" s="1"/>
  <c r="L30" i="16"/>
  <c r="O30" i="16" s="1"/>
  <c r="L32" i="16"/>
  <c r="O32" i="16" s="1"/>
  <c r="S13" i="8"/>
  <c r="L35" i="16"/>
  <c r="O35" i="16" s="1"/>
  <c r="L33" i="16"/>
  <c r="O33" i="16" s="1"/>
  <c r="S13" i="5"/>
  <c r="S13" i="31"/>
  <c r="S13" i="22"/>
  <c r="S13" i="20"/>
  <c r="S13" i="14"/>
  <c r="S13" i="17"/>
  <c r="S13" i="11"/>
  <c r="S13" i="19"/>
  <c r="S13" i="12"/>
  <c r="Q13" i="6"/>
  <c r="Q13" i="27"/>
  <c r="S13" i="3"/>
  <c r="S13" i="34"/>
  <c r="S13" i="26"/>
  <c r="K30" i="16"/>
  <c r="N30" i="16" s="1"/>
  <c r="K35" i="16"/>
  <c r="N35" i="16" s="1"/>
  <c r="L34" i="16"/>
  <c r="O34" i="16" s="1"/>
  <c r="K34" i="16"/>
  <c r="N34" i="16" s="1"/>
  <c r="K33" i="16"/>
  <c r="N33" i="16" s="1"/>
  <c r="K32" i="16"/>
  <c r="N32" i="16" s="1"/>
  <c r="K31" i="16"/>
  <c r="N31" i="16" s="1"/>
  <c r="K29" i="16"/>
  <c r="N29" i="16" s="1"/>
  <c r="K27" i="16"/>
  <c r="N27" i="16" s="1"/>
  <c r="L27" i="16"/>
  <c r="O27" i="16" s="1"/>
  <c r="K24" i="16"/>
  <c r="N24" i="16" s="1"/>
  <c r="L24" i="16"/>
  <c r="O24" i="16" s="1"/>
  <c r="K25" i="16"/>
  <c r="N25" i="16" s="1"/>
  <c r="L25" i="16"/>
  <c r="O25" i="16" s="1"/>
  <c r="L23" i="16"/>
  <c r="O23" i="16" s="1"/>
  <c r="K23" i="16"/>
  <c r="N23" i="16" s="1"/>
  <c r="L21" i="16"/>
  <c r="O21" i="16" s="1"/>
  <c r="K21" i="16"/>
  <c r="N21" i="16" s="1"/>
  <c r="K15" i="16"/>
  <c r="N15" i="16" s="1"/>
  <c r="L15" i="16"/>
  <c r="O15" i="16" s="1"/>
  <c r="K16" i="16"/>
  <c r="N16" i="16" s="1"/>
  <c r="L16" i="16"/>
  <c r="O16" i="16" s="1"/>
  <c r="K17" i="16"/>
  <c r="N17" i="16" s="1"/>
  <c r="L17" i="16"/>
  <c r="O17" i="16" s="1"/>
  <c r="K18" i="16"/>
  <c r="N18" i="16" s="1"/>
  <c r="L18" i="16"/>
  <c r="O18" i="16" s="1"/>
  <c r="K19" i="16"/>
  <c r="N19" i="16" s="1"/>
  <c r="L19" i="16"/>
  <c r="O19" i="16" s="1"/>
  <c r="L14" i="16"/>
  <c r="O14" i="16" s="1"/>
  <c r="K14" i="16"/>
  <c r="N14" i="16" s="1"/>
  <c r="L12" i="16"/>
  <c r="O12" i="16" s="1"/>
  <c r="K12" i="16"/>
  <c r="N12" i="16" s="1"/>
  <c r="K8" i="16"/>
  <c r="N8" i="16" s="1"/>
  <c r="L8" i="16"/>
  <c r="O8" i="16" s="1"/>
  <c r="K5" i="16"/>
  <c r="N5" i="16" s="1"/>
  <c r="L5" i="16"/>
  <c r="O5" i="16" s="1"/>
  <c r="L3" i="16"/>
  <c r="O3" i="16" s="1"/>
  <c r="K3" i="16"/>
  <c r="N3" i="16" s="1"/>
  <c r="I6" i="6" l="1"/>
  <c r="I7" i="6"/>
  <c r="I8" i="6"/>
  <c r="J8" i="6"/>
  <c r="I9" i="6"/>
  <c r="I10" i="6"/>
  <c r="I6" i="15"/>
  <c r="I7" i="15"/>
  <c r="I8" i="15"/>
  <c r="I9" i="15"/>
  <c r="I10" i="15"/>
  <c r="J10" i="15"/>
  <c r="I6" i="13"/>
  <c r="I7" i="13"/>
  <c r="I8" i="13"/>
  <c r="I9" i="13"/>
  <c r="J9" i="13"/>
  <c r="I10" i="13"/>
  <c r="I6" i="10"/>
  <c r="I7" i="10"/>
  <c r="I8" i="10"/>
  <c r="I9" i="10"/>
  <c r="I6" i="12"/>
  <c r="I7" i="12"/>
  <c r="I8" i="12"/>
  <c r="I6" i="19"/>
  <c r="I7" i="19"/>
  <c r="I8" i="19"/>
  <c r="I9" i="19"/>
  <c r="I10" i="19"/>
  <c r="J10" i="19"/>
  <c r="I6" i="7"/>
  <c r="I7" i="7"/>
  <c r="I8" i="7"/>
  <c r="J8" i="7"/>
  <c r="I9" i="7"/>
  <c r="I10" i="7"/>
  <c r="I6" i="11"/>
  <c r="I7" i="11"/>
  <c r="I8" i="11"/>
  <c r="I6" i="17"/>
  <c r="I7" i="17"/>
  <c r="I8" i="17"/>
  <c r="I6" i="33"/>
  <c r="I7" i="33"/>
  <c r="I8" i="33"/>
  <c r="I6" i="18"/>
  <c r="I7" i="18"/>
  <c r="I8" i="18"/>
  <c r="I9" i="18"/>
  <c r="J9" i="18"/>
  <c r="I10" i="18"/>
  <c r="I6" i="14"/>
  <c r="I7" i="14"/>
  <c r="I8" i="14"/>
  <c r="I9" i="14"/>
  <c r="I10" i="14"/>
  <c r="J10" i="14"/>
  <c r="I6" i="21"/>
  <c r="I7" i="21"/>
  <c r="I8" i="21"/>
  <c r="J8" i="21"/>
  <c r="I9" i="21"/>
  <c r="I10" i="21"/>
  <c r="I6" i="20"/>
  <c r="I7" i="20"/>
  <c r="I8" i="20"/>
  <c r="I9" i="20"/>
  <c r="I10" i="20"/>
  <c r="J10" i="20"/>
  <c r="I6" i="22"/>
  <c r="I7" i="22"/>
  <c r="I6" i="31"/>
  <c r="I7" i="31"/>
  <c r="I8" i="31"/>
  <c r="I6" i="5"/>
  <c r="I7" i="5"/>
  <c r="I6" i="23"/>
  <c r="I7" i="23"/>
  <c r="I8" i="23"/>
  <c r="I9" i="23"/>
  <c r="J9" i="23"/>
  <c r="I10" i="23"/>
  <c r="I6" i="8"/>
  <c r="I7" i="8"/>
  <c r="I8" i="8"/>
  <c r="I6" i="9"/>
  <c r="I7" i="9"/>
  <c r="I8" i="9"/>
  <c r="I9" i="9"/>
  <c r="J9" i="9"/>
  <c r="I10" i="9"/>
  <c r="I6" i="24"/>
  <c r="I7" i="24"/>
  <c r="I8" i="24"/>
  <c r="I6" i="35"/>
  <c r="I7" i="35"/>
  <c r="I8" i="35"/>
  <c r="I6" i="25"/>
  <c r="I7" i="25"/>
  <c r="I8" i="25"/>
  <c r="I9" i="25"/>
  <c r="I10" i="25"/>
  <c r="J10" i="25"/>
  <c r="I6" i="26"/>
  <c r="I7" i="26"/>
  <c r="I8" i="26"/>
  <c r="I9" i="26"/>
  <c r="J9" i="26"/>
  <c r="I10" i="26"/>
  <c r="I6" i="34"/>
  <c r="I7" i="34"/>
  <c r="I8" i="34"/>
  <c r="I6" i="3"/>
  <c r="I6" i="27"/>
  <c r="I7" i="27"/>
  <c r="I8" i="27"/>
  <c r="J8" i="27"/>
  <c r="I9" i="27"/>
  <c r="I10" i="27"/>
  <c r="I6" i="28"/>
  <c r="I7" i="28"/>
  <c r="I8" i="28"/>
  <c r="I9" i="28"/>
  <c r="I10" i="28"/>
  <c r="J10" i="28"/>
  <c r="I6" i="29"/>
  <c r="I7" i="29"/>
  <c r="I8" i="29"/>
  <c r="I9" i="29"/>
  <c r="I10" i="29"/>
  <c r="J10" i="29"/>
  <c r="I6" i="30"/>
  <c r="I7" i="30"/>
  <c r="I8" i="30"/>
  <c r="I9" i="30"/>
  <c r="J9" i="30"/>
  <c r="I10" i="30"/>
  <c r="I5" i="6"/>
  <c r="I5" i="15"/>
  <c r="I5" i="13"/>
  <c r="I5" i="10"/>
  <c r="I5" i="12"/>
  <c r="I5" i="19"/>
  <c r="I5" i="7"/>
  <c r="I5" i="11"/>
  <c r="I5" i="17"/>
  <c r="I5" i="33"/>
  <c r="I5" i="4"/>
  <c r="I5" i="18"/>
  <c r="I5" i="14"/>
  <c r="I5" i="21"/>
  <c r="I5" i="20"/>
  <c r="I5" i="22"/>
  <c r="I5" i="31"/>
  <c r="I5" i="5"/>
  <c r="I5" i="23"/>
  <c r="I5" i="8"/>
  <c r="I5" i="9"/>
  <c r="I5" i="24"/>
  <c r="I5" i="35"/>
  <c r="I5" i="25"/>
  <c r="I5" i="26"/>
  <c r="I5" i="34"/>
  <c r="I5" i="3"/>
  <c r="I5" i="27"/>
  <c r="I5" i="28"/>
  <c r="I5" i="29"/>
  <c r="I5" i="30"/>
  <c r="S13" i="35"/>
  <c r="S13" i="4"/>
  <c r="S13" i="33"/>
  <c r="S13" i="15"/>
  <c r="J25" i="16"/>
  <c r="J5" i="5" s="1"/>
  <c r="J24" i="16"/>
  <c r="J7" i="5" s="1"/>
  <c r="J23" i="16"/>
  <c r="J6" i="5" s="1"/>
  <c r="J5" i="4" l="1"/>
  <c r="J14" i="16"/>
  <c r="J5" i="3" s="1"/>
  <c r="J5" i="16"/>
  <c r="J31" i="16"/>
  <c r="J5" i="8" s="1"/>
  <c r="J29" i="16"/>
  <c r="J5" i="9" s="1"/>
  <c r="J18" i="16"/>
  <c r="J27" i="16"/>
  <c r="J9" i="10" l="1"/>
  <c r="J5" i="6"/>
  <c r="J5" i="7"/>
  <c r="J5" i="21"/>
  <c r="J5" i="27"/>
  <c r="J7" i="8"/>
  <c r="J9" i="19"/>
  <c r="J10" i="9"/>
  <c r="J10" i="26"/>
  <c r="J9" i="15"/>
  <c r="J7" i="21"/>
  <c r="J9" i="28"/>
  <c r="J10" i="13"/>
  <c r="J7" i="27"/>
  <c r="J7" i="6"/>
  <c r="J10" i="18"/>
  <c r="J9" i="20"/>
  <c r="J9" i="25"/>
  <c r="J9" i="29"/>
  <c r="J10" i="30"/>
  <c r="J7" i="7"/>
  <c r="J9" i="14"/>
  <c r="J10" i="23"/>
  <c r="J8" i="13"/>
  <c r="J8" i="26"/>
  <c r="J8" i="18"/>
  <c r="J8" i="23"/>
  <c r="J8" i="30"/>
  <c r="J7" i="15" l="1"/>
  <c r="J7" i="28"/>
  <c r="J7" i="29"/>
  <c r="J7" i="19"/>
  <c r="J7" i="20"/>
  <c r="J7" i="14"/>
  <c r="J6" i="9"/>
  <c r="J7" i="25"/>
  <c r="J8" i="16"/>
  <c r="G6" i="16"/>
  <c r="G9" i="16"/>
  <c r="G7" i="16"/>
  <c r="G10" i="16"/>
  <c r="J6" i="16" l="1"/>
  <c r="K6" i="16"/>
  <c r="N6" i="16" s="1"/>
  <c r="L6" i="16"/>
  <c r="O6" i="16" s="1"/>
  <c r="J10" i="16"/>
  <c r="J6" i="24" s="1"/>
  <c r="L10" i="16"/>
  <c r="O10" i="16" s="1"/>
  <c r="K10" i="16"/>
  <c r="N10" i="16" s="1"/>
  <c r="J7" i="16"/>
  <c r="J7" i="31" s="1"/>
  <c r="K7" i="16"/>
  <c r="N7" i="16" s="1"/>
  <c r="L7" i="16"/>
  <c r="O7" i="16" s="1"/>
  <c r="J9" i="16"/>
  <c r="K9" i="16"/>
  <c r="N9" i="16" s="1"/>
  <c r="L9" i="16"/>
  <c r="O9" i="16" s="1"/>
  <c r="J10" i="6"/>
  <c r="J7" i="10"/>
  <c r="J10" i="27"/>
  <c r="J10" i="7"/>
  <c r="J10" i="21"/>
  <c r="J5" i="11"/>
  <c r="J5" i="17"/>
  <c r="J5" i="24"/>
  <c r="J5" i="33"/>
  <c r="J5" i="12"/>
  <c r="J5" i="35"/>
  <c r="J5" i="10"/>
  <c r="J5" i="22"/>
  <c r="J5" i="31"/>
  <c r="J5" i="34"/>
  <c r="J7" i="22"/>
  <c r="J8" i="17"/>
  <c r="J8" i="31"/>
  <c r="J8" i="12"/>
  <c r="J8" i="24"/>
  <c r="J8" i="33"/>
  <c r="J8" i="34"/>
  <c r="J6" i="10"/>
  <c r="J8" i="11"/>
  <c r="J8" i="35"/>
  <c r="J7" i="24"/>
  <c r="J7" i="17"/>
  <c r="J7" i="35"/>
  <c r="J6" i="34"/>
  <c r="J21" i="16"/>
  <c r="J33" i="16"/>
  <c r="J35" i="16"/>
  <c r="J32" i="16"/>
  <c r="J34" i="16"/>
  <c r="J6" i="3" s="1"/>
  <c r="J3" i="16"/>
  <c r="J6" i="31" l="1"/>
  <c r="J7" i="12"/>
  <c r="J6" i="11"/>
  <c r="J6" i="33"/>
  <c r="J7" i="33"/>
  <c r="J6" i="22"/>
  <c r="J6" i="12"/>
  <c r="J7" i="34"/>
  <c r="J6" i="35"/>
  <c r="J7" i="11"/>
  <c r="J6" i="17"/>
  <c r="J8" i="19"/>
  <c r="J8" i="20"/>
  <c r="J8" i="15"/>
  <c r="J8" i="14"/>
  <c r="J8" i="29"/>
  <c r="J8" i="25"/>
  <c r="J8" i="28"/>
  <c r="J6" i="14"/>
  <c r="J6" i="28"/>
  <c r="J6" i="15"/>
  <c r="J6" i="19"/>
  <c r="J6" i="29"/>
  <c r="J6" i="20"/>
  <c r="J6" i="25"/>
  <c r="J5" i="20"/>
  <c r="J5" i="19"/>
  <c r="J5" i="15"/>
  <c r="J5" i="14"/>
  <c r="J5" i="25"/>
  <c r="J5" i="28"/>
  <c r="J5" i="29"/>
  <c r="J6" i="23"/>
  <c r="J6" i="18"/>
  <c r="J6" i="30"/>
  <c r="J6" i="26"/>
  <c r="J6" i="13"/>
  <c r="J6" i="8"/>
  <c r="J5" i="13"/>
  <c r="J5" i="18"/>
  <c r="J5" i="26"/>
  <c r="J5" i="23"/>
  <c r="J7" i="9"/>
  <c r="J5" i="30"/>
  <c r="J19" i="16"/>
  <c r="J8" i="8" s="1"/>
  <c r="J15" i="16"/>
  <c r="J17" i="16"/>
  <c r="J8" i="10" s="1"/>
  <c r="J16" i="16"/>
  <c r="S15" i="20"/>
  <c r="D1" i="20" s="1"/>
  <c r="S15" i="19"/>
  <c r="Q15" i="6"/>
  <c r="M10" i="35"/>
  <c r="M10" i="34"/>
  <c r="M10" i="33"/>
  <c r="M10" i="31"/>
  <c r="S15" i="30"/>
  <c r="D1" i="30" s="1"/>
  <c r="N12" i="30"/>
  <c r="D10" i="30"/>
  <c r="D9" i="30"/>
  <c r="D8" i="30"/>
  <c r="D7" i="30"/>
  <c r="D6" i="30"/>
  <c r="D5" i="30"/>
  <c r="S15" i="29"/>
  <c r="O12" i="29"/>
  <c r="D10" i="29"/>
  <c r="D9" i="29"/>
  <c r="D8" i="29"/>
  <c r="D7" i="29"/>
  <c r="D6" i="29"/>
  <c r="D5" i="29"/>
  <c r="S15" i="28"/>
  <c r="O12" i="28"/>
  <c r="D10" i="28"/>
  <c r="D9" i="28"/>
  <c r="D8" i="28"/>
  <c r="D7" i="28"/>
  <c r="D6" i="28"/>
  <c r="D5" i="28"/>
  <c r="Q15" i="27"/>
  <c r="D1" i="27" s="1"/>
  <c r="M14" i="27"/>
  <c r="S15" i="26"/>
  <c r="N12" i="26"/>
  <c r="D10" i="26"/>
  <c r="D9" i="26"/>
  <c r="D8" i="26"/>
  <c r="D7" i="26"/>
  <c r="D6" i="26"/>
  <c r="D5" i="26"/>
  <c r="S15" i="25"/>
  <c r="D1" i="25" s="1"/>
  <c r="O12" i="25"/>
  <c r="D9" i="25"/>
  <c r="D8" i="25"/>
  <c r="D7" i="25"/>
  <c r="D6" i="25"/>
  <c r="D5" i="25"/>
  <c r="M10" i="24"/>
  <c r="D8" i="24"/>
  <c r="D7" i="24"/>
  <c r="D6" i="24"/>
  <c r="D5" i="24"/>
  <c r="S15" i="23"/>
  <c r="N12" i="23"/>
  <c r="D10" i="23"/>
  <c r="D9" i="23"/>
  <c r="D8" i="23"/>
  <c r="D7" i="23"/>
  <c r="D6" i="23"/>
  <c r="D5" i="23"/>
  <c r="M10" i="22"/>
  <c r="D7" i="22"/>
  <c r="D6" i="22"/>
  <c r="D5" i="22"/>
  <c r="Q15" i="21"/>
  <c r="D1" i="21" s="1"/>
  <c r="M14" i="21"/>
  <c r="O12" i="20"/>
  <c r="D10" i="20"/>
  <c r="D9" i="20"/>
  <c r="D8" i="20"/>
  <c r="D7" i="20"/>
  <c r="D6" i="20"/>
  <c r="D5" i="20"/>
  <c r="O12" i="19"/>
  <c r="D10" i="19"/>
  <c r="D9" i="19"/>
  <c r="D8" i="19"/>
  <c r="D7" i="19"/>
  <c r="D6" i="19"/>
  <c r="D5" i="19"/>
  <c r="S15" i="18"/>
  <c r="N12" i="18"/>
  <c r="S15" i="17"/>
  <c r="M10" i="17"/>
  <c r="D8" i="17"/>
  <c r="D7" i="17"/>
  <c r="D6" i="17"/>
  <c r="D5" i="17"/>
  <c r="N29" i="1"/>
  <c r="N28" i="1"/>
  <c r="N27" i="1"/>
  <c r="N24" i="1"/>
  <c r="N25" i="1"/>
  <c r="N26" i="1"/>
  <c r="I106" i="1"/>
  <c r="M11" i="11"/>
  <c r="D8" i="11"/>
  <c r="D7" i="11"/>
  <c r="D6" i="11"/>
  <c r="D5" i="11"/>
  <c r="J76" i="1"/>
  <c r="L53" i="1"/>
  <c r="L52" i="1"/>
  <c r="L51" i="1"/>
  <c r="L50" i="1"/>
  <c r="I58" i="1"/>
  <c r="L23" i="1"/>
  <c r="L19" i="1"/>
  <c r="O12" i="15"/>
  <c r="S15" i="14"/>
  <c r="O12" i="14"/>
  <c r="S15" i="13"/>
  <c r="N12" i="13"/>
  <c r="D9" i="13"/>
  <c r="D8" i="13"/>
  <c r="D7" i="13"/>
  <c r="D6" i="13"/>
  <c r="S15" i="12"/>
  <c r="F1" i="12" s="1"/>
  <c r="M10" i="12"/>
  <c r="D8" i="12"/>
  <c r="D7" i="12"/>
  <c r="D6" i="12"/>
  <c r="D5" i="12"/>
  <c r="M10" i="11"/>
  <c r="S15" i="10"/>
  <c r="D1" i="10" s="1"/>
  <c r="N12" i="10"/>
  <c r="D8" i="10"/>
  <c r="D7" i="10"/>
  <c r="D6" i="10"/>
  <c r="D5" i="10"/>
  <c r="S15" i="9"/>
  <c r="N12" i="9"/>
  <c r="D9" i="9"/>
  <c r="D8" i="9"/>
  <c r="D7" i="9"/>
  <c r="D6" i="9"/>
  <c r="D5" i="9"/>
  <c r="N12" i="8"/>
  <c r="D7" i="8"/>
  <c r="D6" i="8"/>
  <c r="D5" i="8"/>
  <c r="Q15" i="7"/>
  <c r="D1" i="7" s="1"/>
  <c r="M14" i="7"/>
  <c r="M14" i="6"/>
  <c r="D7" i="5"/>
  <c r="D6" i="5"/>
  <c r="D5" i="5"/>
  <c r="N11" i="3"/>
  <c r="S15" i="4"/>
  <c r="D1" i="4" l="1"/>
  <c r="J9" i="7"/>
  <c r="J9" i="6"/>
  <c r="J9" i="21"/>
  <c r="J9" i="27"/>
  <c r="J6" i="6"/>
  <c r="J7" i="13"/>
  <c r="J8" i="9"/>
  <c r="J6" i="21"/>
  <c r="J7" i="26"/>
  <c r="J6" i="27"/>
  <c r="J6" i="7"/>
  <c r="J7" i="18"/>
  <c r="J7" i="23"/>
  <c r="J7" i="30"/>
  <c r="S15" i="5"/>
  <c r="S15" i="22"/>
  <c r="F1" i="22" s="1"/>
  <c r="D1" i="19"/>
  <c r="S17" i="35"/>
  <c r="S15" i="35"/>
  <c r="F1" i="35" s="1"/>
  <c r="M11" i="35"/>
  <c r="S17" i="34"/>
  <c r="S15" i="34"/>
  <c r="F1" i="34" s="1"/>
  <c r="E8" i="34" s="1"/>
  <c r="M11" i="34"/>
  <c r="D1" i="28"/>
  <c r="G1" i="28" s="1"/>
  <c r="G1" i="27"/>
  <c r="S15" i="3"/>
  <c r="D1" i="26"/>
  <c r="S17" i="33"/>
  <c r="M11" i="33"/>
  <c r="S15" i="33"/>
  <c r="F1" i="33" s="1"/>
  <c r="M11" i="31"/>
  <c r="S15" i="24"/>
  <c r="F1" i="24" s="1"/>
  <c r="D1" i="23"/>
  <c r="F1" i="17"/>
  <c r="I1" i="17" s="1"/>
  <c r="S15" i="15"/>
  <c r="G1" i="30"/>
  <c r="D1" i="29"/>
  <c r="G1" i="29" s="1"/>
  <c r="E6" i="28"/>
  <c r="G6" i="28" s="1"/>
  <c r="H6" i="28" s="1"/>
  <c r="K6" i="28" s="1"/>
  <c r="L6" i="28" s="1"/>
  <c r="E10" i="28"/>
  <c r="G10" i="28" s="1"/>
  <c r="H10" i="28" s="1"/>
  <c r="K10" i="28" s="1"/>
  <c r="L10" i="28" s="1"/>
  <c r="E9" i="28"/>
  <c r="G9" i="28" s="1"/>
  <c r="H9" i="28" s="1"/>
  <c r="K9" i="28" s="1"/>
  <c r="L9" i="28" s="1"/>
  <c r="E5" i="28"/>
  <c r="G5" i="28" s="1"/>
  <c r="H5" i="28" s="1"/>
  <c r="K5" i="28" s="1"/>
  <c r="L5" i="28" s="1"/>
  <c r="M15" i="27"/>
  <c r="E9" i="27"/>
  <c r="E6" i="27"/>
  <c r="D10" i="25"/>
  <c r="G1" i="25"/>
  <c r="M11" i="24"/>
  <c r="M11" i="22"/>
  <c r="M15" i="21"/>
  <c r="G1" i="21"/>
  <c r="G1" i="20"/>
  <c r="D9" i="18"/>
  <c r="D7" i="18"/>
  <c r="D6" i="18"/>
  <c r="D5" i="18"/>
  <c r="D1" i="18"/>
  <c r="G1" i="18" s="1"/>
  <c r="D8" i="18"/>
  <c r="D10" i="18"/>
  <c r="M11" i="17"/>
  <c r="S15" i="11"/>
  <c r="F1" i="11" s="1"/>
  <c r="S17" i="11"/>
  <c r="D1" i="14"/>
  <c r="D1" i="9"/>
  <c r="S15" i="8"/>
  <c r="D10" i="15"/>
  <c r="D9" i="15"/>
  <c r="D5" i="13"/>
  <c r="D1" i="13"/>
  <c r="G1" i="13" s="1"/>
  <c r="M11" i="12"/>
  <c r="D1" i="6"/>
  <c r="G1" i="6" s="1"/>
  <c r="D7" i="14"/>
  <c r="D10" i="13"/>
  <c r="I1" i="12"/>
  <c r="M15" i="7"/>
  <c r="D5" i="14"/>
  <c r="D6" i="15"/>
  <c r="D10" i="14"/>
  <c r="D8" i="14"/>
  <c r="D8" i="15"/>
  <c r="D5" i="15"/>
  <c r="D7" i="15"/>
  <c r="D9" i="14"/>
  <c r="D6" i="14"/>
  <c r="D9" i="10"/>
  <c r="M15" i="6"/>
  <c r="N12" i="3"/>
  <c r="G1" i="10"/>
  <c r="D10" i="9"/>
  <c r="D8" i="8"/>
  <c r="G1" i="7"/>
  <c r="G1" i="4"/>
  <c r="E5" i="4" s="1"/>
  <c r="G5" i="4" s="1"/>
  <c r="H5" i="4" s="1"/>
  <c r="K5" i="4" s="1"/>
  <c r="L5" i="4" s="1"/>
  <c r="S16" i="4" s="1"/>
  <c r="D1" i="8" l="1"/>
  <c r="Y8" i="4"/>
  <c r="E7" i="28"/>
  <c r="G7" i="28" s="1"/>
  <c r="H7" i="28" s="1"/>
  <c r="K7" i="28" s="1"/>
  <c r="L7" i="28" s="1"/>
  <c r="E8" i="28"/>
  <c r="G8" i="28" s="1"/>
  <c r="H8" i="28" s="1"/>
  <c r="K8" i="28" s="1"/>
  <c r="L8" i="28" s="1"/>
  <c r="E5" i="27"/>
  <c r="E10" i="27"/>
  <c r="E7" i="27"/>
  <c r="E8" i="27"/>
  <c r="S17" i="31"/>
  <c r="S15" i="31"/>
  <c r="F1" i="31" s="1"/>
  <c r="E5" i="34"/>
  <c r="E7" i="34"/>
  <c r="E6" i="34"/>
  <c r="E6" i="35"/>
  <c r="I1" i="24"/>
  <c r="D1" i="5"/>
  <c r="I1" i="22"/>
  <c r="G1" i="19"/>
  <c r="E8" i="35"/>
  <c r="E5" i="35"/>
  <c r="D6" i="35"/>
  <c r="D5" i="35"/>
  <c r="D7" i="35"/>
  <c r="D8" i="35"/>
  <c r="E7" i="35"/>
  <c r="D8" i="34"/>
  <c r="G8" i="34" s="1"/>
  <c r="H8" i="34" s="1"/>
  <c r="K8" i="34" s="1"/>
  <c r="L8" i="34" s="1"/>
  <c r="D5" i="34"/>
  <c r="D6" i="34"/>
  <c r="D7" i="34"/>
  <c r="G7" i="34" s="1"/>
  <c r="H7" i="34" s="1"/>
  <c r="K7" i="34" s="1"/>
  <c r="L7" i="34" s="1"/>
  <c r="D1" i="3"/>
  <c r="G1" i="3" s="1"/>
  <c r="G1" i="26"/>
  <c r="D7" i="33"/>
  <c r="D8" i="33"/>
  <c r="D6" i="33"/>
  <c r="D5" i="33"/>
  <c r="E5" i="33"/>
  <c r="G5" i="33" s="1"/>
  <c r="H5" i="33" s="1"/>
  <c r="K5" i="33" s="1"/>
  <c r="L5" i="33" s="1"/>
  <c r="E6" i="33"/>
  <c r="G6" i="33" s="1"/>
  <c r="H6" i="33" s="1"/>
  <c r="K6" i="33" s="1"/>
  <c r="L6" i="33" s="1"/>
  <c r="E7" i="33"/>
  <c r="G7" i="33" s="1"/>
  <c r="H7" i="33" s="1"/>
  <c r="K7" i="33" s="1"/>
  <c r="L7" i="33" s="1"/>
  <c r="E8" i="33"/>
  <c r="G8" i="33" s="1"/>
  <c r="H8" i="33" s="1"/>
  <c r="K8" i="33" s="1"/>
  <c r="L8" i="33" s="1"/>
  <c r="D7" i="31"/>
  <c r="D8" i="31"/>
  <c r="D5" i="31"/>
  <c r="D6" i="31"/>
  <c r="G1" i="23"/>
  <c r="E6" i="11"/>
  <c r="D1" i="15"/>
  <c r="G1" i="15" s="1"/>
  <c r="E5" i="30"/>
  <c r="G5" i="30" s="1"/>
  <c r="H5" i="30" s="1"/>
  <c r="K5" i="30" s="1"/>
  <c r="L5" i="30" s="1"/>
  <c r="E6" i="30"/>
  <c r="G6" i="30" s="1"/>
  <c r="H6" i="30" s="1"/>
  <c r="K6" i="30" s="1"/>
  <c r="L6" i="30" s="1"/>
  <c r="E7" i="30"/>
  <c r="G7" i="30" s="1"/>
  <c r="H7" i="30" s="1"/>
  <c r="K7" i="30" s="1"/>
  <c r="L7" i="30" s="1"/>
  <c r="E8" i="30"/>
  <c r="G8" i="30" s="1"/>
  <c r="H8" i="30" s="1"/>
  <c r="K8" i="30" s="1"/>
  <c r="L8" i="30" s="1"/>
  <c r="E9" i="30"/>
  <c r="G9" i="30" s="1"/>
  <c r="H9" i="30" s="1"/>
  <c r="K9" i="30" s="1"/>
  <c r="L9" i="30" s="1"/>
  <c r="E10" i="30"/>
  <c r="G10" i="30" s="1"/>
  <c r="H10" i="30" s="1"/>
  <c r="K10" i="30" s="1"/>
  <c r="L10" i="30" s="1"/>
  <c r="E5" i="29"/>
  <c r="G5" i="29" s="1"/>
  <c r="H5" i="29" s="1"/>
  <c r="K5" i="29" s="1"/>
  <c r="L5" i="29" s="1"/>
  <c r="E6" i="29"/>
  <c r="G6" i="29" s="1"/>
  <c r="H6" i="29" s="1"/>
  <c r="K6" i="29" s="1"/>
  <c r="L6" i="29" s="1"/>
  <c r="E9" i="29"/>
  <c r="G9" i="29" s="1"/>
  <c r="H9" i="29" s="1"/>
  <c r="K9" i="29" s="1"/>
  <c r="L9" i="29" s="1"/>
  <c r="E7" i="29"/>
  <c r="G7" i="29" s="1"/>
  <c r="H7" i="29" s="1"/>
  <c r="K7" i="29" s="1"/>
  <c r="L7" i="29" s="1"/>
  <c r="E8" i="29"/>
  <c r="G8" i="29" s="1"/>
  <c r="H8" i="29" s="1"/>
  <c r="K8" i="29" s="1"/>
  <c r="L8" i="29" s="1"/>
  <c r="E10" i="29"/>
  <c r="G10" i="29" s="1"/>
  <c r="H10" i="29" s="1"/>
  <c r="K10" i="29" s="1"/>
  <c r="L10" i="29" s="1"/>
  <c r="D5" i="27"/>
  <c r="G5" i="27" s="1"/>
  <c r="H5" i="27" s="1"/>
  <c r="K5" i="27" s="1"/>
  <c r="L5" i="27" s="1"/>
  <c r="D6" i="27"/>
  <c r="G6" i="27" s="1"/>
  <c r="H6" i="27" s="1"/>
  <c r="K6" i="27" s="1"/>
  <c r="L6" i="27" s="1"/>
  <c r="D7" i="27"/>
  <c r="G7" i="27" s="1"/>
  <c r="H7" i="27" s="1"/>
  <c r="K7" i="27" s="1"/>
  <c r="L7" i="27" s="1"/>
  <c r="D8" i="27"/>
  <c r="G8" i="27" s="1"/>
  <c r="H8" i="27" s="1"/>
  <c r="K8" i="27" s="1"/>
  <c r="L8" i="27" s="1"/>
  <c r="D9" i="27"/>
  <c r="G9" i="27" s="1"/>
  <c r="H9" i="27" s="1"/>
  <c r="K9" i="27" s="1"/>
  <c r="L9" i="27" s="1"/>
  <c r="D10" i="27"/>
  <c r="G10" i="27" s="1"/>
  <c r="H10" i="27" s="1"/>
  <c r="K10" i="27" s="1"/>
  <c r="L10" i="27" s="1"/>
  <c r="E7" i="25"/>
  <c r="G7" i="25" s="1"/>
  <c r="H7" i="25" s="1"/>
  <c r="K7" i="25" s="1"/>
  <c r="L7" i="25" s="1"/>
  <c r="E9" i="25"/>
  <c r="G9" i="25" s="1"/>
  <c r="H9" i="25" s="1"/>
  <c r="K9" i="25" s="1"/>
  <c r="L9" i="25" s="1"/>
  <c r="E5" i="25"/>
  <c r="G5" i="25" s="1"/>
  <c r="H5" i="25" s="1"/>
  <c r="K5" i="25" s="1"/>
  <c r="L5" i="25" s="1"/>
  <c r="E10" i="25"/>
  <c r="G10" i="25" s="1"/>
  <c r="H10" i="25" s="1"/>
  <c r="K10" i="25" s="1"/>
  <c r="L10" i="25" s="1"/>
  <c r="E6" i="25"/>
  <c r="G6" i="25" s="1"/>
  <c r="H6" i="25" s="1"/>
  <c r="K6" i="25" s="1"/>
  <c r="L6" i="25" s="1"/>
  <c r="E8" i="25"/>
  <c r="G8" i="25" s="1"/>
  <c r="H8" i="25" s="1"/>
  <c r="K8" i="25" s="1"/>
  <c r="L8" i="25" s="1"/>
  <c r="D8" i="21"/>
  <c r="D6" i="21"/>
  <c r="D7" i="21"/>
  <c r="D5" i="21"/>
  <c r="D9" i="21"/>
  <c r="D10" i="21"/>
  <c r="E5" i="21"/>
  <c r="G5" i="21" s="1"/>
  <c r="H5" i="21" s="1"/>
  <c r="K5" i="21" s="1"/>
  <c r="L5" i="21" s="1"/>
  <c r="E6" i="21"/>
  <c r="G6" i="21" s="1"/>
  <c r="H6" i="21" s="1"/>
  <c r="K6" i="21" s="1"/>
  <c r="L6" i="21" s="1"/>
  <c r="E7" i="21"/>
  <c r="G7" i="21" s="1"/>
  <c r="H7" i="21" s="1"/>
  <c r="K7" i="21" s="1"/>
  <c r="L7" i="21" s="1"/>
  <c r="E8" i="21"/>
  <c r="G8" i="21" s="1"/>
  <c r="H8" i="21" s="1"/>
  <c r="K8" i="21" s="1"/>
  <c r="L8" i="21" s="1"/>
  <c r="E9" i="21"/>
  <c r="G9" i="21" s="1"/>
  <c r="H9" i="21" s="1"/>
  <c r="K9" i="21" s="1"/>
  <c r="L9" i="21" s="1"/>
  <c r="E10" i="21"/>
  <c r="G10" i="21" s="1"/>
  <c r="H10" i="21" s="1"/>
  <c r="K10" i="21" s="1"/>
  <c r="L10" i="21" s="1"/>
  <c r="E5" i="20"/>
  <c r="G5" i="20" s="1"/>
  <c r="H5" i="20" s="1"/>
  <c r="K5" i="20" s="1"/>
  <c r="L5" i="20" s="1"/>
  <c r="E8" i="20"/>
  <c r="G8" i="20" s="1"/>
  <c r="H8" i="20" s="1"/>
  <c r="K8" i="20" s="1"/>
  <c r="L8" i="20" s="1"/>
  <c r="E7" i="20"/>
  <c r="G7" i="20" s="1"/>
  <c r="H7" i="20" s="1"/>
  <c r="K7" i="20" s="1"/>
  <c r="L7" i="20" s="1"/>
  <c r="E6" i="20"/>
  <c r="G6" i="20" s="1"/>
  <c r="H6" i="20" s="1"/>
  <c r="K6" i="20" s="1"/>
  <c r="L6" i="20" s="1"/>
  <c r="E10" i="20"/>
  <c r="G10" i="20" s="1"/>
  <c r="H10" i="20" s="1"/>
  <c r="K10" i="20" s="1"/>
  <c r="L10" i="20" s="1"/>
  <c r="E9" i="20"/>
  <c r="G9" i="20" s="1"/>
  <c r="H9" i="20" s="1"/>
  <c r="K9" i="20" s="1"/>
  <c r="L9" i="20" s="1"/>
  <c r="E5" i="18"/>
  <c r="G5" i="18" s="1"/>
  <c r="H5" i="18" s="1"/>
  <c r="K5" i="18" s="1"/>
  <c r="L5" i="18" s="1"/>
  <c r="E6" i="18"/>
  <c r="G6" i="18" s="1"/>
  <c r="H6" i="18" s="1"/>
  <c r="K6" i="18" s="1"/>
  <c r="L6" i="18" s="1"/>
  <c r="E7" i="18"/>
  <c r="G7" i="18" s="1"/>
  <c r="H7" i="18" s="1"/>
  <c r="K7" i="18" s="1"/>
  <c r="L7" i="18" s="1"/>
  <c r="E8" i="18"/>
  <c r="G8" i="18" s="1"/>
  <c r="H8" i="18" s="1"/>
  <c r="K8" i="18" s="1"/>
  <c r="L8" i="18" s="1"/>
  <c r="E10" i="18"/>
  <c r="G10" i="18" s="1"/>
  <c r="H10" i="18" s="1"/>
  <c r="K10" i="18" s="1"/>
  <c r="L10" i="18" s="1"/>
  <c r="E9" i="18"/>
  <c r="G9" i="18" s="1"/>
  <c r="H9" i="18" s="1"/>
  <c r="K9" i="18" s="1"/>
  <c r="L9" i="18" s="1"/>
  <c r="E5" i="17"/>
  <c r="G5" i="17" s="1"/>
  <c r="H5" i="17" s="1"/>
  <c r="K5" i="17" s="1"/>
  <c r="L5" i="17" s="1"/>
  <c r="E7" i="17"/>
  <c r="G7" i="17" s="1"/>
  <c r="H7" i="17" s="1"/>
  <c r="K7" i="17" s="1"/>
  <c r="L7" i="17" s="1"/>
  <c r="E8" i="17"/>
  <c r="G8" i="17" s="1"/>
  <c r="H8" i="17" s="1"/>
  <c r="K8" i="17" s="1"/>
  <c r="L8" i="17" s="1"/>
  <c r="E6" i="17"/>
  <c r="G6" i="17" s="1"/>
  <c r="H6" i="17" s="1"/>
  <c r="K6" i="17" s="1"/>
  <c r="L6" i="17" s="1"/>
  <c r="E5" i="11"/>
  <c r="E7" i="11"/>
  <c r="E8" i="11"/>
  <c r="G1" i="14"/>
  <c r="G1" i="9"/>
  <c r="G1" i="8"/>
  <c r="E5" i="13"/>
  <c r="G5" i="13" s="1"/>
  <c r="H5" i="13" s="1"/>
  <c r="K5" i="13" s="1"/>
  <c r="L5" i="13" s="1"/>
  <c r="E6" i="13"/>
  <c r="G6" i="13" s="1"/>
  <c r="H6" i="13" s="1"/>
  <c r="K6" i="13" s="1"/>
  <c r="L6" i="13" s="1"/>
  <c r="E7" i="13"/>
  <c r="G7" i="13" s="1"/>
  <c r="H7" i="13" s="1"/>
  <c r="K7" i="13" s="1"/>
  <c r="L7" i="13" s="1"/>
  <c r="E8" i="13"/>
  <c r="G8" i="13" s="1"/>
  <c r="H8" i="13" s="1"/>
  <c r="K8" i="13" s="1"/>
  <c r="L8" i="13" s="1"/>
  <c r="E9" i="13"/>
  <c r="G9" i="13" s="1"/>
  <c r="H9" i="13" s="1"/>
  <c r="K9" i="13" s="1"/>
  <c r="L9" i="13" s="1"/>
  <c r="E10" i="13"/>
  <c r="G10" i="13" s="1"/>
  <c r="H10" i="13" s="1"/>
  <c r="K10" i="13" s="1"/>
  <c r="L10" i="13" s="1"/>
  <c r="E5" i="6"/>
  <c r="E6" i="6"/>
  <c r="E7" i="6"/>
  <c r="E8" i="6"/>
  <c r="E9" i="6"/>
  <c r="E10" i="6"/>
  <c r="E5" i="12"/>
  <c r="G5" i="12" s="1"/>
  <c r="H5" i="12" s="1"/>
  <c r="K5" i="12" s="1"/>
  <c r="L5" i="12" s="1"/>
  <c r="E7" i="12"/>
  <c r="G7" i="12" s="1"/>
  <c r="H7" i="12" s="1"/>
  <c r="K7" i="12" s="1"/>
  <c r="L7" i="12" s="1"/>
  <c r="E6" i="12"/>
  <c r="G6" i="12" s="1"/>
  <c r="H6" i="12" s="1"/>
  <c r="K6" i="12" s="1"/>
  <c r="L6" i="12" s="1"/>
  <c r="E8" i="12"/>
  <c r="G8" i="12" s="1"/>
  <c r="H8" i="12" s="1"/>
  <c r="K8" i="12" s="1"/>
  <c r="L8" i="12" s="1"/>
  <c r="D8" i="7"/>
  <c r="D7" i="7"/>
  <c r="D6" i="7"/>
  <c r="D9" i="7"/>
  <c r="D5" i="7"/>
  <c r="D10" i="7"/>
  <c r="D10" i="6"/>
  <c r="D5" i="6"/>
  <c r="D6" i="6"/>
  <c r="D7" i="6"/>
  <c r="D8" i="6"/>
  <c r="D9" i="6"/>
  <c r="D5" i="3"/>
  <c r="D6" i="3"/>
  <c r="E5" i="10"/>
  <c r="G5" i="10" s="1"/>
  <c r="H5" i="10" s="1"/>
  <c r="K5" i="10" s="1"/>
  <c r="L5" i="10" s="1"/>
  <c r="E7" i="10"/>
  <c r="G7" i="10" s="1"/>
  <c r="H7" i="10" s="1"/>
  <c r="K7" i="10" s="1"/>
  <c r="L7" i="10" s="1"/>
  <c r="E9" i="10"/>
  <c r="G9" i="10" s="1"/>
  <c r="H9" i="10" s="1"/>
  <c r="K9" i="10" s="1"/>
  <c r="L9" i="10" s="1"/>
  <c r="E8" i="10"/>
  <c r="G8" i="10" s="1"/>
  <c r="H8" i="10" s="1"/>
  <c r="K8" i="10" s="1"/>
  <c r="L8" i="10" s="1"/>
  <c r="E6" i="10"/>
  <c r="G6" i="10" s="1"/>
  <c r="H6" i="10" s="1"/>
  <c r="K6" i="10" s="1"/>
  <c r="L6" i="10" s="1"/>
  <c r="E7" i="7"/>
  <c r="G7" i="7" s="1"/>
  <c r="H7" i="7" s="1"/>
  <c r="K7" i="7" s="1"/>
  <c r="L7" i="7" s="1"/>
  <c r="E9" i="7"/>
  <c r="G9" i="7" s="1"/>
  <c r="H9" i="7" s="1"/>
  <c r="K9" i="7" s="1"/>
  <c r="L9" i="7" s="1"/>
  <c r="E6" i="7"/>
  <c r="G6" i="7" s="1"/>
  <c r="H6" i="7" s="1"/>
  <c r="K6" i="7" s="1"/>
  <c r="L6" i="7" s="1"/>
  <c r="E8" i="7"/>
  <c r="G8" i="7" s="1"/>
  <c r="H8" i="7" s="1"/>
  <c r="K8" i="7" s="1"/>
  <c r="L8" i="7" s="1"/>
  <c r="E10" i="7"/>
  <c r="G10" i="7" s="1"/>
  <c r="H10" i="7" s="1"/>
  <c r="K10" i="7" s="1"/>
  <c r="L10" i="7" s="1"/>
  <c r="E5" i="7"/>
  <c r="G5" i="7" s="1"/>
  <c r="H5" i="7" s="1"/>
  <c r="K5" i="7" s="1"/>
  <c r="L5" i="7" s="1"/>
  <c r="E6" i="31" l="1"/>
  <c r="G6" i="31" s="1"/>
  <c r="H6" i="31" s="1"/>
  <c r="K6" i="31" s="1"/>
  <c r="L6" i="31" s="1"/>
  <c r="E7" i="31"/>
  <c r="G7" i="31" s="1"/>
  <c r="H7" i="31" s="1"/>
  <c r="K7" i="31" s="1"/>
  <c r="L7" i="31" s="1"/>
  <c r="E8" i="31"/>
  <c r="G8" i="31" s="1"/>
  <c r="H8" i="31" s="1"/>
  <c r="K8" i="31" s="1"/>
  <c r="L8" i="31" s="1"/>
  <c r="E5" i="31"/>
  <c r="G5" i="31" s="1"/>
  <c r="H5" i="31" s="1"/>
  <c r="Q16" i="7"/>
  <c r="Y8" i="13"/>
  <c r="Y8" i="7"/>
  <c r="S16" i="12"/>
  <c r="Y8" i="12"/>
  <c r="Y8" i="10"/>
  <c r="S16" i="10"/>
  <c r="S16" i="13"/>
  <c r="G5" i="34"/>
  <c r="H5" i="34" s="1"/>
  <c r="K5" i="34" s="1"/>
  <c r="L5" i="34" s="1"/>
  <c r="G6" i="35"/>
  <c r="H6" i="35" s="1"/>
  <c r="K6" i="35" s="1"/>
  <c r="L6" i="35" s="1"/>
  <c r="E5" i="22"/>
  <c r="G5" i="22" s="1"/>
  <c r="H5" i="22" s="1"/>
  <c r="K5" i="22" s="1"/>
  <c r="L5" i="22" s="1"/>
  <c r="E6" i="22"/>
  <c r="G6" i="22" s="1"/>
  <c r="H6" i="22" s="1"/>
  <c r="K6" i="22" s="1"/>
  <c r="L6" i="22" s="1"/>
  <c r="E7" i="22"/>
  <c r="G7" i="22" s="1"/>
  <c r="H7" i="22" s="1"/>
  <c r="K7" i="22" s="1"/>
  <c r="L7" i="22" s="1"/>
  <c r="G6" i="34"/>
  <c r="H6" i="34" s="1"/>
  <c r="E6" i="24"/>
  <c r="G6" i="24" s="1"/>
  <c r="H6" i="24" s="1"/>
  <c r="K6" i="24" s="1"/>
  <c r="L6" i="24" s="1"/>
  <c r="E5" i="24"/>
  <c r="G5" i="24" s="1"/>
  <c r="H5" i="24" s="1"/>
  <c r="K5" i="24" s="1"/>
  <c r="L5" i="24" s="1"/>
  <c r="E8" i="24"/>
  <c r="G8" i="24" s="1"/>
  <c r="H8" i="24" s="1"/>
  <c r="K8" i="24" s="1"/>
  <c r="L8" i="24" s="1"/>
  <c r="E7" i="24"/>
  <c r="G7" i="24" s="1"/>
  <c r="H7" i="24" s="1"/>
  <c r="K7" i="24" s="1"/>
  <c r="L7" i="24" s="1"/>
  <c r="E10" i="23"/>
  <c r="G10" i="23" s="1"/>
  <c r="H10" i="23" s="1"/>
  <c r="K10" i="23" s="1"/>
  <c r="L10" i="23" s="1"/>
  <c r="E6" i="23"/>
  <c r="G6" i="23" s="1"/>
  <c r="H6" i="23" s="1"/>
  <c r="K6" i="23" s="1"/>
  <c r="L6" i="23" s="1"/>
  <c r="E7" i="23"/>
  <c r="G7" i="23" s="1"/>
  <c r="H7" i="23" s="1"/>
  <c r="K7" i="23" s="1"/>
  <c r="L7" i="23" s="1"/>
  <c r="E8" i="23"/>
  <c r="G8" i="23" s="1"/>
  <c r="H8" i="23" s="1"/>
  <c r="K8" i="23" s="1"/>
  <c r="L8" i="23" s="1"/>
  <c r="E9" i="23"/>
  <c r="G9" i="23" s="1"/>
  <c r="H9" i="23" s="1"/>
  <c r="K9" i="23" s="1"/>
  <c r="L9" i="23" s="1"/>
  <c r="E5" i="23"/>
  <c r="G5" i="23" s="1"/>
  <c r="H5" i="23" s="1"/>
  <c r="K5" i="23" s="1"/>
  <c r="L5" i="23" s="1"/>
  <c r="G1" i="5"/>
  <c r="E6" i="5" s="1"/>
  <c r="G6" i="5" s="1"/>
  <c r="H6" i="5" s="1"/>
  <c r="K6" i="5" s="1"/>
  <c r="L6" i="5" s="1"/>
  <c r="E6" i="19"/>
  <c r="G6" i="19" s="1"/>
  <c r="H6" i="19" s="1"/>
  <c r="K6" i="19" s="1"/>
  <c r="L6" i="19" s="1"/>
  <c r="E8" i="19"/>
  <c r="G8" i="19" s="1"/>
  <c r="H8" i="19" s="1"/>
  <c r="K8" i="19" s="1"/>
  <c r="L8" i="19" s="1"/>
  <c r="E7" i="19"/>
  <c r="G7" i="19" s="1"/>
  <c r="H7" i="19" s="1"/>
  <c r="K7" i="19" s="1"/>
  <c r="L7" i="19" s="1"/>
  <c r="E5" i="19"/>
  <c r="G5" i="19" s="1"/>
  <c r="H5" i="19" s="1"/>
  <c r="K5" i="19" s="1"/>
  <c r="L5" i="19" s="1"/>
  <c r="E9" i="19"/>
  <c r="G9" i="19" s="1"/>
  <c r="H9" i="19" s="1"/>
  <c r="K9" i="19" s="1"/>
  <c r="L9" i="19" s="1"/>
  <c r="E10" i="19"/>
  <c r="G10" i="19" s="1"/>
  <c r="H10" i="19" s="1"/>
  <c r="K10" i="19" s="1"/>
  <c r="L10" i="19" s="1"/>
  <c r="G8" i="35"/>
  <c r="H8" i="35" s="1"/>
  <c r="K8" i="35" s="1"/>
  <c r="L8" i="35" s="1"/>
  <c r="G5" i="35"/>
  <c r="H5" i="35" s="1"/>
  <c r="K5" i="35" s="1"/>
  <c r="L5" i="35" s="1"/>
  <c r="G7" i="35"/>
  <c r="H7" i="35" s="1"/>
  <c r="K7" i="35" s="1"/>
  <c r="L7" i="35" s="1"/>
  <c r="E6" i="3"/>
  <c r="G6" i="3" s="1"/>
  <c r="H6" i="3" s="1"/>
  <c r="K6" i="3" s="1"/>
  <c r="L6" i="3" s="1"/>
  <c r="E5" i="3"/>
  <c r="G5" i="3" s="1"/>
  <c r="H5" i="3" s="1"/>
  <c r="K5" i="3" s="1"/>
  <c r="L5" i="3" s="1"/>
  <c r="E5" i="26"/>
  <c r="G5" i="26" s="1"/>
  <c r="H5" i="26" s="1"/>
  <c r="K5" i="26" s="1"/>
  <c r="L5" i="26" s="1"/>
  <c r="E6" i="26"/>
  <c r="G6" i="26" s="1"/>
  <c r="H6" i="26" s="1"/>
  <c r="K6" i="26" s="1"/>
  <c r="L6" i="26" s="1"/>
  <c r="E7" i="26"/>
  <c r="G7" i="26" s="1"/>
  <c r="H7" i="26" s="1"/>
  <c r="K7" i="26" s="1"/>
  <c r="L7" i="26" s="1"/>
  <c r="E9" i="26"/>
  <c r="G9" i="26" s="1"/>
  <c r="H9" i="26" s="1"/>
  <c r="K9" i="26" s="1"/>
  <c r="L9" i="26" s="1"/>
  <c r="E8" i="26"/>
  <c r="G8" i="26" s="1"/>
  <c r="H8" i="26" s="1"/>
  <c r="K8" i="26" s="1"/>
  <c r="L8" i="26" s="1"/>
  <c r="E10" i="26"/>
  <c r="G10" i="26" s="1"/>
  <c r="H10" i="26" s="1"/>
  <c r="K10" i="26" s="1"/>
  <c r="L10" i="26" s="1"/>
  <c r="H9" i="33"/>
  <c r="E5" i="15"/>
  <c r="G5" i="15" s="1"/>
  <c r="H5" i="15" s="1"/>
  <c r="K5" i="15" s="1"/>
  <c r="L5" i="15" s="1"/>
  <c r="E6" i="15"/>
  <c r="G6" i="15" s="1"/>
  <c r="H6" i="15" s="1"/>
  <c r="K6" i="15" s="1"/>
  <c r="L6" i="15" s="1"/>
  <c r="E9" i="15"/>
  <c r="G9" i="15" s="1"/>
  <c r="H9" i="15" s="1"/>
  <c r="K9" i="15" s="1"/>
  <c r="L9" i="15" s="1"/>
  <c r="E7" i="15"/>
  <c r="G7" i="15" s="1"/>
  <c r="H7" i="15" s="1"/>
  <c r="K7" i="15" s="1"/>
  <c r="L7" i="15" s="1"/>
  <c r="E8" i="15"/>
  <c r="G8" i="15" s="1"/>
  <c r="H8" i="15" s="1"/>
  <c r="K8" i="15" s="1"/>
  <c r="L8" i="15" s="1"/>
  <c r="E10" i="15"/>
  <c r="G10" i="15" s="1"/>
  <c r="H10" i="15" s="1"/>
  <c r="K10" i="15" s="1"/>
  <c r="L10" i="15" s="1"/>
  <c r="G7" i="11"/>
  <c r="H7" i="11" s="1"/>
  <c r="K7" i="11" s="1"/>
  <c r="L7" i="11" s="1"/>
  <c r="G5" i="11"/>
  <c r="H5" i="11" s="1"/>
  <c r="K5" i="11" s="1"/>
  <c r="L5" i="11" s="1"/>
  <c r="G8" i="11"/>
  <c r="H8" i="11" s="1"/>
  <c r="K8" i="11" s="1"/>
  <c r="L8" i="11" s="1"/>
  <c r="G6" i="11"/>
  <c r="H6" i="11" s="1"/>
  <c r="K6" i="11" s="1"/>
  <c r="L6" i="11" s="1"/>
  <c r="E8" i="14"/>
  <c r="G8" i="14" s="1"/>
  <c r="H8" i="14" s="1"/>
  <c r="K8" i="14" s="1"/>
  <c r="L8" i="14" s="1"/>
  <c r="E9" i="14"/>
  <c r="G9" i="14" s="1"/>
  <c r="H9" i="14" s="1"/>
  <c r="K9" i="14" s="1"/>
  <c r="L9" i="14" s="1"/>
  <c r="E10" i="14"/>
  <c r="G10" i="14" s="1"/>
  <c r="H10" i="14" s="1"/>
  <c r="K10" i="14" s="1"/>
  <c r="L10" i="14" s="1"/>
  <c r="E6" i="14"/>
  <c r="G6" i="14" s="1"/>
  <c r="H6" i="14" s="1"/>
  <c r="K6" i="14" s="1"/>
  <c r="L6" i="14" s="1"/>
  <c r="E7" i="14"/>
  <c r="G7" i="14" s="1"/>
  <c r="H7" i="14" s="1"/>
  <c r="K7" i="14" s="1"/>
  <c r="L7" i="14" s="1"/>
  <c r="E5" i="14"/>
  <c r="G5" i="14" s="1"/>
  <c r="H5" i="14" s="1"/>
  <c r="K5" i="14" s="1"/>
  <c r="L5" i="14" s="1"/>
  <c r="E8" i="9"/>
  <c r="G8" i="9" s="1"/>
  <c r="H8" i="9" s="1"/>
  <c r="K8" i="9" s="1"/>
  <c r="L8" i="9" s="1"/>
  <c r="E7" i="9"/>
  <c r="G7" i="9" s="1"/>
  <c r="H7" i="9" s="1"/>
  <c r="K7" i="9" s="1"/>
  <c r="L7" i="9" s="1"/>
  <c r="E10" i="9"/>
  <c r="G10" i="9" s="1"/>
  <c r="H10" i="9" s="1"/>
  <c r="K10" i="9" s="1"/>
  <c r="L10" i="9" s="1"/>
  <c r="E9" i="9"/>
  <c r="G9" i="9" s="1"/>
  <c r="H9" i="9" s="1"/>
  <c r="K9" i="9" s="1"/>
  <c r="L9" i="9" s="1"/>
  <c r="E5" i="9"/>
  <c r="G5" i="9" s="1"/>
  <c r="H5" i="9" s="1"/>
  <c r="K5" i="9" s="1"/>
  <c r="L5" i="9" s="1"/>
  <c r="E6" i="9"/>
  <c r="G6" i="9" s="1"/>
  <c r="H6" i="9" s="1"/>
  <c r="K6" i="9" s="1"/>
  <c r="L6" i="9" s="1"/>
  <c r="E8" i="8"/>
  <c r="G8" i="8" s="1"/>
  <c r="H8" i="8" s="1"/>
  <c r="K8" i="8" s="1"/>
  <c r="L8" i="8" s="1"/>
  <c r="E6" i="8"/>
  <c r="G6" i="8" s="1"/>
  <c r="H6" i="8" s="1"/>
  <c r="K6" i="8" s="1"/>
  <c r="L6" i="8" s="1"/>
  <c r="E5" i="8"/>
  <c r="G5" i="8" s="1"/>
  <c r="H5" i="8" s="1"/>
  <c r="K5" i="8" s="1"/>
  <c r="L5" i="8" s="1"/>
  <c r="E7" i="8"/>
  <c r="G7" i="8" s="1"/>
  <c r="H7" i="8" s="1"/>
  <c r="K7" i="8" s="1"/>
  <c r="L7" i="8" s="1"/>
  <c r="G10" i="6"/>
  <c r="H10" i="6" s="1"/>
  <c r="K10" i="6" s="1"/>
  <c r="L10" i="6" s="1"/>
  <c r="G5" i="6"/>
  <c r="H5" i="6" s="1"/>
  <c r="K5" i="6" s="1"/>
  <c r="L5" i="6" s="1"/>
  <c r="G6" i="6"/>
  <c r="H6" i="6" s="1"/>
  <c r="K6" i="6" s="1"/>
  <c r="L6" i="6" s="1"/>
  <c r="G7" i="6"/>
  <c r="H7" i="6" s="1"/>
  <c r="K7" i="6" s="1"/>
  <c r="L7" i="6" s="1"/>
  <c r="G8" i="6"/>
  <c r="H8" i="6" s="1"/>
  <c r="K8" i="6" s="1"/>
  <c r="L8" i="6" s="1"/>
  <c r="G9" i="6"/>
  <c r="H9" i="6" s="1"/>
  <c r="K9" i="6" s="1"/>
  <c r="L9" i="6" s="1"/>
  <c r="S16" i="9" l="1"/>
  <c r="Y8" i="9"/>
  <c r="Y8" i="8"/>
  <c r="S16" i="8"/>
  <c r="K5" i="31"/>
  <c r="L5" i="31" s="1"/>
  <c r="H9" i="31"/>
  <c r="E7" i="5"/>
  <c r="G7" i="5" s="1"/>
  <c r="H7" i="5" s="1"/>
  <c r="K7" i="5" s="1"/>
  <c r="L7" i="5" s="1"/>
  <c r="S18" i="11"/>
  <c r="Y8" i="11"/>
  <c r="S16" i="19"/>
  <c r="Y8" i="19"/>
  <c r="S16" i="15"/>
  <c r="Y8" i="15"/>
  <c r="Q16" i="6"/>
  <c r="Y8" i="6"/>
  <c r="Y8" i="3"/>
  <c r="S16" i="3"/>
  <c r="H9" i="34"/>
  <c r="K6" i="34"/>
  <c r="L6" i="34" s="1"/>
  <c r="E5" i="5"/>
  <c r="G5" i="5" s="1"/>
  <c r="H5" i="5" s="1"/>
  <c r="K5" i="5" s="1"/>
  <c r="L5" i="5" s="1"/>
  <c r="H9" i="35"/>
  <c r="H9" i="11"/>
  <c r="S16" i="5" l="1"/>
  <c r="Y8" i="5"/>
</calcChain>
</file>

<file path=xl/sharedStrings.xml><?xml version="1.0" encoding="utf-8"?>
<sst xmlns="http://schemas.openxmlformats.org/spreadsheetml/2006/main" count="1609" uniqueCount="287">
  <si>
    <t>Base Recipe (1 Portion)</t>
  </si>
  <si>
    <t xml:space="preserve">Required Quantity </t>
  </si>
  <si>
    <t>Conversion Factor</t>
  </si>
  <si>
    <t>Sauce Quantity gm</t>
  </si>
  <si>
    <t>No Cooking</t>
  </si>
  <si>
    <t>Cucumber Pickle</t>
  </si>
  <si>
    <t>Category</t>
  </si>
  <si>
    <t>Ingredient</t>
  </si>
  <si>
    <t xml:space="preserve">Unit </t>
  </si>
  <si>
    <t>Base Recipe
 (1 Portion)</t>
  </si>
  <si>
    <t>Corrected Conversion Factor</t>
  </si>
  <si>
    <t>Scaling Factor 
(1-10KG)</t>
  </si>
  <si>
    <t xml:space="preserve">Linear Scaled Amount </t>
  </si>
  <si>
    <t>Scaled Amount Post Conversion Factor</t>
  </si>
  <si>
    <t>Price Per KG or L</t>
  </si>
  <si>
    <t>Ordering quantity (KG or L)</t>
  </si>
  <si>
    <t>Cost</t>
  </si>
  <si>
    <t>Cucumber Pickle - مخلل خيار</t>
  </si>
  <si>
    <t xml:space="preserve">gm </t>
  </si>
  <si>
    <t>Total Mix gm</t>
  </si>
  <si>
    <t>Sauce/Side</t>
  </si>
  <si>
    <t>Total Count #</t>
  </si>
  <si>
    <t xml:space="preserve">Actuals </t>
  </si>
  <si>
    <t xml:space="preserve">Quantity </t>
  </si>
  <si>
    <t>Required</t>
  </si>
  <si>
    <t xml:space="preserve">Safety </t>
  </si>
  <si>
    <t xml:space="preserve">Total </t>
  </si>
  <si>
    <t>فول</t>
  </si>
  <si>
    <t>طحينة</t>
  </si>
  <si>
    <t>سلطة حمراء</t>
  </si>
  <si>
    <t xml:space="preserve">مقلوبة </t>
  </si>
  <si>
    <t>زبادي بالخيار</t>
  </si>
  <si>
    <t>كابلي</t>
  </si>
  <si>
    <t>زربيان</t>
  </si>
  <si>
    <t xml:space="preserve">بخاري لحم </t>
  </si>
  <si>
    <t>سليق</t>
  </si>
  <si>
    <t>مندي</t>
  </si>
  <si>
    <t>ساندوتش الدجاج الآسيوي</t>
  </si>
  <si>
    <t>برجر لحم</t>
  </si>
  <si>
    <t>كوكتيل علبة</t>
  </si>
  <si>
    <t>ساندوتش فاهيتا الدجاج</t>
  </si>
  <si>
    <t>أوكتا بوكي بول</t>
  </si>
  <si>
    <t>كوكتيل وزن</t>
  </si>
  <si>
    <t>ساندوتش الدجاح بالباربكيو</t>
  </si>
  <si>
    <t>ساندوتش فيلادلفيا لحم</t>
  </si>
  <si>
    <t>ساندوتش كباب اللحم</t>
  </si>
  <si>
    <t>Sumak Powder - بودرة السماق</t>
  </si>
  <si>
    <t>Onion - بصل</t>
  </si>
  <si>
    <t>Radish Pickle - مخلل فجل</t>
  </si>
  <si>
    <t>Carrot Pickle - مخلل جزر</t>
  </si>
  <si>
    <t>Lemon Juice - عصير ليمون</t>
  </si>
  <si>
    <t>Coriander Powder - كزبرة مطحونة</t>
  </si>
  <si>
    <t>Salt - ملح</t>
  </si>
  <si>
    <t>Water - ماء</t>
  </si>
  <si>
    <t>Yogurt - زبادي</t>
  </si>
  <si>
    <t>White Pepper - فلفل أبيض</t>
  </si>
  <si>
    <t>Mayonnaise - مايونيز</t>
  </si>
  <si>
    <t>Mustard - خردل</t>
  </si>
  <si>
    <t>Cucumber - خيار</t>
  </si>
  <si>
    <t>Tomato - طماطم</t>
  </si>
  <si>
    <t>Sumak Onion</t>
  </si>
  <si>
    <t>Mixed Pickle</t>
  </si>
  <si>
    <t>Pancake</t>
  </si>
  <si>
    <t>BreakFast</t>
  </si>
  <si>
    <t>صوص الشبت - Shabat Sauce</t>
  </si>
  <si>
    <t>صوص الأعشاب - Herbal Sauce</t>
  </si>
  <si>
    <t xml:space="preserve">Filling </t>
  </si>
  <si>
    <t xml:space="preserve">Dip in </t>
  </si>
  <si>
    <t>ساندوش اللحم الكلاسيكي</t>
  </si>
  <si>
    <t>ساندوش فيلاديفيا</t>
  </si>
  <si>
    <t>دجاج بالأعشاب</t>
  </si>
  <si>
    <t xml:space="preserve">ساندوش الدجاج بالفلفل الرومي </t>
  </si>
  <si>
    <t xml:space="preserve">صوص ساندوش فاهيتا  الدجاج  </t>
  </si>
  <si>
    <t>اوكتا بوكي بول</t>
  </si>
  <si>
    <t>صوص الزبادي بالخيار - Cucumber yogurt sauce</t>
  </si>
  <si>
    <t>Yield</t>
  </si>
  <si>
    <t>Order Unit</t>
  </si>
  <si>
    <t>Weekly Order</t>
  </si>
  <si>
    <t>Daily Order</t>
  </si>
  <si>
    <t>Weekly Price</t>
  </si>
  <si>
    <t>Daily Price</t>
  </si>
  <si>
    <t>SHEET NAME</t>
  </si>
  <si>
    <t>DAY SELECTOR
اليوم</t>
  </si>
  <si>
    <t>SHEET REFERENCE</t>
  </si>
  <si>
    <t>gm</t>
  </si>
  <si>
    <t>Tahina Small</t>
  </si>
  <si>
    <t>Tahina Big</t>
  </si>
  <si>
    <t>Shabat Sauce</t>
  </si>
  <si>
    <t>Biryani Yoghrt sauce</t>
  </si>
  <si>
    <t>Herbal Sauce</t>
  </si>
  <si>
    <t>Coctail Sauce Weight</t>
  </si>
  <si>
    <t>Cucumber yogurt sauce</t>
  </si>
  <si>
    <t>Red sauce Big</t>
  </si>
  <si>
    <t>Red sauce</t>
  </si>
  <si>
    <t>Sriracha Sauce - صوص سريراتشا</t>
  </si>
  <si>
    <t>Green Bell Pepper - فلفل أخضر رومى</t>
  </si>
  <si>
    <t>مغلوب دجاج</t>
  </si>
  <si>
    <t>صوص خيار زبادي</t>
  </si>
  <si>
    <t>ساندويتش دجاج الباربكيو</t>
  </si>
  <si>
    <t>صوص شبت</t>
  </si>
  <si>
    <t>دجاج تكا</t>
  </si>
  <si>
    <t>صوص برياني</t>
  </si>
  <si>
    <t xml:space="preserve"> صوص بريانى Biryani yoghurt sauce</t>
  </si>
  <si>
    <t>صوص دوقس</t>
  </si>
  <si>
    <t>صوص طحينه</t>
  </si>
  <si>
    <t>كبسه لحم</t>
  </si>
  <si>
    <t>صوص خيار. زبادي</t>
  </si>
  <si>
    <t>بأن فرايد فش</t>
  </si>
  <si>
    <t>مندي دجاج</t>
  </si>
  <si>
    <t>دجاج بالاعشاب</t>
  </si>
  <si>
    <t>صوص حق دجاج بالاعشاب</t>
  </si>
  <si>
    <t>لحم برغر</t>
  </si>
  <si>
    <t>صوص كوكتيل</t>
  </si>
  <si>
    <t>خيارطرشي</t>
  </si>
  <si>
    <t>زربيان  لحم</t>
  </si>
  <si>
    <t xml:space="preserve">فول </t>
  </si>
  <si>
    <t>دقوس طحينة</t>
  </si>
  <si>
    <t>كبسة لحم</t>
  </si>
  <si>
    <t>خيار زبادي + دوقس</t>
  </si>
  <si>
    <t>بان فرايد فش</t>
  </si>
  <si>
    <t xml:space="preserve">طحينة + دقوس </t>
  </si>
  <si>
    <t>كوتيل صوص</t>
  </si>
  <si>
    <t>دجاج باللوز</t>
  </si>
  <si>
    <t>اوكتا بوكي بول الدجاج</t>
  </si>
  <si>
    <t xml:space="preserve">كوتيل صوص </t>
  </si>
  <si>
    <t>ساندوتش الكباب</t>
  </si>
  <si>
    <t xml:space="preserve">طحينة </t>
  </si>
  <si>
    <t xml:space="preserve">جاج اوز </t>
  </si>
  <si>
    <t>كوكتيل صوص</t>
  </si>
  <si>
    <t>سليق دجاج</t>
  </si>
  <si>
    <t>دوقس صوص</t>
  </si>
  <si>
    <t>ساندويتش فاهيتا دجاج</t>
  </si>
  <si>
    <t>طرشي مشكل</t>
  </si>
  <si>
    <t>Mixed Pickle - طرشي مشكل</t>
  </si>
  <si>
    <t>وجبات السعودية حجم كبير</t>
  </si>
  <si>
    <t>فول صغير</t>
  </si>
  <si>
    <t>البحرية صغير</t>
  </si>
  <si>
    <t>ساندويتش</t>
  </si>
  <si>
    <t>مقلوبه دجاج</t>
  </si>
  <si>
    <t>ساندويتش باربيكيو</t>
  </si>
  <si>
    <t>صوص شبت. زبادي</t>
  </si>
  <si>
    <t>Total gm</t>
  </si>
  <si>
    <t>Base Recipe (1 Portion) gm</t>
  </si>
  <si>
    <t xml:space="preserve">Required Count </t>
  </si>
  <si>
    <t xml:space="preserve">Cocktail Sauce external - كوكتيل صوص خارجى </t>
  </si>
  <si>
    <t>Sauce</t>
  </si>
  <si>
    <t>Total Count - العدد النهائي</t>
  </si>
  <si>
    <t>Quantity - الكمية</t>
  </si>
  <si>
    <t>Safety  -  الأمان</t>
  </si>
  <si>
    <t>gm Per Unit -  جم لكل صحن</t>
  </si>
  <si>
    <t>Total gm - الكميه النهائيه بالجرام</t>
  </si>
  <si>
    <t>بخاري لحم</t>
  </si>
  <si>
    <t>صوص خيار زبادى</t>
  </si>
  <si>
    <t>صوص.  دوقس</t>
  </si>
  <si>
    <t>كابلي  لحم</t>
  </si>
  <si>
    <t>سمك  شبت ليمون</t>
  </si>
  <si>
    <t>ساندويتش كباب لحم</t>
  </si>
  <si>
    <t>بصل مع سماق</t>
  </si>
  <si>
    <t>سلطة حمراء كبير - Red sauce Big</t>
  </si>
  <si>
    <t>سلطة حمراء صغير- Red sauce Small</t>
  </si>
  <si>
    <t>Sumak Onion -  بصل مع سماق</t>
  </si>
  <si>
    <t>سلطة الطحية صغير -  Small Tahina sauce</t>
  </si>
  <si>
    <t>red small</t>
  </si>
  <si>
    <t>red big</t>
  </si>
  <si>
    <t>tahini big</t>
  </si>
  <si>
    <t>tahini small</t>
  </si>
  <si>
    <t>youghrt cuc.</t>
  </si>
  <si>
    <t>herbal</t>
  </si>
  <si>
    <t>سلطة الطحية كبير -  Big Tahina sauce</t>
  </si>
  <si>
    <t>دجاج اسيوى  ساندويتش</t>
  </si>
  <si>
    <t>كوكتيل بالجرام</t>
  </si>
  <si>
    <t>Foul+Fish</t>
  </si>
  <si>
    <t>Kabsa+Mandi</t>
  </si>
  <si>
    <t>Mandi</t>
  </si>
  <si>
    <t>Kabsa</t>
  </si>
  <si>
    <t>saleeq</t>
  </si>
  <si>
    <t>Kebab+Fish</t>
  </si>
  <si>
    <t>fish</t>
  </si>
  <si>
    <t>kebab</t>
  </si>
  <si>
    <t>بخارى</t>
  </si>
  <si>
    <t>DAY  رقم اليوم</t>
  </si>
  <si>
    <t xml:space="preserve">Coctail Sauce Dip In </t>
  </si>
  <si>
    <t>Coctail Sauce Dip In  (2)</t>
  </si>
  <si>
    <t>Cucumber yogurt sauce (2)</t>
  </si>
  <si>
    <t>Red sauce Big (2)</t>
  </si>
  <si>
    <t>Tahina Big (2)</t>
  </si>
  <si>
    <t>Red sauce Big (3)</t>
  </si>
  <si>
    <t>Cucumber yogurt sauce (3)</t>
  </si>
  <si>
    <t>Coctail Sauce Dip In  (4)</t>
  </si>
  <si>
    <t>Red sauce Big (4)</t>
  </si>
  <si>
    <t>Cucumber yogurt sauce (4)</t>
  </si>
  <si>
    <t>Tahina Small (2)</t>
  </si>
  <si>
    <t>Red sauce (2)</t>
  </si>
  <si>
    <t>Red sauce Big (5)</t>
  </si>
  <si>
    <t>Cucumber yogurt sauce (5)</t>
  </si>
  <si>
    <t>فاهيتا ساندويتش</t>
  </si>
  <si>
    <t>باربيكيو  ساندويتش</t>
  </si>
  <si>
    <t>Coctail Sauce Weight (2)</t>
  </si>
  <si>
    <t>صوص ساندوش فلاديلفيا</t>
  </si>
  <si>
    <t>بوكى بول</t>
  </si>
  <si>
    <t>Coctail Sauce Weight (3)</t>
  </si>
  <si>
    <t>Coctail Sauce Dip In  (3)</t>
  </si>
  <si>
    <t>Coctail Sauce Weight (5)</t>
  </si>
  <si>
    <t>Coctail Sauce Weight (4)</t>
  </si>
  <si>
    <t>Black Pepper Powder - فلفل أسود مطحون</t>
  </si>
  <si>
    <t>Tomato Ketchup - كاتشب طماطم</t>
  </si>
  <si>
    <t>دجاج تيكا</t>
  </si>
  <si>
    <t>Paprika Powder - بابريكا مطحون</t>
  </si>
  <si>
    <t>Dill Leaves - شبت</t>
  </si>
  <si>
    <t>Coriander Leaves - كزبرة خضراء</t>
  </si>
  <si>
    <t>Mint Leaves - نعناع طازج</t>
  </si>
  <si>
    <t>Dried Mint Leaves - نعناع مجفف</t>
  </si>
  <si>
    <t>ml</t>
  </si>
  <si>
    <t>ITEMS</t>
  </si>
  <si>
    <t>Unit</t>
  </si>
  <si>
    <t>Daily Weight</t>
  </si>
  <si>
    <t>Weekly Weight</t>
  </si>
  <si>
    <t>صوصات ومنكهات</t>
  </si>
  <si>
    <t>سوائل ومرق</t>
  </si>
  <si>
    <t>خضروات</t>
  </si>
  <si>
    <t xml:space="preserve"> المخللات</t>
  </si>
  <si>
    <t>منتجات ألبان</t>
  </si>
  <si>
    <t>توابل</t>
  </si>
  <si>
    <t>ألوان وإضافات</t>
  </si>
  <si>
    <t>Orange Color - لون برتقالي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</si>
  <si>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</si>
  <si>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</si>
  <si>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</si>
  <si>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</si>
  <si>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Kg</t>
  </si>
  <si>
    <t>أعشاب مجففة</t>
  </si>
  <si>
    <t>2724 gram/Carton</t>
  </si>
  <si>
    <t>10 Kg</t>
  </si>
  <si>
    <t>kg</t>
  </si>
  <si>
    <t>بدون كاتشب</t>
  </si>
  <si>
    <t>100 gm/Can</t>
  </si>
  <si>
    <t>20 Kg / Carton</t>
  </si>
  <si>
    <t>15.12 L / Carton</t>
  </si>
  <si>
    <t>2130 ml / Carton</t>
  </si>
  <si>
    <t>14800 L/Carton</t>
  </si>
  <si>
    <t>16000 KG/Can</t>
  </si>
  <si>
    <t>1000 g /Pack</t>
  </si>
  <si>
    <t>Sesame Paste - طحينة السمسم</t>
  </si>
  <si>
    <t>200 g / Pack</t>
  </si>
  <si>
    <t>50 Kg</t>
  </si>
  <si>
    <t>900 g / Pack</t>
  </si>
  <si>
    <t>KG</t>
  </si>
  <si>
    <t>12000 ML/Cartoon</t>
  </si>
  <si>
    <t>10,000 KG/Pail</t>
  </si>
  <si>
    <t>دجاج لوز</t>
  </si>
  <si>
    <t>PreCooking Yield</t>
  </si>
  <si>
    <t>Size</t>
  </si>
  <si>
    <t>Cost/gm</t>
  </si>
  <si>
    <t>Carton</t>
  </si>
  <si>
    <t>Can</t>
  </si>
  <si>
    <t>Pail</t>
  </si>
  <si>
    <t>Pack</t>
  </si>
  <si>
    <t>825 g / Pack</t>
  </si>
  <si>
    <t>سلطة الطحية صغير -   Small Tahina sauce</t>
  </si>
  <si>
    <t>(Foul &amp; Fish) - (فول و سمك)</t>
  </si>
  <si>
    <t>صوص الزبادي بالخيار -Cucumber yogurt sauce</t>
  </si>
  <si>
    <t>(Kabsa) - (كبسة)</t>
  </si>
  <si>
    <t>دجاج الأعشاب  - Herbal Chicken</t>
  </si>
  <si>
    <t>Cocktail Sauce - صوص كوكتيل</t>
  </si>
  <si>
    <t>كبسة و مندى - Kabsa &amp; Mandi</t>
  </si>
  <si>
    <t>Mandi - مندى</t>
  </si>
  <si>
    <t>Asian Sandwich - دجاج اسيوى  ساندويتش</t>
  </si>
  <si>
    <t>برجر لحم - Burger</t>
  </si>
  <si>
    <t>Zurbian - زربيان</t>
  </si>
  <si>
    <t>مندى و سليق - Mandi &amp; Saleeq</t>
  </si>
  <si>
    <t xml:space="preserve"> ساندوش فاهيتا  الدجاج  - Chicken Fajita Sandwich</t>
  </si>
  <si>
    <t>Maklouba - مقلوبة</t>
  </si>
  <si>
    <t>ساندويتش باربيكيو - BBQ Sandwich</t>
  </si>
  <si>
    <t>Chicken Tikka - دجاج تكا</t>
  </si>
  <si>
    <t>أوكتا بوكي بول - Octa PokiPowl</t>
  </si>
  <si>
    <t xml:space="preserve">  سلطة حمراء كبير - Red sauce Big</t>
  </si>
  <si>
    <t xml:space="preserve">   (Boukhary -  بخارى لحم)</t>
  </si>
  <si>
    <t xml:space="preserve">  صوص الزبادي بالخيار - Cucumber yogurt sauce</t>
  </si>
  <si>
    <t xml:space="preserve">  (Boukhary -  بخارى لحم)</t>
  </si>
  <si>
    <t xml:space="preserve">Cocktail Sauce external - كوكتيل صوص خارجى  </t>
  </si>
  <si>
    <t>(Philly cheese sandwich - ساندويتش فلاديلفيا )</t>
  </si>
  <si>
    <t>Kebab Sandwich - ساندويتش كباب لحم</t>
  </si>
  <si>
    <t xml:space="preserve">سمك بالليمون و ساندويتش كباب - Fish with lemon &amp; Sandwich Kebab </t>
  </si>
  <si>
    <t>Fish with lemon - سمك بالليمون</t>
  </si>
  <si>
    <t>سليق دجاج - Chicken Saleeq</t>
  </si>
  <si>
    <t>Kabli - كابلى</t>
  </si>
  <si>
    <t xml:space="preserve"> ساندوش فاهيتا  الدجاج و دجاج باللوز - Chicken Fajita Sandwich &amp; Almond 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</si>
</sst>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 * #,##0_ ;_ * \-#,##0_ ;_ * &quot;-&quot;??_ ;_ @_ "/>
    <numFmt numFmtId="165" formatCode="0.0"/>
    <numFmt numFmtId="166" formatCode="0.000"/>
    <numFmt numFmtId="167" formatCode="_(* #,##0_);_(* \(#,##0\);_(* &quot;-&quot;??_);_(@_)"/>
    <numFmt numFmtId="168" formatCode="_ * #,##0.00_ ;_ * \-#,##0.00_ ;_ * &quot;-&quot;??_ ;_ @_ "/>
    <numFmt numFmtId="169" formatCode="#,##0.0"/>
    <numFmt numFmtId="170" formatCode="_ * #,##0_ ;_ * \-#,##0_ ;_ * \-??_ ;_ @_ "/>
    <numFmt numFmtId="171" formatCode="_ * #,##0.00_ ;_ * \-#,##0.00_ ;_ * \-??_ ;_ @_ "/>
    <numFmt numFmtId="172" formatCode="_ * #,##0.0_ ;_ * \-#,##0.0_ ;_ * \-??_ ;_ @_ "/>
    <numFmt numFmtId="173" formatCode="_ * #,##0.0000_ ;_ * \-#,##0.0000_ ;_ * \-??_ ;_ @_ "/>
  </numFmts>
  <fonts count="25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theme="0"/>
      <name val="Arial"/>
      <family val="2"/>
      <scheme val="minor"/>
    </font>
    <font>
      <sz val="11"/>
      <color rgb="FF000000"/>
      <name val="Aptos Narrow"/>
      <family val="2"/>
    </font>
    <font>
      <sz val="11"/>
      <color rgb="FFFF0000"/>
      <name val="Arial"/>
      <family val="2"/>
      <scheme val="minor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8"/>
      <color theme="0"/>
      <name val="Arial"/>
      <family val="2"/>
    </font>
    <font>
      <b/>
      <sz val="12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 tint="-4.9989318521683403E-2"/>
      <name val="Arial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  <scheme val="minor"/>
    </font>
    <font>
      <sz val="11"/>
      <color theme="3" tint="-0.249977111117893"/>
      <name val="Arial"/>
      <family val="2"/>
      <scheme val="minor"/>
    </font>
    <font>
      <b/>
      <sz val="12"/>
      <color theme="3" tint="-0.249977111117893"/>
      <name val="Arial"/>
      <family val="2"/>
      <scheme val="minor"/>
    </font>
    <font>
      <b/>
      <sz val="18"/>
      <color rgb="FFFF0000"/>
      <name val="Arial"/>
      <family val="2"/>
      <scheme val="minor"/>
    </font>
    <font>
      <b/>
      <sz val="10"/>
      <color rgb="FF000000"/>
      <name val="Arial"/>
      <family val="2"/>
    </font>
    <font>
      <b/>
      <sz val="10"/>
      <color rgb="FF1F3864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2E75B6"/>
      </patternFill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D6E4F0"/>
      </patternFill>
    </fill>
    <fill>
      <patternFill patternType="solid">
        <fgColor rgb="FFFFF2CC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89013336588644"/>
        <bgColor rgb="FFE7E6E6"/>
      </patternFill>
    </fill>
    <fill>
      <patternFill patternType="solid">
        <fgColor theme="7" tint="0.59987182226020086"/>
        <bgColor rgb="FFFFF2C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rgb="FFDEEBF7"/>
      </patternFill>
    </fill>
    <fill>
      <patternFill patternType="solid">
        <fgColor theme="6" tint="0.79998168889431442"/>
        <bgColor rgb="FFDAE3F3"/>
      </patternFill>
    </fill>
    <fill>
      <patternFill patternType="solid">
        <fgColor theme="8" tint="0.39988402966399123"/>
        <bgColor rgb="FFB4C7E7"/>
      </patternFill>
    </fill>
    <fill>
      <patternFill patternType="solid">
        <fgColor rgb="FFFFFF00"/>
        <bgColor rgb="FFFFC000"/>
      </patternFill>
    </fill>
    <fill>
      <patternFill patternType="solid">
        <fgColor theme="6" tint="0.79998168889431442"/>
        <bgColor rgb="FFA6A6A6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medium">
        <color rgb="FF595959"/>
      </left>
      <right style="medium">
        <color rgb="FF595959"/>
      </right>
      <top style="medium">
        <color rgb="FF595959"/>
      </top>
      <bottom style="medium">
        <color rgb="FF59595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/>
    <xf numFmtId="0" fontId="3" fillId="0" borderId="0"/>
    <xf numFmtId="168" fontId="1" fillId="0" borderId="0"/>
  </cellStyleXfs>
  <cellXfs count="116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/>
    <xf numFmtId="0" fontId="2" fillId="2" borderId="5" xfId="0" applyFont="1" applyFill="1" applyBorder="1"/>
    <xf numFmtId="0" fontId="2" fillId="2" borderId="2" xfId="0" applyFont="1" applyFill="1" applyBorder="1"/>
    <xf numFmtId="164" fontId="0" fillId="0" borderId="6" xfId="1" applyNumberFormat="1" applyFont="1" applyBorder="1"/>
    <xf numFmtId="0" fontId="0" fillId="0" borderId="6" xfId="0" applyBorder="1"/>
    <xf numFmtId="0" fontId="2" fillId="2" borderId="7" xfId="0" applyFont="1" applyFill="1" applyBorder="1"/>
    <xf numFmtId="164" fontId="0" fillId="0" borderId="0" xfId="0" applyNumberFormat="1"/>
    <xf numFmtId="0" fontId="4" fillId="0" borderId="5" xfId="2" applyFont="1" applyBorder="1" applyAlignment="1">
      <alignment horizontal="center" vertical="center" wrapText="1"/>
    </xf>
    <xf numFmtId="164" fontId="4" fillId="0" borderId="5" xfId="2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7" fillId="4" borderId="5" xfId="2" applyFont="1" applyFill="1" applyBorder="1" applyAlignment="1">
      <alignment horizontal="center" vertical="center" wrapText="1"/>
    </xf>
    <xf numFmtId="0" fontId="2" fillId="5" borderId="0" xfId="0" applyFont="1" applyFill="1"/>
    <xf numFmtId="165" fontId="0" fillId="0" borderId="0" xfId="0" applyNumberFormat="1"/>
    <xf numFmtId="0" fontId="9" fillId="0" borderId="0" xfId="0" applyFont="1"/>
    <xf numFmtId="0" fontId="0" fillId="0" borderId="0" xfId="0" applyAlignment="1">
      <alignment vertical="center"/>
    </xf>
    <xf numFmtId="1" fontId="0" fillId="0" borderId="0" xfId="0" applyNumberFormat="1"/>
    <xf numFmtId="0" fontId="2" fillId="5" borderId="0" xfId="0" applyFont="1" applyFill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center"/>
    </xf>
    <xf numFmtId="167" fontId="0" fillId="6" borderId="0" xfId="1" applyNumberFormat="1" applyFont="1" applyFill="1"/>
    <xf numFmtId="43" fontId="0" fillId="0" borderId="0" xfId="0" applyNumberFormat="1"/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1" fillId="9" borderId="12" xfId="0" applyFont="1" applyFill="1" applyBorder="1" applyAlignment="1">
      <alignment horizontal="center" vertical="center" wrapText="1"/>
    </xf>
    <xf numFmtId="0" fontId="14" fillId="10" borderId="13" xfId="0" applyFont="1" applyFill="1" applyBorder="1" applyAlignment="1">
      <alignment horizontal="center" vertical="center" wrapText="1"/>
    </xf>
    <xf numFmtId="0" fontId="13" fillId="11" borderId="0" xfId="0" applyFont="1" applyFill="1" applyAlignment="1">
      <alignment horizontal="center" vertical="center" wrapText="1"/>
    </xf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15" fillId="15" borderId="8" xfId="0" applyFon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 wrapText="1"/>
    </xf>
    <xf numFmtId="0" fontId="15" fillId="15" borderId="8" xfId="0" applyFont="1" applyFill="1" applyBorder="1" applyAlignment="1">
      <alignment horizontal="center" vertical="center" wrapText="1"/>
    </xf>
    <xf numFmtId="164" fontId="17" fillId="0" borderId="6" xfId="1" applyNumberFormat="1" applyFont="1" applyBorder="1"/>
    <xf numFmtId="0" fontId="16" fillId="16" borderId="0" xfId="0" applyFont="1" applyFill="1"/>
    <xf numFmtId="164" fontId="16" fillId="16" borderId="0" xfId="0" applyNumberFormat="1" applyFont="1" applyFill="1"/>
    <xf numFmtId="0" fontId="0" fillId="19" borderId="0" xfId="0" applyFill="1"/>
    <xf numFmtId="0" fontId="0" fillId="16" borderId="0" xfId="0" applyFill="1"/>
    <xf numFmtId="0" fontId="19" fillId="0" borderId="0" xfId="0" applyFont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1" fillId="9" borderId="0" xfId="0" applyFont="1" applyFill="1" applyAlignment="1">
      <alignment vertical="center" wrapText="1"/>
    </xf>
    <xf numFmtId="0" fontId="0" fillId="0" borderId="0" xfId="0" applyAlignment="1">
      <alignment horizontal="center" vertical="center"/>
    </xf>
    <xf numFmtId="0" fontId="21" fillId="4" borderId="14" xfId="2" applyFont="1" applyFill="1" applyBorder="1" applyAlignment="1">
      <alignment vertical="center" wrapText="1"/>
    </xf>
    <xf numFmtId="0" fontId="21" fillId="4" borderId="10" xfId="2" applyFont="1" applyFill="1" applyBorder="1" applyAlignment="1">
      <alignment vertical="center" wrapText="1"/>
    </xf>
    <xf numFmtId="0" fontId="21" fillId="4" borderId="1" xfId="2" applyFont="1" applyFill="1" applyBorder="1" applyAlignment="1">
      <alignment vertical="center" wrapText="1"/>
    </xf>
    <xf numFmtId="0" fontId="20" fillId="4" borderId="0" xfId="0" applyFont="1" applyFill="1"/>
    <xf numFmtId="0" fontId="20" fillId="4" borderId="10" xfId="0" applyFont="1" applyFill="1" applyBorder="1"/>
    <xf numFmtId="0" fontId="22" fillId="0" borderId="0" xfId="0" applyFont="1"/>
    <xf numFmtId="0" fontId="18" fillId="23" borderId="0" xfId="0" applyFont="1" applyFill="1" applyAlignment="1">
      <alignment horizontal="center" vertical="center" wrapText="1"/>
    </xf>
    <xf numFmtId="0" fontId="18" fillId="23" borderId="0" xfId="0" applyFont="1" applyFill="1" applyAlignment="1">
      <alignment horizontal="center" vertical="center"/>
    </xf>
    <xf numFmtId="0" fontId="11" fillId="9" borderId="15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 vertical="center" wrapText="1"/>
    </xf>
    <xf numFmtId="0" fontId="0" fillId="0" borderId="1" xfId="0" applyBorder="1"/>
    <xf numFmtId="2" fontId="18" fillId="17" borderId="1" xfId="0" applyNumberFormat="1" applyFont="1" applyFill="1" applyBorder="1"/>
    <xf numFmtId="2" fontId="18" fillId="18" borderId="1" xfId="0" applyNumberFormat="1" applyFont="1" applyFill="1" applyBorder="1"/>
    <xf numFmtId="0" fontId="23" fillId="8" borderId="1" xfId="0" applyFont="1" applyFill="1" applyBorder="1" applyAlignment="1">
      <alignment horizontal="left" vertical="center" wrapText="1"/>
    </xf>
    <xf numFmtId="0" fontId="23" fillId="14" borderId="1" xfId="0" applyFont="1" applyFill="1" applyBorder="1" applyAlignment="1">
      <alignment horizontal="left" vertical="center" wrapText="1"/>
    </xf>
    <xf numFmtId="0" fontId="13" fillId="14" borderId="1" xfId="0" applyFont="1" applyFill="1" applyBorder="1" applyAlignment="1">
      <alignment horizontal="left" vertical="center" wrapText="1"/>
    </xf>
    <xf numFmtId="0" fontId="23" fillId="0" borderId="1" xfId="0" applyFont="1" applyBorder="1" applyAlignment="1">
      <alignment horizontal="left" vertical="center" wrapText="1"/>
    </xf>
    <xf numFmtId="0" fontId="13" fillId="0" borderId="1" xfId="0" applyFont="1" applyBorder="1" applyAlignment="1">
      <alignment horizontal="left" vertical="center" wrapText="1"/>
    </xf>
    <xf numFmtId="0" fontId="23" fillId="8" borderId="1" xfId="0" applyFont="1" applyFill="1" applyBorder="1" applyAlignment="1">
      <alignment horizontal="center" vertical="center" wrapText="1"/>
    </xf>
    <xf numFmtId="169" fontId="24" fillId="12" borderId="1" xfId="0" applyNumberFormat="1" applyFont="1" applyFill="1" applyBorder="1" applyAlignment="1">
      <alignment horizontal="center" vertical="center" wrapText="1"/>
    </xf>
    <xf numFmtId="169" fontId="24" fillId="13" borderId="1" xfId="0" applyNumberFormat="1" applyFont="1" applyFill="1" applyBorder="1" applyAlignment="1">
      <alignment horizontal="center" vertical="center" wrapText="1"/>
    </xf>
    <xf numFmtId="0" fontId="23" fillId="14" borderId="1" xfId="0" applyFont="1" applyFill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3" fillId="8" borderId="1" xfId="0" applyFont="1" applyFill="1" applyBorder="1" applyAlignment="1">
      <alignment vertical="center" wrapText="1"/>
    </xf>
    <xf numFmtId="0" fontId="16" fillId="2" borderId="1" xfId="0" applyFont="1" applyFill="1" applyBorder="1"/>
    <xf numFmtId="0" fontId="0" fillId="2" borderId="1" xfId="0" applyFill="1" applyBorder="1"/>
    <xf numFmtId="0" fontId="0" fillId="2" borderId="0" xfId="0" applyFill="1"/>
    <xf numFmtId="170" fontId="18" fillId="24" borderId="1" xfId="0" applyNumberFormat="1" applyFont="1" applyFill="1" applyBorder="1" applyAlignment="1">
      <alignment horizontal="center" vertical="center"/>
    </xf>
    <xf numFmtId="171" fontId="18" fillId="24" borderId="1" xfId="0" applyNumberFormat="1" applyFont="1" applyFill="1" applyBorder="1" applyAlignment="1">
      <alignment horizontal="center" vertical="center"/>
    </xf>
    <xf numFmtId="0" fontId="11" fillId="9" borderId="0" xfId="0" applyFont="1" applyFill="1" applyAlignment="1">
      <alignment horizontal="center" vertical="center" wrapText="1"/>
    </xf>
    <xf numFmtId="0" fontId="16" fillId="0" borderId="1" xfId="0" applyFont="1" applyBorder="1"/>
    <xf numFmtId="0" fontId="7" fillId="4" borderId="14" xfId="2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0" fontId="7" fillId="4" borderId="1" xfId="2" applyFont="1" applyFill="1" applyBorder="1" applyAlignment="1">
      <alignment horizontal="center" vertical="center" wrapText="1"/>
    </xf>
    <xf numFmtId="43" fontId="0" fillId="0" borderId="1" xfId="0" applyNumberFormat="1" applyBorder="1" applyAlignment="1">
      <alignment horizontal="center"/>
    </xf>
    <xf numFmtId="43" fontId="0" fillId="0" borderId="1" xfId="0" applyNumberFormat="1" applyBorder="1"/>
    <xf numFmtId="2" fontId="0" fillId="0" borderId="1" xfId="0" applyNumberFormat="1" applyBorder="1"/>
    <xf numFmtId="165" fontId="0" fillId="0" borderId="1" xfId="0" applyNumberFormat="1" applyBorder="1" applyAlignment="1">
      <alignment horizontal="center"/>
    </xf>
    <xf numFmtId="165" fontId="0" fillId="0" borderId="1" xfId="0" applyNumberFormat="1" applyBorder="1"/>
    <xf numFmtId="1" fontId="0" fillId="0" borderId="1" xfId="0" applyNumberFormat="1" applyBorder="1" applyAlignment="1">
      <alignment horizontal="center"/>
    </xf>
    <xf numFmtId="1" fontId="0" fillId="0" borderId="1" xfId="0" applyNumberFormat="1" applyBorder="1"/>
    <xf numFmtId="0" fontId="2" fillId="2" borderId="16" xfId="0" applyFont="1" applyFill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23" fillId="25" borderId="0" xfId="0" applyFont="1" applyFill="1"/>
    <xf numFmtId="0" fontId="23" fillId="26" borderId="0" xfId="0" applyFont="1" applyFill="1"/>
    <xf numFmtId="166" fontId="23" fillId="26" borderId="0" xfId="0" applyNumberFormat="1" applyFont="1" applyFill="1"/>
    <xf numFmtId="2" fontId="0" fillId="0" borderId="0" xfId="0" applyNumberFormat="1"/>
    <xf numFmtId="170" fontId="18" fillId="27" borderId="0" xfId="0" applyNumberFormat="1" applyFont="1" applyFill="1"/>
    <xf numFmtId="172" fontId="18" fillId="27" borderId="0" xfId="0" applyNumberFormat="1" applyFont="1" applyFill="1"/>
    <xf numFmtId="171" fontId="18" fillId="27" borderId="0" xfId="0" applyNumberFormat="1" applyFont="1" applyFill="1"/>
    <xf numFmtId="173" fontId="18" fillId="27" borderId="0" xfId="0" applyNumberFormat="1" applyFont="1" applyFill="1"/>
    <xf numFmtId="0" fontId="7" fillId="2" borderId="11" xfId="2" applyFont="1" applyFill="1" applyBorder="1" applyAlignment="1">
      <alignment horizontal="center"/>
    </xf>
    <xf numFmtId="0" fontId="0" fillId="0" borderId="11" xfId="0" applyBorder="1"/>
    <xf numFmtId="0" fontId="7" fillId="2" borderId="3" xfId="2" applyFont="1" applyFill="1" applyBorder="1" applyAlignment="1">
      <alignment horizontal="center"/>
    </xf>
    <xf numFmtId="0" fontId="0" fillId="0" borderId="3" xfId="0" applyBorder="1"/>
    <xf numFmtId="0" fontId="5" fillId="4" borderId="8" xfId="2" applyFont="1" applyFill="1" applyBorder="1" applyAlignment="1">
      <alignment horizontal="center" vertical="center" wrapText="1"/>
    </xf>
    <xf numFmtId="0" fontId="5" fillId="4" borderId="14" xfId="2" applyFont="1" applyFill="1" applyBorder="1" applyAlignment="1">
      <alignment horizontal="center" vertical="center" wrapText="1"/>
    </xf>
    <xf numFmtId="0" fontId="5" fillId="4" borderId="9" xfId="2" applyFont="1" applyFill="1" applyBorder="1" applyAlignment="1">
      <alignment horizontal="center" vertical="center" wrapText="1"/>
    </xf>
    <xf numFmtId="0" fontId="5" fillId="4" borderId="3" xfId="2" applyFont="1" applyFill="1" applyBorder="1" applyAlignment="1">
      <alignment horizontal="center" vertical="center" wrapText="1"/>
    </xf>
    <xf numFmtId="0" fontId="5" fillId="4" borderId="10" xfId="2" applyFont="1" applyFill="1" applyBorder="1" applyAlignment="1">
      <alignment horizontal="center" vertical="center" wrapText="1"/>
    </xf>
    <xf numFmtId="0" fontId="5" fillId="4" borderId="4" xfId="2" applyFont="1" applyFill="1" applyBorder="1" applyAlignment="1">
      <alignment horizontal="center" vertical="center" wrapText="1"/>
    </xf>
  </cellXfs>
  <cellStyles count="4">
    <cellStyle name="Comma" xfId="1" builtinId="3"/>
    <cellStyle name="Comma 2" xfId="3" xr:uid="{00000000-0005-0000-0000-000003000000}"/>
    <cellStyle name="Normal" xfId="0" builtinId="0"/>
    <cellStyle name="Normal 2 2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210703</xdr:colOff>
      <xdr:row>1</xdr:row>
      <xdr:rowOff>149129</xdr:rowOff>
    </xdr:from>
    <xdr:to>
      <xdr:col>24</xdr:col>
      <xdr:colOff>174721</xdr:colOff>
      <xdr:row>5</xdr:row>
      <xdr:rowOff>121103</xdr:rowOff>
    </xdr:to>
    <xdr:pic macro="[0]!RecalcWeights">
      <xdr:nvPicPr>
        <xdr:cNvPr id="3" name="Picture 2">
          <a:extLst>
            <a:ext uri="{FF2B5EF4-FFF2-40B4-BE49-F238E27FC236}">
              <a16:creationId xmlns:a16="http://schemas.microsoft.com/office/drawing/2014/main" id="{603413A6-FCEE-7441-4612-DF518699A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40643" y="503189"/>
          <a:ext cx="1303290" cy="710883"/>
        </a:xfrm>
        <a:prstGeom prst="rect">
          <a:avLst/>
        </a:prstGeom>
      </xdr:spPr>
    </xdr:pic>
    <xdr:clientData/>
  </xdr:twoCellAnchor>
  <xdr:twoCellAnchor>
    <xdr:from>
      <xdr:col>20</xdr:col>
      <xdr:colOff>43665</xdr:colOff>
      <xdr:row>7</xdr:row>
      <xdr:rowOff>67096</xdr:rowOff>
    </xdr:from>
    <xdr:to>
      <xdr:col>23</xdr:col>
      <xdr:colOff>169332</xdr:colOff>
      <xdr:row>10</xdr:row>
      <xdr:rowOff>46183</xdr:rowOff>
    </xdr:to>
    <xdr:sp macro="[0]!ExportSauceToP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97B4146-A4AA-CB96-6F58-BFD451B3E578}"/>
            </a:ext>
          </a:extLst>
        </xdr:cNvPr>
        <xdr:cNvSpPr/>
      </xdr:nvSpPr>
      <xdr:spPr>
        <a:xfrm>
          <a:off x="24520029" y="1529520"/>
          <a:ext cx="795303" cy="533268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/>
          <a:r>
            <a:rPr lang="en-AE" sz="1100" b="1">
              <a:solidFill>
                <a:schemeClr val="bg1"/>
              </a:solidFill>
            </a:rPr>
            <a:t>Day Tables</a:t>
          </a:r>
          <a:endParaRPr lang="ar-EG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9">
    <wetp:webextensionref xmlns:r="http://schemas.openxmlformats.org/officeDocument/2006/relationships" r:id="rId1"/>
  </wetp:taskpane>
  <wetp:taskpane dockstate="right" visibility="0" width="525" row="9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C3215FC-3AF1-400F-A9F5-C664AD4B0A8D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77975f1-ecf9-4409-a562-0966ee976cee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B59D6598-6C06-4CA1-9714-8B505D2869C4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f0831746-a758-41f5-8008-13d5584c6707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249977111117893"/>
  </sheetPr>
  <dimension ref="C4:S108"/>
  <sheetViews>
    <sheetView topLeftCell="B18" zoomScale="85" zoomScaleNormal="85" workbookViewId="0">
      <selection activeCell="I46" sqref="I46"/>
    </sheetView>
  </sheetViews>
  <sheetFormatPr defaultRowHeight="14" x14ac:dyDescent="0.3"/>
  <cols>
    <col min="3" max="3" width="17.5" bestFit="1" customWidth="1"/>
    <col min="4" max="4" width="10.08203125" customWidth="1"/>
    <col min="8" max="8" width="13.83203125" customWidth="1"/>
  </cols>
  <sheetData>
    <row r="4" spans="3:19" x14ac:dyDescent="0.3">
      <c r="C4" s="1" t="s">
        <v>27</v>
      </c>
      <c r="D4" s="1" t="s">
        <v>28</v>
      </c>
      <c r="E4" s="1" t="s">
        <v>29</v>
      </c>
    </row>
    <row r="5" spans="3:19" x14ac:dyDescent="0.3">
      <c r="C5" s="1" t="s">
        <v>30</v>
      </c>
      <c r="D5" s="1" t="s">
        <v>31</v>
      </c>
      <c r="E5" s="1"/>
    </row>
    <row r="6" spans="3:19" x14ac:dyDescent="0.3">
      <c r="C6" s="1" t="s">
        <v>32</v>
      </c>
      <c r="D6" s="1" t="s">
        <v>31</v>
      </c>
      <c r="E6" s="1"/>
    </row>
    <row r="7" spans="3:19" x14ac:dyDescent="0.3">
      <c r="C7" s="1" t="s">
        <v>33</v>
      </c>
      <c r="D7" s="1" t="s">
        <v>31</v>
      </c>
      <c r="E7" s="1" t="s">
        <v>29</v>
      </c>
    </row>
    <row r="8" spans="3:19" x14ac:dyDescent="0.3">
      <c r="C8" s="1" t="s">
        <v>34</v>
      </c>
      <c r="D8" s="1" t="s">
        <v>31</v>
      </c>
      <c r="E8" s="1" t="s">
        <v>29</v>
      </c>
    </row>
    <row r="9" spans="3:19" x14ac:dyDescent="0.3">
      <c r="C9" s="1" t="s">
        <v>35</v>
      </c>
      <c r="D9" s="1" t="s">
        <v>29</v>
      </c>
      <c r="E9" s="1"/>
      <c r="S9" t="s">
        <v>134</v>
      </c>
    </row>
    <row r="10" spans="3:19" x14ac:dyDescent="0.3">
      <c r="C10" s="1" t="s">
        <v>36</v>
      </c>
      <c r="D10" s="1" t="s">
        <v>28</v>
      </c>
      <c r="E10" s="1" t="s">
        <v>29</v>
      </c>
      <c r="S10" t="s">
        <v>135</v>
      </c>
    </row>
    <row r="11" spans="3:19" x14ac:dyDescent="0.3">
      <c r="C11" s="1" t="s">
        <v>37</v>
      </c>
    </row>
    <row r="12" spans="3:19" x14ac:dyDescent="0.3">
      <c r="C12" s="1" t="s">
        <v>38</v>
      </c>
      <c r="D12" s="1" t="s">
        <v>39</v>
      </c>
      <c r="H12" s="47" t="s">
        <v>109</v>
      </c>
      <c r="J12">
        <v>133</v>
      </c>
    </row>
    <row r="13" spans="3:19" x14ac:dyDescent="0.3">
      <c r="C13" s="1" t="s">
        <v>40</v>
      </c>
      <c r="H13" t="s">
        <v>110</v>
      </c>
      <c r="S13" t="s">
        <v>136</v>
      </c>
    </row>
    <row r="14" spans="3:19" x14ac:dyDescent="0.3">
      <c r="C14" s="1" t="s">
        <v>41</v>
      </c>
      <c r="D14" s="1" t="s">
        <v>42</v>
      </c>
      <c r="H14" s="46" t="s">
        <v>170</v>
      </c>
    </row>
    <row r="15" spans="3:19" x14ac:dyDescent="0.3">
      <c r="C15" s="1" t="s">
        <v>43</v>
      </c>
      <c r="H15" s="47" t="s">
        <v>27</v>
      </c>
      <c r="J15">
        <v>57</v>
      </c>
    </row>
    <row r="16" spans="3:19" x14ac:dyDescent="0.3">
      <c r="C16" s="1" t="s">
        <v>44</v>
      </c>
      <c r="H16" s="49" t="s">
        <v>103</v>
      </c>
      <c r="S16" t="s">
        <v>137</v>
      </c>
    </row>
    <row r="17" spans="3:15" x14ac:dyDescent="0.3">
      <c r="C17" s="1" t="s">
        <v>45</v>
      </c>
      <c r="H17" s="49" t="s">
        <v>104</v>
      </c>
    </row>
    <row r="18" spans="3:15" x14ac:dyDescent="0.3">
      <c r="C18" s="1"/>
    </row>
    <row r="19" spans="3:15" x14ac:dyDescent="0.3">
      <c r="L19">
        <f>J15+J20+J24+J29</f>
        <v>569</v>
      </c>
    </row>
    <row r="20" spans="3:15" x14ac:dyDescent="0.3">
      <c r="H20" s="47" t="s">
        <v>105</v>
      </c>
      <c r="J20">
        <v>193</v>
      </c>
    </row>
    <row r="21" spans="3:15" x14ac:dyDescent="0.3">
      <c r="H21" s="50" t="s">
        <v>103</v>
      </c>
    </row>
    <row r="22" spans="3:15" x14ac:dyDescent="0.3">
      <c r="H22" t="s">
        <v>106</v>
      </c>
    </row>
    <row r="23" spans="3:15" x14ac:dyDescent="0.3">
      <c r="L23">
        <f>J29+J24+J15</f>
        <v>376</v>
      </c>
    </row>
    <row r="24" spans="3:15" x14ac:dyDescent="0.3">
      <c r="H24" s="47" t="s">
        <v>107</v>
      </c>
      <c r="J24">
        <v>213</v>
      </c>
      <c r="N24">
        <f>J20+J29</f>
        <v>299</v>
      </c>
      <c r="O24" t="s">
        <v>163</v>
      </c>
    </row>
    <row r="25" spans="3:15" x14ac:dyDescent="0.3">
      <c r="N25">
        <f>J15+J24</f>
        <v>270</v>
      </c>
      <c r="O25" t="s">
        <v>162</v>
      </c>
    </row>
    <row r="26" spans="3:15" ht="15.5" x14ac:dyDescent="0.3">
      <c r="C26" s="38" t="s">
        <v>115</v>
      </c>
      <c r="D26" s="39" t="s">
        <v>116</v>
      </c>
      <c r="H26" s="49" t="s">
        <v>103</v>
      </c>
      <c r="N26">
        <f>J24+J15</f>
        <v>270</v>
      </c>
      <c r="O26" t="s">
        <v>165</v>
      </c>
    </row>
    <row r="27" spans="3:15" ht="15.5" x14ac:dyDescent="0.3">
      <c r="C27" s="40" t="s">
        <v>117</v>
      </c>
      <c r="D27" s="39" t="s">
        <v>118</v>
      </c>
      <c r="H27" s="49" t="s">
        <v>104</v>
      </c>
      <c r="N27">
        <f>J29</f>
        <v>106</v>
      </c>
      <c r="O27" t="s">
        <v>164</v>
      </c>
    </row>
    <row r="28" spans="3:15" ht="15.5" x14ac:dyDescent="0.3">
      <c r="C28" s="40" t="s">
        <v>119</v>
      </c>
      <c r="D28" s="39" t="s">
        <v>120</v>
      </c>
      <c r="N28">
        <f>J20</f>
        <v>193</v>
      </c>
      <c r="O28" t="s">
        <v>166</v>
      </c>
    </row>
    <row r="29" spans="3:15" ht="15.5" x14ac:dyDescent="0.3">
      <c r="C29" s="40" t="s">
        <v>109</v>
      </c>
      <c r="D29" s="39" t="s">
        <v>121</v>
      </c>
      <c r="H29" s="47" t="s">
        <v>108</v>
      </c>
      <c r="J29">
        <v>106</v>
      </c>
      <c r="N29">
        <f>J12</f>
        <v>133</v>
      </c>
      <c r="O29" t="s">
        <v>167</v>
      </c>
    </row>
    <row r="30" spans="3:15" ht="15.5" x14ac:dyDescent="0.3">
      <c r="C30" s="41" t="s">
        <v>38</v>
      </c>
      <c r="D30" s="39" t="s">
        <v>121</v>
      </c>
      <c r="H30" s="50" t="s">
        <v>103</v>
      </c>
    </row>
    <row r="31" spans="3:15" ht="15.5" x14ac:dyDescent="0.3">
      <c r="C31" s="42" t="s">
        <v>122</v>
      </c>
      <c r="D31" s="39" t="s">
        <v>121</v>
      </c>
      <c r="H31" t="s">
        <v>104</v>
      </c>
    </row>
    <row r="32" spans="3:15" ht="15.5" x14ac:dyDescent="0.3">
      <c r="C32" s="40" t="s">
        <v>123</v>
      </c>
      <c r="D32" s="39" t="s">
        <v>124</v>
      </c>
    </row>
    <row r="33" spans="3:9" ht="15.5" x14ac:dyDescent="0.3">
      <c r="C33" s="40" t="s">
        <v>125</v>
      </c>
      <c r="D33" s="39" t="s">
        <v>126</v>
      </c>
      <c r="H33" s="47" t="s">
        <v>169</v>
      </c>
    </row>
    <row r="34" spans="3:9" x14ac:dyDescent="0.3">
      <c r="H34" s="46" t="s">
        <v>170</v>
      </c>
    </row>
    <row r="37" spans="3:9" x14ac:dyDescent="0.3">
      <c r="H37" s="47" t="s">
        <v>111</v>
      </c>
      <c r="I37">
        <v>206</v>
      </c>
    </row>
    <row r="38" spans="3:9" x14ac:dyDescent="0.3">
      <c r="H38" t="s">
        <v>112</v>
      </c>
    </row>
    <row r="39" spans="3:9" x14ac:dyDescent="0.3">
      <c r="H39" t="s">
        <v>113</v>
      </c>
    </row>
    <row r="41" spans="3:9" x14ac:dyDescent="0.3">
      <c r="H41" s="47" t="s">
        <v>114</v>
      </c>
      <c r="I41">
        <v>248</v>
      </c>
    </row>
    <row r="42" spans="3:9" x14ac:dyDescent="0.3">
      <c r="H42" t="s">
        <v>103</v>
      </c>
    </row>
    <row r="43" spans="3:9" x14ac:dyDescent="0.3">
      <c r="H43" t="s">
        <v>97</v>
      </c>
    </row>
    <row r="46" spans="3:9" x14ac:dyDescent="0.3">
      <c r="H46" s="47" t="s">
        <v>127</v>
      </c>
      <c r="I46">
        <v>268</v>
      </c>
    </row>
    <row r="48" spans="3:9" x14ac:dyDescent="0.3">
      <c r="H48" t="s">
        <v>128</v>
      </c>
    </row>
    <row r="50" spans="8:12" x14ac:dyDescent="0.3">
      <c r="H50" s="47" t="s">
        <v>129</v>
      </c>
      <c r="I50">
        <v>128</v>
      </c>
      <c r="K50" t="s">
        <v>128</v>
      </c>
      <c r="L50">
        <f>I58+I46</f>
        <v>431</v>
      </c>
    </row>
    <row r="51" spans="8:12" x14ac:dyDescent="0.3">
      <c r="H51" t="s">
        <v>130</v>
      </c>
      <c r="K51" t="s">
        <v>130</v>
      </c>
      <c r="L51">
        <f>I50+I53</f>
        <v>237</v>
      </c>
    </row>
    <row r="52" spans="8:12" x14ac:dyDescent="0.3">
      <c r="K52" t="s">
        <v>132</v>
      </c>
      <c r="L52">
        <f>I58</f>
        <v>163</v>
      </c>
    </row>
    <row r="53" spans="8:12" x14ac:dyDescent="0.3">
      <c r="H53" s="47" t="s">
        <v>108</v>
      </c>
      <c r="I53">
        <v>109</v>
      </c>
      <c r="K53" t="s">
        <v>104</v>
      </c>
      <c r="L53">
        <f>I53</f>
        <v>109</v>
      </c>
    </row>
    <row r="55" spans="8:12" x14ac:dyDescent="0.3">
      <c r="H55" t="s">
        <v>104</v>
      </c>
    </row>
    <row r="56" spans="8:12" x14ac:dyDescent="0.3">
      <c r="H56" t="s">
        <v>130</v>
      </c>
    </row>
    <row r="58" spans="8:12" x14ac:dyDescent="0.3">
      <c r="H58" s="47" t="s">
        <v>131</v>
      </c>
      <c r="I58">
        <f>78+85</f>
        <v>163</v>
      </c>
    </row>
    <row r="59" spans="8:12" x14ac:dyDescent="0.3">
      <c r="H59" t="s">
        <v>132</v>
      </c>
    </row>
    <row r="60" spans="8:12" x14ac:dyDescent="0.3">
      <c r="H60" t="s">
        <v>128</v>
      </c>
    </row>
    <row r="63" spans="8:12" x14ac:dyDescent="0.3">
      <c r="H63" s="51"/>
    </row>
    <row r="66" spans="8:10" x14ac:dyDescent="0.3">
      <c r="H66" t="s">
        <v>138</v>
      </c>
      <c r="J66">
        <v>150</v>
      </c>
    </row>
    <row r="67" spans="8:10" x14ac:dyDescent="0.3">
      <c r="H67" t="s">
        <v>97</v>
      </c>
    </row>
    <row r="69" spans="8:10" x14ac:dyDescent="0.3">
      <c r="H69" s="47" t="s">
        <v>73</v>
      </c>
    </row>
    <row r="70" spans="8:10" x14ac:dyDescent="0.3">
      <c r="H70" t="s">
        <v>112</v>
      </c>
    </row>
    <row r="73" spans="8:10" x14ac:dyDescent="0.3">
      <c r="H73" s="47" t="s">
        <v>100</v>
      </c>
      <c r="J73">
        <v>317</v>
      </c>
    </row>
    <row r="74" spans="8:10" x14ac:dyDescent="0.3">
      <c r="H74" t="s">
        <v>101</v>
      </c>
    </row>
    <row r="76" spans="8:10" x14ac:dyDescent="0.3">
      <c r="H76" s="47" t="s">
        <v>139</v>
      </c>
      <c r="J76">
        <f>84+80</f>
        <v>164</v>
      </c>
    </row>
    <row r="77" spans="8:10" x14ac:dyDescent="0.3">
      <c r="H77" t="s">
        <v>140</v>
      </c>
    </row>
    <row r="80" spans="8:10" x14ac:dyDescent="0.3">
      <c r="H80" s="51"/>
    </row>
    <row r="83" spans="8:10" x14ac:dyDescent="0.3">
      <c r="H83" s="47" t="s">
        <v>151</v>
      </c>
      <c r="J83">
        <v>182</v>
      </c>
    </row>
    <row r="85" spans="8:10" x14ac:dyDescent="0.3">
      <c r="H85" t="s">
        <v>103</v>
      </c>
    </row>
    <row r="86" spans="8:10" x14ac:dyDescent="0.3">
      <c r="H86" t="s">
        <v>152</v>
      </c>
    </row>
    <row r="89" spans="8:10" x14ac:dyDescent="0.3">
      <c r="H89" s="51"/>
    </row>
    <row r="91" spans="8:10" x14ac:dyDescent="0.3">
      <c r="H91" s="47" t="s">
        <v>129</v>
      </c>
      <c r="I91">
        <v>128</v>
      </c>
    </row>
    <row r="92" spans="8:10" x14ac:dyDescent="0.3">
      <c r="H92" t="s">
        <v>153</v>
      </c>
    </row>
    <row r="95" spans="8:10" x14ac:dyDescent="0.3">
      <c r="H95" s="47" t="s">
        <v>154</v>
      </c>
      <c r="I95">
        <v>203</v>
      </c>
    </row>
    <row r="97" spans="8:9" x14ac:dyDescent="0.3">
      <c r="H97" t="s">
        <v>97</v>
      </c>
    </row>
    <row r="101" spans="8:9" x14ac:dyDescent="0.3">
      <c r="H101" s="47" t="s">
        <v>155</v>
      </c>
      <c r="I101">
        <v>342</v>
      </c>
    </row>
    <row r="102" spans="8:9" x14ac:dyDescent="0.3">
      <c r="H102" t="s">
        <v>103</v>
      </c>
    </row>
    <row r="103" spans="8:9" x14ac:dyDescent="0.3">
      <c r="H103" t="s">
        <v>104</v>
      </c>
    </row>
    <row r="106" spans="8:9" x14ac:dyDescent="0.3">
      <c r="H106" s="47" t="s">
        <v>156</v>
      </c>
      <c r="I106">
        <f>81+68</f>
        <v>149</v>
      </c>
    </row>
    <row r="107" spans="8:9" x14ac:dyDescent="0.3">
      <c r="H107" t="s">
        <v>104</v>
      </c>
    </row>
    <row r="108" spans="8:9" x14ac:dyDescent="0.3">
      <c r="H108" t="s">
        <v>157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2B86-28F2-40FF-8C0E-8824881AD859}">
  <sheetPr codeName="Sheet2">
    <tabColor theme="8" tint="-0.249977111117893"/>
  </sheetPr>
  <dimension ref="A1:AB36"/>
  <sheetViews>
    <sheetView tabSelected="1" zoomScale="70" zoomScaleNormal="70" workbookViewId="0">
      <pane ySplit="1" topLeftCell="A2" activePane="bottomLeft" state="frozen"/>
      <selection pane="bottomLeft" activeCell="H39" sqref="H39:H40"/>
    </sheetView>
  </sheetViews>
  <sheetFormatPr defaultRowHeight="14" x14ac:dyDescent="0.3"/>
  <cols>
    <col min="1" max="1" width="37" customWidth="1"/>
    <col min="2" max="2" width="27.58203125" customWidth="1"/>
    <col min="3" max="3" width="8" customWidth="1"/>
    <col min="4" max="4" width="14" customWidth="1"/>
    <col min="5" max="5" width="15.6640625" customWidth="1"/>
    <col min="6" max="6" width="13.08203125" customWidth="1"/>
    <col min="7" max="7" width="18.4140625" customWidth="1"/>
    <col min="8" max="8" width="29.5" customWidth="1"/>
    <col min="9" max="9" width="22.08203125" customWidth="1"/>
    <col min="10" max="10" width="33.5" customWidth="1"/>
    <col min="11" max="11" width="9.6640625" customWidth="1"/>
    <col min="12" max="12" width="10.4140625" customWidth="1"/>
    <col min="13" max="15" width="5.83203125" customWidth="1"/>
    <col min="16" max="16" width="4.5" customWidth="1"/>
    <col min="17" max="17" width="19.5" customWidth="1"/>
    <col min="18" max="18" width="6.08203125" customWidth="1"/>
    <col min="19" max="26" width="3.08203125" customWidth="1"/>
    <col min="27" max="27" width="29.6640625" customWidth="1"/>
    <col min="28" max="28" width="14" customWidth="1"/>
  </cols>
  <sheetData>
    <row r="1" spans="1:28" ht="39.5" thickBot="1" x14ac:dyDescent="0.35">
      <c r="A1" s="62" t="s">
        <v>213</v>
      </c>
      <c r="B1" s="62" t="s">
        <v>6</v>
      </c>
      <c r="C1" s="62" t="s">
        <v>214</v>
      </c>
      <c r="D1" s="62" t="s">
        <v>215</v>
      </c>
      <c r="E1" s="62" t="s">
        <v>216</v>
      </c>
      <c r="F1" s="62" t="s">
        <v>75</v>
      </c>
      <c r="G1" s="60" t="s">
        <v>225</v>
      </c>
      <c r="H1" s="61" t="s">
        <v>226</v>
      </c>
      <c r="I1" s="60" t="s">
        <v>227</v>
      </c>
      <c r="J1" s="60" t="s">
        <v>228</v>
      </c>
      <c r="K1" s="62" t="s">
        <v>77</v>
      </c>
      <c r="L1" s="62" t="s">
        <v>78</v>
      </c>
      <c r="M1" s="62" t="s">
        <v>76</v>
      </c>
      <c r="N1" s="62" t="s">
        <v>79</v>
      </c>
      <c r="O1" s="31" t="s">
        <v>80</v>
      </c>
      <c r="Q1" s="30" t="s">
        <v>82</v>
      </c>
      <c r="R1" s="32">
        <v>4</v>
      </c>
      <c r="AA1" s="52" t="s">
        <v>83</v>
      </c>
      <c r="AB1" s="52"/>
    </row>
    <row r="2" spans="1:28" x14ac:dyDescent="0.3">
      <c r="A2" s="83"/>
      <c r="B2" s="83"/>
      <c r="C2" s="83"/>
      <c r="D2" s="83"/>
      <c r="E2" s="83"/>
      <c r="F2" s="83"/>
      <c r="G2" s="60"/>
      <c r="H2" s="61"/>
      <c r="I2" s="60"/>
      <c r="J2" s="60"/>
      <c r="K2" s="83"/>
      <c r="L2" s="83"/>
      <c r="M2" s="83"/>
      <c r="N2" s="83"/>
      <c r="O2" s="83"/>
      <c r="AA2" s="33" t="s">
        <v>81</v>
      </c>
      <c r="AB2" s="33" t="s">
        <v>180</v>
      </c>
    </row>
    <row r="3" spans="1:28" x14ac:dyDescent="0.3">
      <c r="A3" s="67" t="s">
        <v>54</v>
      </c>
      <c r="B3" s="63" t="s">
        <v>221</v>
      </c>
      <c r="C3" s="72" t="s">
        <v>84</v>
      </c>
      <c r="D3" s="73">
        <v>13950.474601808008</v>
      </c>
      <c r="E3" s="74">
        <v>33430.637645286268</v>
      </c>
      <c r="F3" s="84">
        <v>1</v>
      </c>
      <c r="G3" s="81">
        <v>10000</v>
      </c>
      <c r="H3" s="81" t="s">
        <v>232</v>
      </c>
      <c r="I3" s="82">
        <v>66.959999999999994</v>
      </c>
      <c r="J3" s="82">
        <f>I3/(G3/1000)</f>
        <v>6.6959999999999997</v>
      </c>
      <c r="K3" s="102">
        <f>(E3/F3)/G3</f>
        <v>3.343063764528627</v>
      </c>
      <c r="L3" s="102">
        <f>(D3/F3)/G3</f>
        <v>1.3950474601808007</v>
      </c>
      <c r="M3" s="102" t="s">
        <v>246</v>
      </c>
      <c r="N3" s="102">
        <f>K3*I3</f>
        <v>223.85154967283685</v>
      </c>
      <c r="O3" s="102">
        <f>L3*I3</f>
        <v>93.412377933706409</v>
      </c>
      <c r="AA3" s="28" t="s">
        <v>85</v>
      </c>
      <c r="AB3" s="29">
        <v>1</v>
      </c>
    </row>
    <row r="4" spans="1:28" x14ac:dyDescent="0.3">
      <c r="A4" s="78"/>
      <c r="B4" s="78"/>
      <c r="C4" s="78"/>
      <c r="D4" s="78"/>
      <c r="E4" s="78"/>
      <c r="F4" s="78"/>
      <c r="G4" s="79"/>
      <c r="H4" s="79"/>
      <c r="I4" s="79"/>
      <c r="J4" s="79"/>
      <c r="K4" s="79"/>
      <c r="L4" s="79"/>
      <c r="M4" s="79"/>
      <c r="N4" s="79"/>
      <c r="O4" s="80"/>
      <c r="AA4" s="28" t="s">
        <v>93</v>
      </c>
      <c r="AB4" s="29">
        <v>1</v>
      </c>
    </row>
    <row r="5" spans="1:28" x14ac:dyDescent="0.3">
      <c r="A5" s="68" t="s">
        <v>50</v>
      </c>
      <c r="B5" s="69" t="s">
        <v>217</v>
      </c>
      <c r="C5" s="75" t="s">
        <v>212</v>
      </c>
      <c r="D5" s="73">
        <v>0</v>
      </c>
      <c r="E5" s="74">
        <v>1754.8907518315875</v>
      </c>
      <c r="F5" s="84">
        <v>1</v>
      </c>
      <c r="G5" s="81">
        <v>12000</v>
      </c>
      <c r="H5" s="81" t="s">
        <v>247</v>
      </c>
      <c r="I5" s="82">
        <v>60</v>
      </c>
      <c r="J5" s="82">
        <f t="shared" ref="J5:J10" si="0">I5/(G5/1000)</f>
        <v>5</v>
      </c>
      <c r="K5" s="104">
        <f t="shared" ref="K5:K10" si="1">(E5/F5)/G5</f>
        <v>0.14624089598596562</v>
      </c>
      <c r="L5" s="104">
        <f t="shared" ref="L5:L10" si="2">(D5/F5)/G5</f>
        <v>0</v>
      </c>
      <c r="M5" s="102" t="s">
        <v>253</v>
      </c>
      <c r="N5" s="102">
        <f>K5*I5</f>
        <v>8.7744537591579377</v>
      </c>
      <c r="O5" s="102">
        <f>L5*I5</f>
        <v>0</v>
      </c>
      <c r="AA5" s="28" t="s">
        <v>91</v>
      </c>
      <c r="AB5" s="29">
        <v>1</v>
      </c>
    </row>
    <row r="6" spans="1:28" x14ac:dyDescent="0.3">
      <c r="A6" s="70" t="s">
        <v>56</v>
      </c>
      <c r="B6" s="71" t="s">
        <v>217</v>
      </c>
      <c r="C6" s="76" t="s">
        <v>84</v>
      </c>
      <c r="D6" s="73">
        <v>4897.8494623655915</v>
      </c>
      <c r="E6" s="74">
        <v>31170.70687790291</v>
      </c>
      <c r="F6" s="84">
        <v>1</v>
      </c>
      <c r="G6" s="81">
        <f>4*3700</f>
        <v>14800</v>
      </c>
      <c r="H6" s="81" t="s">
        <v>239</v>
      </c>
      <c r="I6" s="82">
        <v>95</v>
      </c>
      <c r="J6" s="82">
        <f t="shared" si="0"/>
        <v>6.4189189189189184</v>
      </c>
      <c r="K6" s="104">
        <f t="shared" si="1"/>
        <v>2.1061288431015481</v>
      </c>
      <c r="L6" s="104">
        <f t="shared" si="2"/>
        <v>0.33093577448416162</v>
      </c>
      <c r="M6" s="102" t="s">
        <v>253</v>
      </c>
      <c r="N6" s="102">
        <f t="shared" ref="N6:N10" si="3">K6*I6</f>
        <v>200.08224009464706</v>
      </c>
      <c r="O6" s="102">
        <f t="shared" ref="O6:O10" si="4">L6*I6</f>
        <v>31.438898575995353</v>
      </c>
      <c r="AA6" s="28" t="s">
        <v>89</v>
      </c>
      <c r="AB6" s="29">
        <v>1</v>
      </c>
    </row>
    <row r="7" spans="1:28" x14ac:dyDescent="0.3">
      <c r="A7" s="68" t="s">
        <v>57</v>
      </c>
      <c r="B7" s="69" t="s">
        <v>217</v>
      </c>
      <c r="C7" s="75" t="s">
        <v>84</v>
      </c>
      <c r="D7" s="73">
        <v>242.40143369175627</v>
      </c>
      <c r="E7" s="74">
        <v>1351.9713261648744</v>
      </c>
      <c r="F7" s="84">
        <v>1</v>
      </c>
      <c r="G7" s="81">
        <f>3780*4</f>
        <v>15120</v>
      </c>
      <c r="H7" s="81" t="s">
        <v>237</v>
      </c>
      <c r="I7" s="82">
        <v>170</v>
      </c>
      <c r="J7" s="82">
        <f t="shared" si="0"/>
        <v>11.243386243386244</v>
      </c>
      <c r="K7" s="104">
        <f t="shared" si="1"/>
        <v>8.9416093000322383E-2</v>
      </c>
      <c r="L7" s="104">
        <f t="shared" si="2"/>
        <v>1.6031840852629382E-2</v>
      </c>
      <c r="M7" s="102" t="s">
        <v>253</v>
      </c>
      <c r="N7" s="102">
        <f t="shared" si="3"/>
        <v>15.200735810054805</v>
      </c>
      <c r="O7" s="102">
        <f t="shared" si="4"/>
        <v>2.7254129449469948</v>
      </c>
      <c r="AA7" s="28" t="s">
        <v>181</v>
      </c>
      <c r="AB7" s="29">
        <v>1</v>
      </c>
    </row>
    <row r="8" spans="1:28" x14ac:dyDescent="0.3">
      <c r="A8" s="77" t="s">
        <v>242</v>
      </c>
      <c r="B8" s="63" t="s">
        <v>217</v>
      </c>
      <c r="C8" s="72" t="s">
        <v>84</v>
      </c>
      <c r="D8" s="73">
        <v>0</v>
      </c>
      <c r="E8" s="74">
        <v>11661.283513196775</v>
      </c>
      <c r="F8" s="84">
        <v>1</v>
      </c>
      <c r="G8" s="81">
        <v>16000</v>
      </c>
      <c r="H8" s="81" t="s">
        <v>240</v>
      </c>
      <c r="I8" s="82">
        <v>160</v>
      </c>
      <c r="J8" s="82">
        <f t="shared" si="0"/>
        <v>10</v>
      </c>
      <c r="K8" s="104">
        <f t="shared" si="1"/>
        <v>0.72883021957479843</v>
      </c>
      <c r="L8" s="104">
        <f t="shared" si="2"/>
        <v>0</v>
      </c>
      <c r="M8" s="102" t="s">
        <v>254</v>
      </c>
      <c r="N8" s="102">
        <f t="shared" si="3"/>
        <v>116.61283513196776</v>
      </c>
      <c r="O8" s="102">
        <f t="shared" si="4"/>
        <v>0</v>
      </c>
      <c r="AA8" s="28" t="s">
        <v>92</v>
      </c>
      <c r="AB8" s="29">
        <v>1</v>
      </c>
    </row>
    <row r="9" spans="1:28" x14ac:dyDescent="0.3">
      <c r="A9" s="67" t="s">
        <v>94</v>
      </c>
      <c r="B9" s="63" t="s">
        <v>217</v>
      </c>
      <c r="C9" s="72" t="s">
        <v>212</v>
      </c>
      <c r="D9" s="73">
        <v>502.97491039426524</v>
      </c>
      <c r="E9" s="74">
        <v>2854.8499501601236</v>
      </c>
      <c r="F9" s="84">
        <v>1</v>
      </c>
      <c r="G9" s="81">
        <f>355*6</f>
        <v>2130</v>
      </c>
      <c r="H9" s="81" t="s">
        <v>238</v>
      </c>
      <c r="I9" s="82">
        <v>125</v>
      </c>
      <c r="J9" s="82">
        <f t="shared" si="0"/>
        <v>58.685446009389672</v>
      </c>
      <c r="K9" s="104">
        <f t="shared" si="1"/>
        <v>1.3403051409202458</v>
      </c>
      <c r="L9" s="104">
        <f t="shared" si="2"/>
        <v>0.23613845558416208</v>
      </c>
      <c r="M9" s="102" t="s">
        <v>253</v>
      </c>
      <c r="N9" s="102">
        <f t="shared" si="3"/>
        <v>167.53814261503072</v>
      </c>
      <c r="O9" s="102">
        <f t="shared" si="4"/>
        <v>29.517306948020259</v>
      </c>
      <c r="AA9" s="28" t="s">
        <v>86</v>
      </c>
      <c r="AB9" s="29">
        <v>1</v>
      </c>
    </row>
    <row r="10" spans="1:28" x14ac:dyDescent="0.3">
      <c r="A10" s="67" t="s">
        <v>205</v>
      </c>
      <c r="B10" s="63" t="s">
        <v>217</v>
      </c>
      <c r="C10" s="72" t="s">
        <v>212</v>
      </c>
      <c r="D10" s="73">
        <v>1384.3010752688172</v>
      </c>
      <c r="E10" s="74">
        <v>7447.956989247311</v>
      </c>
      <c r="F10" s="84">
        <v>1</v>
      </c>
      <c r="G10" s="81">
        <f>4*5000</f>
        <v>20000</v>
      </c>
      <c r="H10" s="81" t="s">
        <v>236</v>
      </c>
      <c r="I10" s="82">
        <v>65</v>
      </c>
      <c r="J10" s="82">
        <f t="shared" si="0"/>
        <v>3.25</v>
      </c>
      <c r="K10" s="104">
        <f t="shared" si="1"/>
        <v>0.37239784946236554</v>
      </c>
      <c r="L10" s="104">
        <f t="shared" si="2"/>
        <v>6.9215053763440865E-2</v>
      </c>
      <c r="M10" s="102" t="s">
        <v>253</v>
      </c>
      <c r="N10" s="102">
        <f t="shared" si="3"/>
        <v>24.205860215053761</v>
      </c>
      <c r="O10" s="102">
        <f t="shared" si="4"/>
        <v>4.498978494623656</v>
      </c>
      <c r="AA10" s="28" t="s">
        <v>90</v>
      </c>
      <c r="AB10" s="29">
        <v>1</v>
      </c>
    </row>
    <row r="11" spans="1:28" x14ac:dyDescent="0.3">
      <c r="A11" s="78"/>
      <c r="B11" s="78"/>
      <c r="C11" s="78"/>
      <c r="D11" s="78"/>
      <c r="E11" s="78"/>
      <c r="F11" s="78"/>
      <c r="G11" s="79"/>
      <c r="H11" s="79"/>
      <c r="I11" s="79"/>
      <c r="J11" s="79"/>
      <c r="K11" s="79"/>
      <c r="L11" s="79"/>
      <c r="M11" s="79"/>
      <c r="N11" s="79"/>
      <c r="O11" s="80"/>
      <c r="AA11" s="28" t="s">
        <v>182</v>
      </c>
      <c r="AB11" s="29">
        <v>2</v>
      </c>
    </row>
    <row r="12" spans="1:28" x14ac:dyDescent="0.3">
      <c r="A12" s="68" t="s">
        <v>53</v>
      </c>
      <c r="B12" s="69" t="s">
        <v>218</v>
      </c>
      <c r="C12" s="75" t="s">
        <v>212</v>
      </c>
      <c r="D12" s="73">
        <v>5771.739130434783</v>
      </c>
      <c r="E12" s="74">
        <v>30891.581130613369</v>
      </c>
      <c r="F12" s="84">
        <v>1</v>
      </c>
      <c r="G12" s="81">
        <v>1000</v>
      </c>
      <c r="H12" s="81" t="s">
        <v>246</v>
      </c>
      <c r="I12" s="82">
        <v>0</v>
      </c>
      <c r="J12" s="82">
        <v>0</v>
      </c>
      <c r="K12" s="102">
        <f>(E12/F12)/G12</f>
        <v>30.891581130613368</v>
      </c>
      <c r="L12" s="102">
        <f>(D12/F12)/G12</f>
        <v>5.7717391304347831</v>
      </c>
      <c r="M12" s="102" t="s">
        <v>246</v>
      </c>
      <c r="N12" s="102">
        <f>K12*I12</f>
        <v>0</v>
      </c>
      <c r="O12" s="102">
        <f>L12*I12</f>
        <v>0</v>
      </c>
      <c r="AA12" s="28" t="s">
        <v>200</v>
      </c>
      <c r="AB12" s="29">
        <v>2</v>
      </c>
    </row>
    <row r="13" spans="1:28" x14ac:dyDescent="0.3">
      <c r="A13" s="78"/>
      <c r="B13" s="78"/>
      <c r="C13" s="78"/>
      <c r="D13" s="78"/>
      <c r="E13" s="78"/>
      <c r="F13" s="78"/>
      <c r="G13" s="79"/>
      <c r="H13" s="79"/>
      <c r="I13" s="79"/>
      <c r="J13" s="79"/>
      <c r="K13" s="79"/>
      <c r="L13" s="79"/>
      <c r="M13" s="79"/>
      <c r="N13" s="79"/>
      <c r="O13" s="80"/>
      <c r="AA13" s="28" t="s">
        <v>5</v>
      </c>
      <c r="AB13" s="29">
        <v>2</v>
      </c>
    </row>
    <row r="14" spans="1:28" x14ac:dyDescent="0.3">
      <c r="A14" s="67" t="s">
        <v>46</v>
      </c>
      <c r="B14" s="63" t="s">
        <v>222</v>
      </c>
      <c r="C14" s="72" t="s">
        <v>84</v>
      </c>
      <c r="D14" s="73">
        <v>0</v>
      </c>
      <c r="E14" s="74">
        <v>48.476517754868269</v>
      </c>
      <c r="F14" s="84">
        <v>1</v>
      </c>
      <c r="G14" s="81">
        <v>1000</v>
      </c>
      <c r="H14" s="81" t="s">
        <v>229</v>
      </c>
      <c r="I14" s="82">
        <v>5</v>
      </c>
      <c r="J14" s="82">
        <f t="shared" ref="J14:J19" si="5">I14/(G14/1000)</f>
        <v>5</v>
      </c>
      <c r="K14" s="104">
        <f t="shared" ref="K14:K19" si="6">(E14/F14)/G14</f>
        <v>4.8476517754868269E-2</v>
      </c>
      <c r="L14" s="104">
        <f t="shared" ref="L14:L19" si="7">(D14/F14)/G14</f>
        <v>0</v>
      </c>
      <c r="M14" s="102" t="s">
        <v>246</v>
      </c>
      <c r="N14" s="102">
        <f>K14*I14</f>
        <v>0.24238258877434135</v>
      </c>
      <c r="O14" s="102">
        <f>L14*I14</f>
        <v>0</v>
      </c>
      <c r="AA14" s="28" t="s">
        <v>183</v>
      </c>
      <c r="AB14" s="29">
        <v>2</v>
      </c>
    </row>
    <row r="15" spans="1:28" x14ac:dyDescent="0.3">
      <c r="A15" s="67" t="s">
        <v>204</v>
      </c>
      <c r="B15" s="63" t="s">
        <v>222</v>
      </c>
      <c r="C15" s="72" t="s">
        <v>84</v>
      </c>
      <c r="D15" s="73">
        <v>0</v>
      </c>
      <c r="E15" s="74">
        <v>34.756986634264884</v>
      </c>
      <c r="F15" s="84">
        <v>1</v>
      </c>
      <c r="G15" s="81">
        <v>1000</v>
      </c>
      <c r="H15" s="81" t="s">
        <v>229</v>
      </c>
      <c r="I15" s="82">
        <v>31</v>
      </c>
      <c r="J15" s="82">
        <f t="shared" si="5"/>
        <v>31</v>
      </c>
      <c r="K15" s="104">
        <f t="shared" si="6"/>
        <v>3.475698663426488E-2</v>
      </c>
      <c r="L15" s="104">
        <f t="shared" si="7"/>
        <v>0</v>
      </c>
      <c r="M15" s="102" t="s">
        <v>246</v>
      </c>
      <c r="N15" s="102">
        <f t="shared" ref="N15:N19" si="8">K15*I15</f>
        <v>1.0774665856622112</v>
      </c>
      <c r="O15" s="102">
        <f t="shared" ref="O15:O19" si="9">L15*I15</f>
        <v>0</v>
      </c>
      <c r="AA15" s="28" t="s">
        <v>184</v>
      </c>
      <c r="AB15" s="29">
        <v>2</v>
      </c>
    </row>
    <row r="16" spans="1:28" x14ac:dyDescent="0.3">
      <c r="A16" s="67" t="s">
        <v>51</v>
      </c>
      <c r="B16" s="63" t="s">
        <v>222</v>
      </c>
      <c r="C16" s="72" t="s">
        <v>84</v>
      </c>
      <c r="D16" s="73">
        <v>19.81630434782609</v>
      </c>
      <c r="E16" s="74">
        <v>108.05519315600404</v>
      </c>
      <c r="F16" s="84">
        <v>1</v>
      </c>
      <c r="G16" s="81">
        <v>1000</v>
      </c>
      <c r="H16" s="81" t="s">
        <v>229</v>
      </c>
      <c r="I16" s="82">
        <v>8</v>
      </c>
      <c r="J16" s="82">
        <f t="shared" si="5"/>
        <v>8</v>
      </c>
      <c r="K16" s="104">
        <f t="shared" si="6"/>
        <v>0.10805519315600404</v>
      </c>
      <c r="L16" s="104">
        <f t="shared" si="7"/>
        <v>1.9816304347826091E-2</v>
      </c>
      <c r="M16" s="102" t="s">
        <v>246</v>
      </c>
      <c r="N16" s="102">
        <f t="shared" si="8"/>
        <v>0.86444154524803229</v>
      </c>
      <c r="O16" s="102">
        <f t="shared" si="9"/>
        <v>0.15853043478260873</v>
      </c>
      <c r="AA16" t="s">
        <v>185</v>
      </c>
      <c r="AB16" s="29">
        <v>3</v>
      </c>
    </row>
    <row r="17" spans="1:28" x14ac:dyDescent="0.3">
      <c r="A17" s="68" t="s">
        <v>207</v>
      </c>
      <c r="B17" s="69" t="s">
        <v>222</v>
      </c>
      <c r="C17" s="75" t="s">
        <v>84</v>
      </c>
      <c r="D17" s="73">
        <v>0</v>
      </c>
      <c r="E17" s="74">
        <v>2.1301775147928992</v>
      </c>
      <c r="F17" s="84">
        <v>1</v>
      </c>
      <c r="G17" s="81">
        <v>2724</v>
      </c>
      <c r="H17" s="81" t="s">
        <v>231</v>
      </c>
      <c r="I17" s="82">
        <v>175</v>
      </c>
      <c r="J17" s="82">
        <f t="shared" si="5"/>
        <v>64.243759177679877</v>
      </c>
      <c r="K17" s="104">
        <f t="shared" si="6"/>
        <v>7.8200349294893512E-4</v>
      </c>
      <c r="L17" s="104">
        <f t="shared" si="7"/>
        <v>0</v>
      </c>
      <c r="M17" s="102" t="s">
        <v>253</v>
      </c>
      <c r="N17" s="102">
        <f t="shared" si="8"/>
        <v>0.13685061126606365</v>
      </c>
      <c r="O17" s="102">
        <f t="shared" si="9"/>
        <v>0</v>
      </c>
      <c r="AA17" t="s">
        <v>186</v>
      </c>
      <c r="AB17" s="29">
        <v>3</v>
      </c>
    </row>
    <row r="18" spans="1:28" x14ac:dyDescent="0.3">
      <c r="A18" s="67" t="s">
        <v>52</v>
      </c>
      <c r="B18" s="63" t="s">
        <v>222</v>
      </c>
      <c r="C18" s="72" t="s">
        <v>84</v>
      </c>
      <c r="D18" s="73">
        <v>63.837064141196734</v>
      </c>
      <c r="E18" s="74">
        <v>442.17330432981225</v>
      </c>
      <c r="F18" s="84">
        <v>1</v>
      </c>
      <c r="G18" s="81">
        <v>50000</v>
      </c>
      <c r="H18" s="81" t="s">
        <v>244</v>
      </c>
      <c r="I18" s="82">
        <v>37</v>
      </c>
      <c r="J18" s="82">
        <f t="shared" si="5"/>
        <v>0.74</v>
      </c>
      <c r="K18" s="104">
        <f t="shared" si="6"/>
        <v>8.8434660865962453E-3</v>
      </c>
      <c r="L18" s="104">
        <f t="shared" si="7"/>
        <v>1.2767412828239347E-3</v>
      </c>
      <c r="M18" s="102" t="s">
        <v>246</v>
      </c>
      <c r="N18" s="102">
        <f t="shared" si="8"/>
        <v>0.32720824520406105</v>
      </c>
      <c r="O18" s="102">
        <f t="shared" si="9"/>
        <v>4.7239427464485582E-2</v>
      </c>
      <c r="AA18" t="s">
        <v>201</v>
      </c>
      <c r="AB18" s="29">
        <v>3</v>
      </c>
    </row>
    <row r="19" spans="1:28" x14ac:dyDescent="0.3">
      <c r="A19" s="68" t="s">
        <v>55</v>
      </c>
      <c r="B19" s="69" t="s">
        <v>222</v>
      </c>
      <c r="C19" s="75" t="s">
        <v>84</v>
      </c>
      <c r="D19" s="73">
        <v>4.2772277227722775</v>
      </c>
      <c r="E19" s="74">
        <v>4.2772277227722775</v>
      </c>
      <c r="F19" s="84">
        <v>1</v>
      </c>
      <c r="G19" s="81">
        <v>1000</v>
      </c>
      <c r="H19" s="81" t="s">
        <v>229</v>
      </c>
      <c r="I19" s="82">
        <v>47</v>
      </c>
      <c r="J19" s="82">
        <f t="shared" si="5"/>
        <v>47</v>
      </c>
      <c r="K19" s="104">
        <f t="shared" si="6"/>
        <v>4.2772277227722776E-3</v>
      </c>
      <c r="L19" s="104">
        <f t="shared" si="7"/>
        <v>4.2772277227722776E-3</v>
      </c>
      <c r="M19" s="102" t="s">
        <v>246</v>
      </c>
      <c r="N19" s="102">
        <f t="shared" si="8"/>
        <v>0.20102970297029704</v>
      </c>
      <c r="O19" s="102">
        <f t="shared" si="9"/>
        <v>0.20102970297029704</v>
      </c>
      <c r="AA19" t="s">
        <v>197</v>
      </c>
      <c r="AB19" s="29">
        <v>3</v>
      </c>
    </row>
    <row r="20" spans="1:28" x14ac:dyDescent="0.3">
      <c r="A20" s="78"/>
      <c r="B20" s="78"/>
      <c r="C20" s="78"/>
      <c r="D20" s="78"/>
      <c r="E20" s="78"/>
      <c r="F20" s="78"/>
      <c r="G20" s="79"/>
      <c r="H20" s="79"/>
      <c r="I20" s="79"/>
      <c r="J20" s="79"/>
      <c r="K20" s="79"/>
      <c r="L20" s="79"/>
      <c r="M20" s="79"/>
      <c r="N20" s="79"/>
      <c r="O20" s="80"/>
      <c r="AA20" t="s">
        <v>61</v>
      </c>
      <c r="AB20" s="29">
        <v>3</v>
      </c>
    </row>
    <row r="21" spans="1:28" x14ac:dyDescent="0.3">
      <c r="A21" s="67" t="s">
        <v>224</v>
      </c>
      <c r="B21" s="63" t="s">
        <v>223</v>
      </c>
      <c r="C21" s="72" t="s">
        <v>84</v>
      </c>
      <c r="D21" s="73">
        <v>0</v>
      </c>
      <c r="E21" s="74">
        <v>1.9612794612794611</v>
      </c>
      <c r="F21" s="84">
        <v>1</v>
      </c>
      <c r="G21" s="81">
        <v>100</v>
      </c>
      <c r="H21" s="81" t="s">
        <v>235</v>
      </c>
      <c r="I21" s="82">
        <v>3.5</v>
      </c>
      <c r="J21" s="82">
        <f>I21/(G21/1000)</f>
        <v>35</v>
      </c>
      <c r="K21" s="102">
        <f>(E21/F21)/G21</f>
        <v>1.961279461279461E-2</v>
      </c>
      <c r="L21" s="102">
        <f>(D21/F21)/G21</f>
        <v>0</v>
      </c>
      <c r="M21" s="102" t="s">
        <v>254</v>
      </c>
      <c r="N21" s="102">
        <f t="shared" ref="N21" si="10">K21*I21</f>
        <v>6.8644781144781133E-2</v>
      </c>
      <c r="O21" s="102">
        <f t="shared" ref="O21" si="11">L21*I21</f>
        <v>0</v>
      </c>
      <c r="AA21" t="s">
        <v>187</v>
      </c>
      <c r="AB21" s="29">
        <v>4</v>
      </c>
    </row>
    <row r="22" spans="1:28" x14ac:dyDescent="0.3">
      <c r="A22" s="78"/>
      <c r="B22" s="78"/>
      <c r="C22" s="78"/>
      <c r="D22" s="78"/>
      <c r="E22" s="78"/>
      <c r="F22" s="78"/>
      <c r="G22" s="79"/>
      <c r="H22" s="79"/>
      <c r="I22" s="79"/>
      <c r="J22" s="79"/>
      <c r="K22" s="79"/>
      <c r="L22" s="79"/>
      <c r="M22" s="79"/>
      <c r="N22" s="79"/>
      <c r="O22" s="80"/>
      <c r="AA22" t="s">
        <v>87</v>
      </c>
      <c r="AB22" s="29">
        <v>4</v>
      </c>
    </row>
    <row r="23" spans="1:28" x14ac:dyDescent="0.3">
      <c r="A23" s="68" t="s">
        <v>48</v>
      </c>
      <c r="B23" s="69" t="s">
        <v>220</v>
      </c>
      <c r="C23" s="75" t="s">
        <v>84</v>
      </c>
      <c r="D23" s="73">
        <v>0</v>
      </c>
      <c r="E23" s="74">
        <v>1483.3333333333335</v>
      </c>
      <c r="F23" s="84">
        <v>1</v>
      </c>
      <c r="G23" s="81">
        <v>10000</v>
      </c>
      <c r="H23" s="81" t="s">
        <v>248</v>
      </c>
      <c r="I23" s="82">
        <v>42</v>
      </c>
      <c r="J23" s="82">
        <f>I23/(G23/1000)</f>
        <v>4.2</v>
      </c>
      <c r="K23" s="104">
        <f>(E23/F23)/G23</f>
        <v>0.14833333333333334</v>
      </c>
      <c r="L23" s="104">
        <f>(D23/F23)/G23</f>
        <v>0</v>
      </c>
      <c r="M23" s="102" t="s">
        <v>255</v>
      </c>
      <c r="N23" s="102">
        <f t="shared" ref="N23" si="12">K23*I23</f>
        <v>6.23</v>
      </c>
      <c r="O23" s="102">
        <f t="shared" ref="O23" si="13">L23*I23</f>
        <v>0</v>
      </c>
      <c r="AA23" t="s">
        <v>88</v>
      </c>
      <c r="AB23" s="53">
        <v>4</v>
      </c>
    </row>
    <row r="24" spans="1:28" x14ac:dyDescent="0.3">
      <c r="A24" s="67" t="s">
        <v>49</v>
      </c>
      <c r="B24" s="63" t="s">
        <v>220</v>
      </c>
      <c r="C24" s="72" t="s">
        <v>84</v>
      </c>
      <c r="D24" s="73">
        <v>0</v>
      </c>
      <c r="E24" s="74">
        <v>1483.3333333333335</v>
      </c>
      <c r="F24" s="84">
        <v>1</v>
      </c>
      <c r="G24" s="81">
        <v>10000</v>
      </c>
      <c r="H24" s="81" t="s">
        <v>248</v>
      </c>
      <c r="I24" s="82">
        <v>42</v>
      </c>
      <c r="J24" s="82">
        <f>I24/(G24/1000)</f>
        <v>4.2</v>
      </c>
      <c r="K24" s="104">
        <f>(E24/F24)/G24</f>
        <v>0.14833333333333334</v>
      </c>
      <c r="L24" s="104">
        <f>(D24/F24)/G24</f>
        <v>0</v>
      </c>
      <c r="M24" s="102" t="s">
        <v>255</v>
      </c>
      <c r="N24" s="102">
        <f t="shared" ref="N24:N25" si="14">K24*I24</f>
        <v>6.23</v>
      </c>
      <c r="O24" s="102">
        <f t="shared" ref="O24:O25" si="15">L24*I24</f>
        <v>0</v>
      </c>
      <c r="AA24" t="s">
        <v>188</v>
      </c>
      <c r="AB24" s="53">
        <v>4</v>
      </c>
    </row>
    <row r="25" spans="1:28" x14ac:dyDescent="0.3">
      <c r="A25" s="67" t="s">
        <v>17</v>
      </c>
      <c r="B25" s="63" t="s">
        <v>220</v>
      </c>
      <c r="C25" s="72" t="s">
        <v>84</v>
      </c>
      <c r="D25" s="73">
        <v>0</v>
      </c>
      <c r="E25" s="74">
        <v>5019.3333333333339</v>
      </c>
      <c r="F25" s="84">
        <v>1</v>
      </c>
      <c r="G25" s="81">
        <v>10000</v>
      </c>
      <c r="H25" s="81" t="s">
        <v>248</v>
      </c>
      <c r="I25" s="82">
        <v>60</v>
      </c>
      <c r="J25" s="82">
        <f>I25/(G25/1000)</f>
        <v>6</v>
      </c>
      <c r="K25" s="104">
        <f>(E25/F25)/G25</f>
        <v>0.50193333333333334</v>
      </c>
      <c r="L25" s="104">
        <f>(D25/F25)/G25</f>
        <v>0</v>
      </c>
      <c r="M25" s="102" t="s">
        <v>255</v>
      </c>
      <c r="N25" s="102">
        <f t="shared" si="14"/>
        <v>30.116</v>
      </c>
      <c r="O25" s="102">
        <f t="shared" si="15"/>
        <v>0</v>
      </c>
      <c r="AA25" t="s">
        <v>202</v>
      </c>
      <c r="AB25" s="53">
        <v>4</v>
      </c>
    </row>
    <row r="26" spans="1:28" x14ac:dyDescent="0.3">
      <c r="A26" s="78"/>
      <c r="B26" s="78"/>
      <c r="C26" s="78"/>
      <c r="D26" s="78"/>
      <c r="E26" s="78"/>
      <c r="F26" s="78"/>
      <c r="G26" s="79"/>
      <c r="H26" s="79"/>
      <c r="I26" s="79"/>
      <c r="J26" s="79"/>
      <c r="K26" s="79"/>
      <c r="L26" s="79"/>
      <c r="M26" s="79"/>
      <c r="N26" s="79"/>
      <c r="O26" s="80"/>
      <c r="AA26" t="s">
        <v>189</v>
      </c>
      <c r="AB26" s="53">
        <v>5</v>
      </c>
    </row>
    <row r="27" spans="1:28" x14ac:dyDescent="0.3">
      <c r="A27" s="67" t="s">
        <v>211</v>
      </c>
      <c r="B27" s="69" t="s">
        <v>230</v>
      </c>
      <c r="C27" s="72" t="s">
        <v>84</v>
      </c>
      <c r="D27" s="73">
        <v>3.1043478260869568</v>
      </c>
      <c r="E27" s="74">
        <v>21.167771739130437</v>
      </c>
      <c r="F27" s="84">
        <v>1</v>
      </c>
      <c r="G27" s="81">
        <v>200</v>
      </c>
      <c r="H27" s="81" t="s">
        <v>243</v>
      </c>
      <c r="I27" s="82">
        <v>4</v>
      </c>
      <c r="J27" s="82">
        <f>I27/0.2</f>
        <v>20</v>
      </c>
      <c r="K27" s="103">
        <f>(E27/F27)/G27</f>
        <v>0.10583885869565218</v>
      </c>
      <c r="L27" s="102">
        <f>(D27/F27)/G27</f>
        <v>1.5521739130434784E-2</v>
      </c>
      <c r="M27" s="102" t="s">
        <v>256</v>
      </c>
      <c r="N27" s="102">
        <f t="shared" ref="N27" si="16">K27*I27</f>
        <v>0.42335543478260873</v>
      </c>
      <c r="O27" s="102">
        <f t="shared" ref="O27" si="17">L27*I27</f>
        <v>6.2086956521739137E-2</v>
      </c>
      <c r="AA27" t="s">
        <v>190</v>
      </c>
      <c r="AB27" s="53">
        <v>5</v>
      </c>
    </row>
    <row r="28" spans="1:28" x14ac:dyDescent="0.3">
      <c r="A28" s="78"/>
      <c r="B28" s="78"/>
      <c r="C28" s="78"/>
      <c r="D28" s="78"/>
      <c r="E28" s="78"/>
      <c r="F28" s="79"/>
      <c r="G28" s="79"/>
      <c r="H28" s="79"/>
      <c r="I28" s="79"/>
      <c r="J28" s="79"/>
      <c r="K28" s="79"/>
      <c r="L28" s="79"/>
      <c r="M28" s="79"/>
      <c r="N28" s="79"/>
      <c r="O28" s="80"/>
      <c r="AA28" t="s">
        <v>203</v>
      </c>
      <c r="AB28" s="53">
        <v>5</v>
      </c>
    </row>
    <row r="29" spans="1:28" x14ac:dyDescent="0.3">
      <c r="A29" s="67" t="s">
        <v>210</v>
      </c>
      <c r="B29" s="63" t="s">
        <v>219</v>
      </c>
      <c r="C29" s="72" t="s">
        <v>84</v>
      </c>
      <c r="D29" s="73">
        <v>100</v>
      </c>
      <c r="E29" s="74">
        <v>98.068750000000009</v>
      </c>
      <c r="F29" s="66">
        <v>0.43</v>
      </c>
      <c r="G29" s="81">
        <v>900</v>
      </c>
      <c r="H29" s="81" t="s">
        <v>245</v>
      </c>
      <c r="I29" s="82">
        <v>3</v>
      </c>
      <c r="J29" s="82">
        <f>I29/(G29/1000)</f>
        <v>3.333333333333333</v>
      </c>
      <c r="K29" s="105">
        <f t="shared" ref="K29:K35" si="18">(E29/F29)/G29</f>
        <v>0.25340762273901812</v>
      </c>
      <c r="L29" s="102">
        <f>(D29/F29)</f>
        <v>232.55813953488374</v>
      </c>
      <c r="M29" s="102" t="s">
        <v>84</v>
      </c>
      <c r="N29" s="102">
        <f t="shared" ref="N29:N30" si="19">K29*I29</f>
        <v>0.76022286821705443</v>
      </c>
      <c r="O29" s="102">
        <f t="shared" ref="O29:O30" si="20">L29*I29</f>
        <v>697.67441860465124</v>
      </c>
      <c r="AA29" t="s">
        <v>60</v>
      </c>
      <c r="AB29" s="53">
        <v>6</v>
      </c>
    </row>
    <row r="30" spans="1:28" x14ac:dyDescent="0.3">
      <c r="A30" s="67" t="s">
        <v>209</v>
      </c>
      <c r="B30" s="63" t="s">
        <v>219</v>
      </c>
      <c r="C30" s="72" t="s">
        <v>84</v>
      </c>
      <c r="D30" s="73">
        <v>90</v>
      </c>
      <c r="E30" s="74">
        <v>391.68596380471377</v>
      </c>
      <c r="F30" s="66">
        <v>0.94</v>
      </c>
      <c r="G30" s="81">
        <v>825</v>
      </c>
      <c r="H30" s="81" t="s">
        <v>257</v>
      </c>
      <c r="I30" s="82">
        <v>3</v>
      </c>
      <c r="J30" s="82">
        <v>3.6363636363636367</v>
      </c>
      <c r="K30" s="105">
        <f t="shared" si="18"/>
        <v>0.50507538852961154</v>
      </c>
      <c r="L30" s="102">
        <f>(D30/F30)</f>
        <v>95.744680851063833</v>
      </c>
      <c r="M30" s="102" t="s">
        <v>84</v>
      </c>
      <c r="N30" s="102">
        <f t="shared" si="19"/>
        <v>1.5152261655888346</v>
      </c>
      <c r="O30" s="102">
        <f t="shared" si="20"/>
        <v>287.2340425531915</v>
      </c>
      <c r="AA30" t="s">
        <v>191</v>
      </c>
      <c r="AB30" s="53">
        <v>6</v>
      </c>
    </row>
    <row r="31" spans="1:28" x14ac:dyDescent="0.3">
      <c r="A31" s="68" t="s">
        <v>208</v>
      </c>
      <c r="B31" s="63" t="s">
        <v>219</v>
      </c>
      <c r="C31" s="75" t="s">
        <v>84</v>
      </c>
      <c r="D31" s="73">
        <v>100</v>
      </c>
      <c r="E31" s="74">
        <v>85.758415841584153</v>
      </c>
      <c r="F31" s="66">
        <v>0.71</v>
      </c>
      <c r="G31" s="81">
        <v>1000</v>
      </c>
      <c r="H31" s="81" t="s">
        <v>241</v>
      </c>
      <c r="I31" s="82">
        <v>3</v>
      </c>
      <c r="J31" s="82">
        <f>I31/(G31/1000)</f>
        <v>3</v>
      </c>
      <c r="K31" s="105">
        <f t="shared" si="18"/>
        <v>0.1207865011853298</v>
      </c>
      <c r="L31" s="102">
        <f>(D31/F31)</f>
        <v>140.84507042253523</v>
      </c>
      <c r="M31" s="102" t="s">
        <v>84</v>
      </c>
      <c r="N31" s="102">
        <f t="shared" ref="N31:N35" si="21">K31*I31</f>
        <v>0.36235950355598939</v>
      </c>
      <c r="O31" s="102">
        <f t="shared" ref="O31:O35" si="22">L31*I31</f>
        <v>422.53521126760569</v>
      </c>
      <c r="AA31" t="s">
        <v>192</v>
      </c>
      <c r="AB31" s="53">
        <v>6</v>
      </c>
    </row>
    <row r="32" spans="1:28" x14ac:dyDescent="0.3">
      <c r="A32" s="68" t="s">
        <v>58</v>
      </c>
      <c r="B32" s="69" t="s">
        <v>219</v>
      </c>
      <c r="C32" s="75" t="s">
        <v>84</v>
      </c>
      <c r="D32" s="73">
        <v>1000</v>
      </c>
      <c r="E32" s="74">
        <v>6130.3527173913044</v>
      </c>
      <c r="F32" s="65">
        <v>0.8</v>
      </c>
      <c r="G32" s="81">
        <v>1000</v>
      </c>
      <c r="H32" s="81" t="s">
        <v>233</v>
      </c>
      <c r="I32" s="82">
        <v>3</v>
      </c>
      <c r="J32" s="82">
        <f>I32/(G32/1000)</f>
        <v>3</v>
      </c>
      <c r="K32" s="105">
        <f t="shared" si="18"/>
        <v>7.6629408967391299</v>
      </c>
      <c r="L32" s="104">
        <f t="shared" ref="L29:L34" si="23">(D32/F32)/G32</f>
        <v>1.25</v>
      </c>
      <c r="M32" s="102" t="s">
        <v>246</v>
      </c>
      <c r="N32" s="102">
        <f t="shared" si="21"/>
        <v>22.98882269021739</v>
      </c>
      <c r="O32" s="102">
        <f t="shared" si="22"/>
        <v>3.75</v>
      </c>
      <c r="AA32" t="s">
        <v>193</v>
      </c>
      <c r="AB32" s="53">
        <v>6</v>
      </c>
    </row>
    <row r="33" spans="1:28" x14ac:dyDescent="0.3">
      <c r="A33" s="68" t="s">
        <v>95</v>
      </c>
      <c r="B33" s="69" t="s">
        <v>219</v>
      </c>
      <c r="C33" s="75" t="s">
        <v>84</v>
      </c>
      <c r="D33" s="73">
        <v>0</v>
      </c>
      <c r="E33" s="74">
        <v>317.72727272727269</v>
      </c>
      <c r="F33" s="65">
        <v>0.96</v>
      </c>
      <c r="G33" s="81">
        <v>1000</v>
      </c>
      <c r="H33" s="81" t="s">
        <v>233</v>
      </c>
      <c r="I33" s="82">
        <v>4</v>
      </c>
      <c r="J33" s="82">
        <f>I33/(G33/1000)</f>
        <v>4</v>
      </c>
      <c r="K33" s="105">
        <f t="shared" si="18"/>
        <v>0.33096590909090906</v>
      </c>
      <c r="L33" s="105">
        <f>(D33/F33)</f>
        <v>0</v>
      </c>
      <c r="M33" s="102" t="s">
        <v>84</v>
      </c>
      <c r="N33" s="102">
        <f t="shared" si="21"/>
        <v>1.3238636363636362</v>
      </c>
      <c r="O33" s="102">
        <f t="shared" si="22"/>
        <v>0</v>
      </c>
      <c r="AA33" t="s">
        <v>194</v>
      </c>
      <c r="AB33" s="53">
        <v>6</v>
      </c>
    </row>
    <row r="34" spans="1:28" x14ac:dyDescent="0.3">
      <c r="A34" s="67" t="s">
        <v>47</v>
      </c>
      <c r="B34" s="63" t="s">
        <v>219</v>
      </c>
      <c r="C34" s="72" t="s">
        <v>84</v>
      </c>
      <c r="D34" s="73">
        <v>0</v>
      </c>
      <c r="E34" s="74">
        <v>1791.5234822451318</v>
      </c>
      <c r="F34" s="65">
        <v>0.9</v>
      </c>
      <c r="G34" s="81">
        <v>1000</v>
      </c>
      <c r="H34" s="81" t="s">
        <v>233</v>
      </c>
      <c r="I34" s="82">
        <v>3</v>
      </c>
      <c r="J34" s="82">
        <f>I34/(G34/1000)</f>
        <v>3</v>
      </c>
      <c r="K34" s="105">
        <f t="shared" si="18"/>
        <v>1.9905816469390354</v>
      </c>
      <c r="L34" s="105">
        <f t="shared" si="23"/>
        <v>0</v>
      </c>
      <c r="M34" s="102" t="s">
        <v>246</v>
      </c>
      <c r="N34" s="102">
        <f t="shared" si="21"/>
        <v>5.9717449408171062</v>
      </c>
      <c r="O34" s="102">
        <f t="shared" si="22"/>
        <v>0</v>
      </c>
    </row>
    <row r="35" spans="1:28" x14ac:dyDescent="0.3">
      <c r="A35" s="67" t="s">
        <v>59</v>
      </c>
      <c r="B35" s="63" t="s">
        <v>219</v>
      </c>
      <c r="C35" s="72" t="s">
        <v>84</v>
      </c>
      <c r="D35" s="73">
        <v>0</v>
      </c>
      <c r="E35" s="74">
        <v>56092.592592592591</v>
      </c>
      <c r="F35" s="65">
        <v>0.98</v>
      </c>
      <c r="G35" s="81">
        <v>1000</v>
      </c>
      <c r="H35" s="81" t="s">
        <v>233</v>
      </c>
      <c r="I35" s="82">
        <v>3.5</v>
      </c>
      <c r="J35" s="82">
        <f>I35/(G35/1000)</f>
        <v>3.5</v>
      </c>
      <c r="K35" s="105">
        <f t="shared" si="18"/>
        <v>57.237339380196524</v>
      </c>
      <c r="L35" s="105">
        <f t="shared" ref="L35" si="24">(D35/F35)/G35</f>
        <v>0</v>
      </c>
      <c r="M35" s="102" t="s">
        <v>246</v>
      </c>
      <c r="N35" s="102">
        <f t="shared" si="21"/>
        <v>200.33068783068782</v>
      </c>
      <c r="O35" s="102">
        <f t="shared" si="22"/>
        <v>0</v>
      </c>
    </row>
    <row r="36" spans="1:28" x14ac:dyDescent="0.3">
      <c r="A36" s="78"/>
      <c r="B36" s="78"/>
      <c r="C36" s="78"/>
      <c r="D36" s="78"/>
      <c r="E36" s="78"/>
      <c r="F36" s="79"/>
      <c r="G36" s="79"/>
      <c r="H36" s="79"/>
      <c r="I36" s="79"/>
      <c r="J36" s="79"/>
      <c r="K36" s="79"/>
      <c r="L36" s="79"/>
      <c r="M36" s="79"/>
      <c r="N36" s="79"/>
      <c r="O36" s="80"/>
    </row>
  </sheetData>
  <autoFilter ref="A1:O35" xr:uid="{30982B86-28F2-40FF-8C0E-8824881AD859}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50"/>
    <pageSetUpPr fitToPage="1"/>
  </sheetPr>
  <dimension ref="A1:Y27"/>
  <sheetViews>
    <sheetView topLeftCell="H1" zoomScale="85" zoomScaleNormal="8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0.664062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Q15</f>
        <v>341</v>
      </c>
      <c r="F1" s="17" t="s">
        <v>2</v>
      </c>
      <c r="G1" s="10">
        <f>D1/B1</f>
        <v>341</v>
      </c>
      <c r="H1" s="17" t="s">
        <v>3</v>
      </c>
      <c r="I1" s="21">
        <v>20</v>
      </c>
      <c r="J1" s="1"/>
      <c r="K1" s="23" t="s">
        <v>4</v>
      </c>
    </row>
    <row r="2" spans="1:25" ht="14.25" customHeight="1" x14ac:dyDescent="0.3">
      <c r="A2" s="57"/>
      <c r="B2" s="110" t="s">
        <v>258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0" t="s">
        <v>259</v>
      </c>
      <c r="C3" s="110"/>
      <c r="D3" s="110"/>
      <c r="E3" s="110"/>
      <c r="F3" s="110"/>
      <c r="G3" s="110"/>
      <c r="H3" s="110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50</v>
      </c>
      <c r="C5" s="16" t="s">
        <v>212</v>
      </c>
      <c r="D5" s="15">
        <f t="shared" ref="D5:D10" si="0">M5/$M$15</f>
        <v>1.215066828675577</v>
      </c>
      <c r="E5" s="12">
        <f t="shared" ref="E5:E10" si="1">$G$1</f>
        <v>341</v>
      </c>
      <c r="F5" s="13">
        <v>1</v>
      </c>
      <c r="G5" s="12">
        <f t="shared" ref="G5:G10" si="2">E5*D5</f>
        <v>414.33778857837177</v>
      </c>
      <c r="H5" s="86">
        <f t="shared" ref="H5:H10" si="3">G5*F5</f>
        <v>414.33778857837177</v>
      </c>
      <c r="I5" s="94">
        <f>VLOOKUP(B5,Ordering!$A$1:$J$36,6,FALSE)</f>
        <v>1</v>
      </c>
      <c r="J5" s="94">
        <f>VLOOKUP(B5,Ordering!$A$1:$J$36,10,FALSE)</f>
        <v>5</v>
      </c>
      <c r="K5" s="15">
        <f t="shared" ref="K5:K10" si="4">((H5/(I5))/1000)</f>
        <v>0.41433778857837178</v>
      </c>
      <c r="L5" s="95">
        <f>J5*K5</f>
        <v>2.0716889428918588</v>
      </c>
      <c r="M5">
        <v>150</v>
      </c>
    </row>
    <row r="6" spans="1:25" ht="14.5" x14ac:dyDescent="0.35">
      <c r="A6" s="11"/>
      <c r="B6" s="11" t="s">
        <v>51</v>
      </c>
      <c r="C6" s="16" t="s">
        <v>18</v>
      </c>
      <c r="D6" s="15">
        <f t="shared" si="0"/>
        <v>2.4301336573511544E-2</v>
      </c>
      <c r="E6" s="12">
        <f t="shared" si="1"/>
        <v>341</v>
      </c>
      <c r="F6" s="13">
        <v>1</v>
      </c>
      <c r="G6" s="12">
        <f t="shared" si="2"/>
        <v>8.2867557715674369</v>
      </c>
      <c r="H6" s="86">
        <f t="shared" si="3"/>
        <v>8.2867557715674369</v>
      </c>
      <c r="I6" s="94">
        <f>VLOOKUP(B6,Ordering!$A$1:$J$36,6,FALSE)</f>
        <v>1</v>
      </c>
      <c r="J6" s="94">
        <f>VLOOKUP(B6,Ordering!$A$1:$J$36,10,FALSE)</f>
        <v>8</v>
      </c>
      <c r="K6" s="15">
        <f t="shared" si="4"/>
        <v>8.2867557715674365E-3</v>
      </c>
      <c r="L6" s="95">
        <f t="shared" ref="L6:L10" si="5">J6*K6</f>
        <v>6.6294046172539492E-2</v>
      </c>
      <c r="M6">
        <v>3</v>
      </c>
    </row>
    <row r="7" spans="1:25" ht="14.5" x14ac:dyDescent="0.35">
      <c r="A7" s="11"/>
      <c r="B7" s="11" t="s">
        <v>52</v>
      </c>
      <c r="C7" s="16" t="s">
        <v>18</v>
      </c>
      <c r="D7" s="15">
        <f t="shared" si="0"/>
        <v>8.910490076954232E-2</v>
      </c>
      <c r="E7" s="12">
        <f t="shared" si="1"/>
        <v>341</v>
      </c>
      <c r="F7" s="13">
        <v>1</v>
      </c>
      <c r="G7" s="12">
        <f t="shared" si="2"/>
        <v>30.38477116241393</v>
      </c>
      <c r="H7" s="86">
        <f t="shared" si="3"/>
        <v>30.38477116241393</v>
      </c>
      <c r="I7" s="94">
        <f>VLOOKUP(B7,Ordering!$A$1:$J$36,6,FALSE)</f>
        <v>1</v>
      </c>
      <c r="J7" s="94">
        <f>VLOOKUP(B7,Ordering!$A$1:$J$36,10,FALSE)</f>
        <v>0.74</v>
      </c>
      <c r="K7" s="15">
        <f t="shared" si="4"/>
        <v>3.0384771162413931E-2</v>
      </c>
      <c r="L7" s="95">
        <f t="shared" si="5"/>
        <v>2.248473066018631E-2</v>
      </c>
      <c r="M7">
        <v>11</v>
      </c>
      <c r="P7" s="48" t="s">
        <v>171</v>
      </c>
    </row>
    <row r="8" spans="1:25" ht="14.5" x14ac:dyDescent="0.35">
      <c r="A8" s="11"/>
      <c r="B8" s="11" t="s">
        <v>53</v>
      </c>
      <c r="C8" s="16" t="s">
        <v>212</v>
      </c>
      <c r="D8" s="15">
        <f t="shared" si="0"/>
        <v>10.54678007290401</v>
      </c>
      <c r="E8" s="12">
        <f t="shared" si="1"/>
        <v>341</v>
      </c>
      <c r="F8" s="13">
        <v>1</v>
      </c>
      <c r="G8" s="12">
        <f t="shared" si="2"/>
        <v>3596.4520048602676</v>
      </c>
      <c r="H8" s="86">
        <f t="shared" si="3"/>
        <v>3596.4520048602676</v>
      </c>
      <c r="I8" s="94">
        <f>VLOOKUP(B8,Ordering!$A$1:$J$36,6,FALSE)</f>
        <v>1</v>
      </c>
      <c r="J8" s="94">
        <f>VLOOKUP(B8,Ordering!$A$1:$J$36,10,FALSE)</f>
        <v>0</v>
      </c>
      <c r="K8" s="15">
        <f t="shared" si="4"/>
        <v>3.5964520048602675</v>
      </c>
      <c r="L8" s="95">
        <f t="shared" si="5"/>
        <v>0</v>
      </c>
      <c r="M8">
        <v>1302</v>
      </c>
      <c r="V8" s="98" t="s">
        <v>251</v>
      </c>
      <c r="W8" s="99">
        <v>1</v>
      </c>
      <c r="X8" s="98" t="s">
        <v>16</v>
      </c>
      <c r="Y8" s="100">
        <f>SUM(L5:L10)/Q15</f>
        <v>8.8093479141352779E-2</v>
      </c>
    </row>
    <row r="9" spans="1:25" ht="14.5" x14ac:dyDescent="0.35">
      <c r="A9" s="11"/>
      <c r="B9" s="11" t="s">
        <v>204</v>
      </c>
      <c r="C9" s="16" t="s">
        <v>18</v>
      </c>
      <c r="D9" s="15">
        <f t="shared" si="0"/>
        <v>2.4301336573511544E-2</v>
      </c>
      <c r="E9" s="12">
        <f t="shared" si="1"/>
        <v>341</v>
      </c>
      <c r="F9" s="13">
        <v>1</v>
      </c>
      <c r="G9" s="12">
        <f t="shared" si="2"/>
        <v>8.2867557715674369</v>
      </c>
      <c r="H9" s="86">
        <f t="shared" si="3"/>
        <v>8.2867557715674369</v>
      </c>
      <c r="I9" s="94">
        <f>VLOOKUP(B9,Ordering!$A$1:$J$36,6,FALSE)</f>
        <v>1</v>
      </c>
      <c r="J9" s="94">
        <f>VLOOKUP(B9,Ordering!$A$1:$J$36,10,FALSE)</f>
        <v>31</v>
      </c>
      <c r="K9" s="15">
        <f t="shared" si="4"/>
        <v>8.2867557715674365E-3</v>
      </c>
      <c r="L9" s="95">
        <f t="shared" si="5"/>
        <v>0.25688942891859051</v>
      </c>
      <c r="M9">
        <v>3</v>
      </c>
    </row>
    <row r="10" spans="1:25" ht="14.5" x14ac:dyDescent="0.35">
      <c r="A10" s="11"/>
      <c r="B10" s="11" t="s">
        <v>242</v>
      </c>
      <c r="C10" s="16" t="s">
        <v>18</v>
      </c>
      <c r="D10" s="15">
        <f t="shared" si="0"/>
        <v>8.1004455245038471</v>
      </c>
      <c r="E10" s="12">
        <f t="shared" si="1"/>
        <v>341</v>
      </c>
      <c r="F10" s="13">
        <v>1</v>
      </c>
      <c r="G10" s="12">
        <f t="shared" si="2"/>
        <v>2762.251923855812</v>
      </c>
      <c r="H10" s="86">
        <f t="shared" si="3"/>
        <v>2762.251923855812</v>
      </c>
      <c r="I10" s="94">
        <f>VLOOKUP(B10,Ordering!$A$1:$J$36,6,FALSE)</f>
        <v>1</v>
      </c>
      <c r="J10" s="94">
        <f>VLOOKUP(B10,Ordering!$A$1:$J$36,10,FALSE)</f>
        <v>10</v>
      </c>
      <c r="K10" s="15">
        <f t="shared" si="4"/>
        <v>2.7622519238558119</v>
      </c>
      <c r="L10" s="95">
        <f t="shared" si="5"/>
        <v>27.62251923855812</v>
      </c>
      <c r="M10">
        <v>1000</v>
      </c>
      <c r="P10" s="108" t="s">
        <v>62</v>
      </c>
      <c r="Q10" s="109"/>
    </row>
    <row r="11" spans="1:25" x14ac:dyDescent="0.3">
      <c r="P11" s="106" t="s">
        <v>63</v>
      </c>
      <c r="Q11" s="107"/>
    </row>
    <row r="12" spans="1:25" ht="14.75" customHeight="1" thickBot="1" x14ac:dyDescent="0.35">
      <c r="M12" s="22"/>
      <c r="P12" s="2" t="s">
        <v>22</v>
      </c>
      <c r="Q12" s="3" t="s">
        <v>23</v>
      </c>
    </row>
    <row r="13" spans="1:25" ht="14.75" customHeight="1" thickBot="1" x14ac:dyDescent="0.35">
      <c r="P13" s="4" t="s">
        <v>24</v>
      </c>
      <c r="Q13" s="5">
        <f>51+288</f>
        <v>339</v>
      </c>
    </row>
    <row r="14" spans="1:25" ht="14.75" customHeight="1" thickBot="1" x14ac:dyDescent="0.35">
      <c r="L14" s="24" t="s">
        <v>19</v>
      </c>
      <c r="M14" s="26">
        <f>SUM(M5:M10)</f>
        <v>2469</v>
      </c>
      <c r="P14" s="4" t="s">
        <v>25</v>
      </c>
      <c r="Q14" s="6">
        <v>2</v>
      </c>
    </row>
    <row r="15" spans="1:25" x14ac:dyDescent="0.3">
      <c r="L15" s="24" t="s">
        <v>21</v>
      </c>
      <c r="M15" s="27">
        <f>M14/I1</f>
        <v>123.45</v>
      </c>
      <c r="P15" s="7" t="s">
        <v>26</v>
      </c>
      <c r="Q15" s="8">
        <f>Q13+Q14</f>
        <v>341</v>
      </c>
    </row>
    <row r="16" spans="1:25" x14ac:dyDescent="0.3">
      <c r="P16" s="96" t="s">
        <v>16</v>
      </c>
      <c r="Q16" s="97">
        <f>SUM(L5:L10)</f>
        <v>30.039876387201296</v>
      </c>
    </row>
    <row r="27" spans="11:11" x14ac:dyDescent="0.3">
      <c r="K27" s="20"/>
    </row>
  </sheetData>
  <mergeCells count="4">
    <mergeCell ref="P11:Q11"/>
    <mergeCell ref="P10:Q10"/>
    <mergeCell ref="B2:H2"/>
    <mergeCell ref="B3:H3"/>
  </mergeCells>
  <printOptions horizontalCentered="1"/>
  <pageMargins left="0.4" right="0.4" top="1" bottom="0.5" header="0.3" footer="0.3"/>
  <pageSetup paperSize="9" scale="42" orientation="landscape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00B050"/>
    <pageSetUpPr fitToPage="1"/>
  </sheetPr>
  <dimension ref="A1:Y27"/>
  <sheetViews>
    <sheetView topLeftCell="K1" zoomScale="115" zoomScaleNormal="11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341</v>
      </c>
      <c r="F1" s="17" t="s">
        <v>2</v>
      </c>
      <c r="G1" s="10">
        <f>D1/B1</f>
        <v>341</v>
      </c>
      <c r="H1" s="17" t="s">
        <v>3</v>
      </c>
      <c r="I1" s="21">
        <v>20</v>
      </c>
      <c r="J1" s="1"/>
      <c r="K1" s="23" t="s">
        <v>4</v>
      </c>
    </row>
    <row r="2" spans="1:25" ht="14.25" customHeight="1" x14ac:dyDescent="0.3">
      <c r="A2" s="56"/>
      <c r="B2" s="111" t="s">
        <v>159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25" ht="14.25" customHeight="1" x14ac:dyDescent="0.3">
      <c r="A3" s="58"/>
      <c r="B3" s="110" t="s">
        <v>259</v>
      </c>
      <c r="C3" s="110"/>
      <c r="D3" s="110"/>
      <c r="E3" s="110"/>
      <c r="F3" s="110"/>
      <c r="G3" s="110"/>
      <c r="H3" s="110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59</v>
      </c>
      <c r="C5" s="16" t="s">
        <v>18</v>
      </c>
      <c r="D5" s="15">
        <f t="shared" ref="D5:D10" si="0">O5/$O$12</f>
        <v>19.25925925925926</v>
      </c>
      <c r="E5" s="12">
        <f t="shared" ref="E5:E10" si="1">$G$1</f>
        <v>341</v>
      </c>
      <c r="F5" s="13">
        <v>1</v>
      </c>
      <c r="G5" s="12">
        <f t="shared" ref="G5:G10" si="2">E5*D5</f>
        <v>6567.4074074074078</v>
      </c>
      <c r="H5" s="86">
        <f t="shared" ref="H5:H10" si="3">G5*F5</f>
        <v>6567.4074074074078</v>
      </c>
      <c r="I5" s="11">
        <f>VLOOKUP(B5,Ordering!$A$1:$J$36,6,FALSE)</f>
        <v>0.98</v>
      </c>
      <c r="J5" s="15">
        <f>VLOOKUP(B5,Ordering!$A$1:$J$36,10,FALSE)</f>
        <v>3.5</v>
      </c>
      <c r="K5" s="15">
        <f t="shared" ref="K5:K10" si="4">((H5/(I5))/1000)</f>
        <v>6.7014361300075587</v>
      </c>
      <c r="L5" s="91">
        <f>J5*K5</f>
        <v>23.455026455026456</v>
      </c>
      <c r="O5">
        <v>14300</v>
      </c>
    </row>
    <row r="6" spans="1:25" ht="14.5" x14ac:dyDescent="0.35">
      <c r="A6" s="11"/>
      <c r="B6" s="11" t="s">
        <v>95</v>
      </c>
      <c r="C6" s="16" t="s">
        <v>18</v>
      </c>
      <c r="D6" s="15">
        <f t="shared" si="0"/>
        <v>0.10909090909090909</v>
      </c>
      <c r="E6" s="12">
        <f t="shared" si="1"/>
        <v>341</v>
      </c>
      <c r="F6" s="13">
        <v>1</v>
      </c>
      <c r="G6" s="12">
        <f t="shared" si="2"/>
        <v>37.199999999999996</v>
      </c>
      <c r="H6" s="86">
        <f t="shared" si="3"/>
        <v>37.199999999999996</v>
      </c>
      <c r="I6" s="11">
        <f>VLOOKUP(B6,Ordering!$A$1:$J$36,6,FALSE)</f>
        <v>0.96</v>
      </c>
      <c r="J6" s="15">
        <f>VLOOKUP(B6,Ordering!$A$1:$J$36,10,FALSE)</f>
        <v>4</v>
      </c>
      <c r="K6" s="15">
        <f t="shared" si="4"/>
        <v>3.875E-2</v>
      </c>
      <c r="L6" s="91">
        <f t="shared" ref="L6:L10" si="5">J6*K6</f>
        <v>0.155</v>
      </c>
      <c r="O6">
        <v>81</v>
      </c>
    </row>
    <row r="7" spans="1:25" ht="14.5" x14ac:dyDescent="0.35">
      <c r="A7" s="11"/>
      <c r="B7" s="11" t="s">
        <v>209</v>
      </c>
      <c r="C7" s="16" t="s">
        <v>18</v>
      </c>
      <c r="D7" s="15">
        <f t="shared" si="0"/>
        <v>0.10774410774410774</v>
      </c>
      <c r="E7" s="12">
        <f t="shared" si="1"/>
        <v>341</v>
      </c>
      <c r="F7" s="13">
        <v>1</v>
      </c>
      <c r="G7" s="12">
        <f t="shared" si="2"/>
        <v>36.74074074074074</v>
      </c>
      <c r="H7" s="86">
        <f t="shared" si="3"/>
        <v>36.74074074074074</v>
      </c>
      <c r="I7" s="11">
        <f>VLOOKUP(B7,Ordering!$A$1:$J$36,6,FALSE)</f>
        <v>0.94</v>
      </c>
      <c r="J7" s="15">
        <f>VLOOKUP(B7,Ordering!$A$1:$J$36,10,FALSE)</f>
        <v>3.6363636363636367</v>
      </c>
      <c r="K7" s="15">
        <f t="shared" si="4"/>
        <v>3.9085894405043342E-2</v>
      </c>
      <c r="L7" s="91">
        <f t="shared" si="5"/>
        <v>0.14213052510924853</v>
      </c>
      <c r="O7">
        <v>80</v>
      </c>
      <c r="R7" s="48" t="s">
        <v>171</v>
      </c>
    </row>
    <row r="8" spans="1:25" ht="14.5" x14ac:dyDescent="0.35">
      <c r="A8" s="11"/>
      <c r="B8" s="11" t="s">
        <v>224</v>
      </c>
      <c r="C8" s="16" t="s">
        <v>18</v>
      </c>
      <c r="D8" s="15">
        <f t="shared" si="0"/>
        <v>6.7340067340067344E-4</v>
      </c>
      <c r="E8" s="12">
        <f t="shared" si="1"/>
        <v>341</v>
      </c>
      <c r="F8" s="13">
        <v>1</v>
      </c>
      <c r="G8" s="12">
        <f t="shared" si="2"/>
        <v>0.22962962962962963</v>
      </c>
      <c r="H8" s="87">
        <f t="shared" si="3"/>
        <v>0.22962962962962963</v>
      </c>
      <c r="I8" s="11">
        <f>VLOOKUP(B8,Ordering!$A$1:$J$36,6,FALSE)</f>
        <v>1</v>
      </c>
      <c r="J8" s="15">
        <f>VLOOKUP(B8,Ordering!$A$1:$J$36,10,FALSE)</f>
        <v>35</v>
      </c>
      <c r="K8" s="15">
        <f t="shared" si="4"/>
        <v>2.2962962962962962E-4</v>
      </c>
      <c r="L8" s="91">
        <f t="shared" si="5"/>
        <v>8.037037037037037E-3</v>
      </c>
      <c r="O8">
        <v>0.5</v>
      </c>
      <c r="V8" s="98" t="s">
        <v>251</v>
      </c>
      <c r="W8" s="99">
        <v>1</v>
      </c>
      <c r="X8" s="98" t="s">
        <v>16</v>
      </c>
      <c r="Y8" s="100">
        <f>SUM(L5:L10)/S15</f>
        <v>6.9722836805003158E-2</v>
      </c>
    </row>
    <row r="9" spans="1:25" ht="14.5" x14ac:dyDescent="0.35">
      <c r="A9" s="11"/>
      <c r="B9" s="11" t="s">
        <v>52</v>
      </c>
      <c r="C9" s="16" t="s">
        <v>18</v>
      </c>
      <c r="D9" s="15">
        <f t="shared" si="0"/>
        <v>6.0606060606060608E-2</v>
      </c>
      <c r="E9" s="12">
        <f t="shared" si="1"/>
        <v>341</v>
      </c>
      <c r="F9" s="13">
        <v>1</v>
      </c>
      <c r="G9" s="12">
        <f t="shared" si="2"/>
        <v>20.666666666666668</v>
      </c>
      <c r="H9" s="86">
        <f t="shared" si="3"/>
        <v>20.666666666666668</v>
      </c>
      <c r="I9" s="11">
        <f>VLOOKUP(B9,Ordering!$A$1:$J$36,6,FALSE)</f>
        <v>1</v>
      </c>
      <c r="J9" s="15">
        <f>VLOOKUP(B9,Ordering!$A$1:$J$36,10,FALSE)</f>
        <v>0.74</v>
      </c>
      <c r="K9" s="15">
        <f t="shared" si="4"/>
        <v>2.0666666666666667E-2</v>
      </c>
      <c r="L9" s="91">
        <f t="shared" si="5"/>
        <v>1.5293333333333332E-2</v>
      </c>
      <c r="O9">
        <v>45</v>
      </c>
    </row>
    <row r="10" spans="1:25" ht="14.5" x14ac:dyDescent="0.35">
      <c r="A10" s="11"/>
      <c r="B10" s="11" t="s">
        <v>53</v>
      </c>
      <c r="C10" s="16" t="s">
        <v>212</v>
      </c>
      <c r="D10" s="15">
        <f t="shared" si="0"/>
        <v>0.40538720538720541</v>
      </c>
      <c r="E10" s="12">
        <f t="shared" si="1"/>
        <v>341</v>
      </c>
      <c r="F10" s="13">
        <v>1</v>
      </c>
      <c r="G10" s="12">
        <f t="shared" si="2"/>
        <v>138.23703703703706</v>
      </c>
      <c r="H10" s="86">
        <f t="shared" si="3"/>
        <v>138.23703703703706</v>
      </c>
      <c r="I10" s="11">
        <f>VLOOKUP(B10,Ordering!$A$1:$J$36,6,FALSE)</f>
        <v>1</v>
      </c>
      <c r="J10" s="15">
        <f>VLOOKUP(B10,Ordering!$A$1:$J$36,10,FALSE)</f>
        <v>0</v>
      </c>
      <c r="K10" s="15">
        <f t="shared" si="4"/>
        <v>0.13823703703703705</v>
      </c>
      <c r="L10" s="91">
        <f t="shared" si="5"/>
        <v>0</v>
      </c>
      <c r="O10">
        <v>301</v>
      </c>
      <c r="R10" s="108" t="s">
        <v>62</v>
      </c>
      <c r="S10" s="109"/>
    </row>
    <row r="11" spans="1:25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/>
      <c r="O12" s="22">
        <f>O11/I1</f>
        <v>742.5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'Tahina Small'!Q13</f>
        <v>339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341</v>
      </c>
    </row>
    <row r="16" spans="1:25" x14ac:dyDescent="0.3">
      <c r="R16" s="96" t="s">
        <v>16</v>
      </c>
      <c r="S16" s="97">
        <f>SUM(L5:L10)</f>
        <v>23.775487350506076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00B050"/>
    <pageSetUpPr fitToPage="1"/>
  </sheetPr>
  <dimension ref="A1:Y27"/>
  <sheetViews>
    <sheetView topLeftCell="M1" zoomScale="115" zoomScaleNormal="11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208</v>
      </c>
      <c r="F1" s="17" t="s">
        <v>2</v>
      </c>
      <c r="G1" s="10">
        <f>D1/B1</f>
        <v>208</v>
      </c>
      <c r="H1" s="17" t="s">
        <v>3</v>
      </c>
      <c r="I1" s="21">
        <v>35</v>
      </c>
      <c r="J1" s="1"/>
      <c r="K1" s="23" t="s">
        <v>4</v>
      </c>
    </row>
    <row r="2" spans="1:25" ht="14.25" customHeight="1" x14ac:dyDescent="0.3">
      <c r="A2" s="54"/>
      <c r="B2" s="110" t="s">
        <v>260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5"/>
      <c r="B3" s="113" t="s">
        <v>261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54</v>
      </c>
      <c r="C5" s="16" t="s">
        <v>18</v>
      </c>
      <c r="D5" s="15">
        <f t="shared" ref="D5:D10" si="0">N5/$N$12</f>
        <v>20.923913043478262</v>
      </c>
      <c r="E5" s="12">
        <f t="shared" ref="E5:E10" si="1">$G$1</f>
        <v>208</v>
      </c>
      <c r="F5" s="13">
        <v>1</v>
      </c>
      <c r="G5" s="12">
        <f t="shared" ref="G5:G10" si="2">E5*D5</f>
        <v>4352.173913043478</v>
      </c>
      <c r="H5" s="86">
        <f t="shared" ref="H5:H10" si="3">G5*F5</f>
        <v>4352.173913043478</v>
      </c>
      <c r="I5" s="11">
        <f>VLOOKUP(B5,Ordering!$A$1:$J$36,6,FALSE)</f>
        <v>1</v>
      </c>
      <c r="J5" s="15">
        <f>VLOOKUP(B5,Ordering!$A$1:$J$36,10,FALSE)</f>
        <v>6.6959999999999997</v>
      </c>
      <c r="K5" s="15">
        <f t="shared" ref="K5:K10" si="4">((H5/(I5))/1000)</f>
        <v>4.3521739130434778</v>
      </c>
      <c r="L5" s="91">
        <f>J5*K5</f>
        <v>29.142156521739125</v>
      </c>
      <c r="N5">
        <v>5500</v>
      </c>
    </row>
    <row r="6" spans="1:25" ht="14.5" x14ac:dyDescent="0.35">
      <c r="A6" s="11"/>
      <c r="B6" s="11" t="s">
        <v>58</v>
      </c>
      <c r="C6" s="16" t="s">
        <v>18</v>
      </c>
      <c r="D6" s="15">
        <f t="shared" si="0"/>
        <v>5.6190217391304351</v>
      </c>
      <c r="E6" s="12">
        <f t="shared" si="1"/>
        <v>208</v>
      </c>
      <c r="F6" s="13">
        <v>1</v>
      </c>
      <c r="G6" s="12">
        <f t="shared" si="2"/>
        <v>1168.7565217391304</v>
      </c>
      <c r="H6" s="86">
        <f t="shared" si="3"/>
        <v>1168.7565217391304</v>
      </c>
      <c r="I6" s="11">
        <f>VLOOKUP(B6,Ordering!$A$1:$J$36,6,FALSE)</f>
        <v>0.8</v>
      </c>
      <c r="J6" s="15">
        <f>VLOOKUP(B6,Ordering!$A$1:$J$36,10,FALSE)</f>
        <v>3</v>
      </c>
      <c r="K6" s="15">
        <f t="shared" si="4"/>
        <v>1.460945652173913</v>
      </c>
      <c r="L6" s="91">
        <f t="shared" ref="L6:L10" si="5">J6*K6</f>
        <v>4.3828369565217393</v>
      </c>
      <c r="N6">
        <v>1477</v>
      </c>
    </row>
    <row r="7" spans="1:25" ht="14.5" x14ac:dyDescent="0.35">
      <c r="A7" s="11"/>
      <c r="B7" s="11" t="s">
        <v>51</v>
      </c>
      <c r="C7" s="16" t="s">
        <v>18</v>
      </c>
      <c r="D7" s="15">
        <f t="shared" si="0"/>
        <v>5.744565217391305E-2</v>
      </c>
      <c r="E7" s="12">
        <f t="shared" si="1"/>
        <v>208</v>
      </c>
      <c r="F7" s="13">
        <v>1</v>
      </c>
      <c r="G7" s="12">
        <f t="shared" si="2"/>
        <v>11.948695652173914</v>
      </c>
      <c r="H7" s="86">
        <f t="shared" si="3"/>
        <v>11.948695652173914</v>
      </c>
      <c r="I7" s="11">
        <f>VLOOKUP(B7,Ordering!$A$1:$J$36,6,FALSE)</f>
        <v>1</v>
      </c>
      <c r="J7" s="15">
        <f>VLOOKUP(B7,Ordering!$A$1:$J$36,10,FALSE)</f>
        <v>8</v>
      </c>
      <c r="K7" s="15">
        <f t="shared" si="4"/>
        <v>1.1948695652173914E-2</v>
      </c>
      <c r="L7" s="91">
        <f t="shared" si="5"/>
        <v>9.5589565217391315E-2</v>
      </c>
      <c r="N7">
        <v>15.1</v>
      </c>
      <c r="R7" s="48" t="s">
        <v>174</v>
      </c>
    </row>
    <row r="8" spans="1:25" ht="14.5" x14ac:dyDescent="0.35">
      <c r="A8" s="11"/>
      <c r="B8" s="11" t="s">
        <v>211</v>
      </c>
      <c r="C8" s="16" t="s">
        <v>18</v>
      </c>
      <c r="D8" s="15">
        <f t="shared" si="0"/>
        <v>1.9402173913043479E-2</v>
      </c>
      <c r="E8" s="12">
        <f t="shared" si="1"/>
        <v>208</v>
      </c>
      <c r="F8" s="13">
        <v>1</v>
      </c>
      <c r="G8" s="12">
        <f t="shared" si="2"/>
        <v>4.0356521739130438</v>
      </c>
      <c r="H8" s="86">
        <f t="shared" si="3"/>
        <v>4.0356521739130438</v>
      </c>
      <c r="I8" s="11">
        <f>VLOOKUP(B8,Ordering!$A$1:$J$36,6,FALSE)</f>
        <v>1</v>
      </c>
      <c r="J8" s="15">
        <f>VLOOKUP(B8,Ordering!$A$1:$J$36,10,FALSE)</f>
        <v>20</v>
      </c>
      <c r="K8" s="15">
        <f t="shared" si="4"/>
        <v>4.0356521739130435E-3</v>
      </c>
      <c r="L8" s="91">
        <f t="shared" si="5"/>
        <v>8.0713043478260874E-2</v>
      </c>
      <c r="N8">
        <v>5.0999999999999996</v>
      </c>
      <c r="V8" s="98" t="s">
        <v>251</v>
      </c>
      <c r="W8" s="99">
        <v>1</v>
      </c>
      <c r="X8" s="98" t="s">
        <v>16</v>
      </c>
      <c r="Y8" s="100">
        <f>SUM(L5:L10)/S15</f>
        <v>0.16208458152173913</v>
      </c>
    </row>
    <row r="9" spans="1:25" ht="14.5" x14ac:dyDescent="0.35">
      <c r="A9" s="11"/>
      <c r="B9" s="11" t="s">
        <v>53</v>
      </c>
      <c r="C9" s="16" t="s">
        <v>212</v>
      </c>
      <c r="D9" s="15">
        <f t="shared" si="0"/>
        <v>9.5108695652173925</v>
      </c>
      <c r="E9" s="12">
        <f t="shared" si="1"/>
        <v>208</v>
      </c>
      <c r="F9" s="13">
        <v>1</v>
      </c>
      <c r="G9" s="12">
        <f t="shared" si="2"/>
        <v>1978.2608695652177</v>
      </c>
      <c r="H9" s="86">
        <f t="shared" si="3"/>
        <v>1978.2608695652177</v>
      </c>
      <c r="I9" s="11">
        <f>VLOOKUP(B9,Ordering!$A$1:$J$36,6,FALSE)</f>
        <v>1</v>
      </c>
      <c r="J9" s="15">
        <f>VLOOKUP(B9,Ordering!$A$1:$J$36,10,FALSE)</f>
        <v>0</v>
      </c>
      <c r="K9" s="15">
        <f t="shared" si="4"/>
        <v>1.9782608695652177</v>
      </c>
      <c r="L9" s="91">
        <f t="shared" si="5"/>
        <v>0</v>
      </c>
      <c r="N9">
        <v>2500</v>
      </c>
    </row>
    <row r="10" spans="1:25" ht="14.5" x14ac:dyDescent="0.35">
      <c r="A10" s="11"/>
      <c r="B10" s="11" t="s">
        <v>52</v>
      </c>
      <c r="C10" s="16" t="s">
        <v>18</v>
      </c>
      <c r="D10" s="15">
        <f t="shared" si="0"/>
        <v>7.9891304347826098E-2</v>
      </c>
      <c r="E10" s="12">
        <f t="shared" si="1"/>
        <v>208</v>
      </c>
      <c r="F10" s="13">
        <v>1</v>
      </c>
      <c r="G10" s="12">
        <f t="shared" si="2"/>
        <v>16.617391304347827</v>
      </c>
      <c r="H10" s="86">
        <f t="shared" si="3"/>
        <v>16.617391304347827</v>
      </c>
      <c r="I10" s="11">
        <f>VLOOKUP(B10,Ordering!$A$1:$J$36,6,FALSE)</f>
        <v>1</v>
      </c>
      <c r="J10" s="15">
        <f>VLOOKUP(B10,Ordering!$A$1:$J$36,10,FALSE)</f>
        <v>0.74</v>
      </c>
      <c r="K10" s="15">
        <f t="shared" si="4"/>
        <v>1.6617391304347827E-2</v>
      </c>
      <c r="L10" s="91">
        <f t="shared" si="5"/>
        <v>1.2296869565217392E-2</v>
      </c>
      <c r="N10">
        <v>21</v>
      </c>
      <c r="R10" s="108" t="s">
        <v>62</v>
      </c>
      <c r="S10" s="109"/>
    </row>
    <row r="11" spans="1:25" x14ac:dyDescent="0.3">
      <c r="M11" s="24" t="s">
        <v>19</v>
      </c>
      <c r="N11" s="22">
        <v>9200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>
        <f>N11/I1</f>
        <v>262.85714285714283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v>206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208</v>
      </c>
    </row>
    <row r="16" spans="1:25" x14ac:dyDescent="0.3">
      <c r="R16" s="96" t="s">
        <v>16</v>
      </c>
      <c r="S16" s="97">
        <f>SUM(L5:L10)</f>
        <v>33.713592956521737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00B050"/>
    <pageSetUpPr fitToPage="1"/>
  </sheetPr>
  <dimension ref="A1:Y27"/>
  <sheetViews>
    <sheetView topLeftCell="L3" zoomScale="145" zoomScaleNormal="14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180</v>
      </c>
      <c r="F1" s="17" t="s">
        <v>2</v>
      </c>
      <c r="G1" s="10">
        <f>D1/B1</f>
        <v>180</v>
      </c>
      <c r="H1" s="17" t="s">
        <v>3</v>
      </c>
      <c r="I1" s="21">
        <v>20</v>
      </c>
      <c r="J1" s="1"/>
      <c r="K1" s="23" t="s">
        <v>4</v>
      </c>
    </row>
    <row r="2" spans="1:25" ht="14.25" customHeight="1" x14ac:dyDescent="0.3">
      <c r="A2" s="56"/>
      <c r="B2" s="111" t="s">
        <v>65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262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56</v>
      </c>
      <c r="C5" s="16" t="s">
        <v>18</v>
      </c>
      <c r="D5" s="15">
        <f>N5/$N$12</f>
        <v>19.526627218934912</v>
      </c>
      <c r="E5" s="12">
        <f>$G$1</f>
        <v>180</v>
      </c>
      <c r="F5" s="13">
        <v>1</v>
      </c>
      <c r="G5" s="12">
        <f>E5*D5</f>
        <v>3514.792899408284</v>
      </c>
      <c r="H5" s="86">
        <f>G5*F5</f>
        <v>3514.792899408284</v>
      </c>
      <c r="I5" s="11">
        <f>VLOOKUP(B5,Ordering!$A$1:$J$36,6,FALSE)</f>
        <v>1</v>
      </c>
      <c r="J5" s="92">
        <f>VLOOKUP(B5,Ordering!$A$1:$J$36,10,FALSE)</f>
        <v>6.4189189189189184</v>
      </c>
      <c r="K5" s="92">
        <f t="shared" ref="K5:K9" si="0">((H5/(I5))/1000)</f>
        <v>3.5147928994082842</v>
      </c>
      <c r="L5" s="93">
        <f>J5*K5</f>
        <v>22.561170638093714</v>
      </c>
      <c r="N5">
        <v>3300</v>
      </c>
    </row>
    <row r="6" spans="1:25" ht="14.5" x14ac:dyDescent="0.35">
      <c r="A6" s="11"/>
      <c r="B6" s="11" t="s">
        <v>94</v>
      </c>
      <c r="C6" s="16" t="s">
        <v>212</v>
      </c>
      <c r="D6" s="25">
        <f>N6/$N$12</f>
        <v>9.7633136094674555E-2</v>
      </c>
      <c r="E6" s="12">
        <f>$G$1</f>
        <v>180</v>
      </c>
      <c r="F6" s="13">
        <v>1</v>
      </c>
      <c r="G6" s="12">
        <f>E6*D6</f>
        <v>17.57396449704142</v>
      </c>
      <c r="H6" s="86">
        <f>G6*F6</f>
        <v>17.57396449704142</v>
      </c>
      <c r="I6" s="11">
        <f>VLOOKUP(B6,Ordering!$A$1:$J$36,6,FALSE)</f>
        <v>1</v>
      </c>
      <c r="J6" s="92">
        <f>VLOOKUP(B6,Ordering!$A$1:$J$36,10,FALSE)</f>
        <v>58.685446009389672</v>
      </c>
      <c r="K6" s="92">
        <f t="shared" si="0"/>
        <v>1.7573964497041419E-2</v>
      </c>
      <c r="L6" s="93">
        <f t="shared" ref="L6:L9" si="1">J6*K6</f>
        <v>1.0313359446620551</v>
      </c>
      <c r="N6">
        <v>16.5</v>
      </c>
    </row>
    <row r="7" spans="1:25" ht="14.5" x14ac:dyDescent="0.35">
      <c r="A7" s="11"/>
      <c r="B7" s="11" t="s">
        <v>242</v>
      </c>
      <c r="C7" s="16" t="s">
        <v>18</v>
      </c>
      <c r="D7" s="25">
        <f>N7/$N$12</f>
        <v>0.42011834319526625</v>
      </c>
      <c r="E7" s="12">
        <f>$G$1</f>
        <v>180</v>
      </c>
      <c r="F7" s="13">
        <v>1</v>
      </c>
      <c r="G7" s="12">
        <f>E7*D7</f>
        <v>75.621301775147927</v>
      </c>
      <c r="H7" s="86">
        <f>G7*F7</f>
        <v>75.621301775147927</v>
      </c>
      <c r="I7" s="11">
        <f>VLOOKUP(B7,Ordering!$A$1:$J$36,6,FALSE)</f>
        <v>1</v>
      </c>
      <c r="J7" s="92">
        <f>VLOOKUP(B7,Ordering!$A$1:$J$36,10,FALSE)</f>
        <v>10</v>
      </c>
      <c r="K7" s="92">
        <f t="shared" si="0"/>
        <v>7.5621301775147934E-2</v>
      </c>
      <c r="L7" s="93">
        <f t="shared" si="1"/>
        <v>0.75621301775147931</v>
      </c>
      <c r="N7">
        <v>71</v>
      </c>
    </row>
    <row r="8" spans="1:25" ht="14.5" x14ac:dyDescent="0.35">
      <c r="A8" s="11"/>
      <c r="B8" s="11" t="s">
        <v>207</v>
      </c>
      <c r="C8" s="16" t="s">
        <v>18</v>
      </c>
      <c r="D8" s="25">
        <f>N8/$N$12</f>
        <v>1.1834319526627219E-2</v>
      </c>
      <c r="E8" s="12">
        <f>$G$1</f>
        <v>180</v>
      </c>
      <c r="F8" s="13">
        <v>1</v>
      </c>
      <c r="G8" s="12">
        <f>E8*D8</f>
        <v>2.1301775147928992</v>
      </c>
      <c r="H8" s="86">
        <f>G8*F8</f>
        <v>2.1301775147928992</v>
      </c>
      <c r="I8" s="11">
        <f>VLOOKUP(B8,Ordering!$A$1:$J$36,6,FALSE)</f>
        <v>1</v>
      </c>
      <c r="J8" s="92">
        <f>VLOOKUP(B8,Ordering!$A$1:$J$36,10,FALSE)</f>
        <v>64.243759177679877</v>
      </c>
      <c r="K8" s="92">
        <f t="shared" si="0"/>
        <v>2.1301775147928993E-3</v>
      </c>
      <c r="L8" s="93">
        <f t="shared" si="1"/>
        <v>0.13685061126606363</v>
      </c>
      <c r="N8">
        <v>2</v>
      </c>
      <c r="V8" s="98" t="s">
        <v>251</v>
      </c>
      <c r="W8" s="99">
        <v>1</v>
      </c>
      <c r="X8" s="98" t="s">
        <v>16</v>
      </c>
      <c r="Y8" s="100">
        <f>SUM(L5:L9)/S15</f>
        <v>0.13650431840202792</v>
      </c>
    </row>
    <row r="9" spans="1:25" ht="14.5" x14ac:dyDescent="0.35">
      <c r="A9" s="11"/>
      <c r="B9" s="11" t="s">
        <v>50</v>
      </c>
      <c r="C9" s="16" t="s">
        <v>212</v>
      </c>
      <c r="D9" s="25">
        <f>N9/$N$12</f>
        <v>9.4674556213017749E-2</v>
      </c>
      <c r="E9" s="12">
        <f>$G$1</f>
        <v>180</v>
      </c>
      <c r="F9" s="13">
        <v>1</v>
      </c>
      <c r="G9" s="12">
        <f>E9*D9</f>
        <v>17.041420118343193</v>
      </c>
      <c r="H9" s="86">
        <f>G9*F9</f>
        <v>17.041420118343193</v>
      </c>
      <c r="I9" s="11">
        <f>VLOOKUP(B9,Ordering!$A$1:$J$36,6,FALSE)</f>
        <v>1</v>
      </c>
      <c r="J9" s="92">
        <f>VLOOKUP(B9,Ordering!$A$1:$J$36,10,FALSE)</f>
        <v>5</v>
      </c>
      <c r="K9" s="92">
        <f t="shared" si="0"/>
        <v>1.7041420118343194E-2</v>
      </c>
      <c r="L9" s="93">
        <f t="shared" si="1"/>
        <v>8.5207100591715976E-2</v>
      </c>
      <c r="N9">
        <v>16</v>
      </c>
    </row>
    <row r="10" spans="1:25" x14ac:dyDescent="0.3">
      <c r="R10" s="108" t="s">
        <v>62</v>
      </c>
      <c r="S10" s="109"/>
    </row>
    <row r="11" spans="1:25" x14ac:dyDescent="0.3">
      <c r="M11" s="24" t="s">
        <v>19</v>
      </c>
      <c r="N11" s="22">
        <v>3380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>
        <f>N11/I1</f>
        <v>169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v>178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180</v>
      </c>
    </row>
    <row r="16" spans="1:25" x14ac:dyDescent="0.3">
      <c r="R16" s="96" t="s">
        <v>16</v>
      </c>
      <c r="S16" s="97">
        <f>SUM(L5:L9)</f>
        <v>24.570777312365028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00B050"/>
    <pageSetUpPr fitToPage="1"/>
  </sheetPr>
  <dimension ref="A1:Y30"/>
  <sheetViews>
    <sheetView topLeftCell="K1" zoomScale="130" zoomScaleNormal="130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1.83203125" bestFit="1" customWidth="1"/>
    <col min="19" max="19" width="8.5" bestFit="1" customWidth="1"/>
  </cols>
  <sheetData>
    <row r="1" spans="1:25" ht="25" x14ac:dyDescent="0.3">
      <c r="A1" s="17" t="s">
        <v>0</v>
      </c>
      <c r="B1" s="9">
        <v>1</v>
      </c>
      <c r="E1" s="17" t="s">
        <v>1</v>
      </c>
      <c r="F1" s="10">
        <f>S15</f>
        <v>180</v>
      </c>
      <c r="H1" s="17" t="s">
        <v>2</v>
      </c>
      <c r="I1" s="10">
        <f>F1/B1</f>
        <v>180</v>
      </c>
      <c r="J1" s="1"/>
      <c r="K1" s="18" t="s">
        <v>4</v>
      </c>
    </row>
    <row r="2" spans="1:25" ht="14.25" customHeight="1" x14ac:dyDescent="0.3">
      <c r="A2" s="56"/>
      <c r="B2" s="111" t="s">
        <v>263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262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56</v>
      </c>
      <c r="C5" s="16" t="s">
        <v>18</v>
      </c>
      <c r="D5" s="15">
        <f>1500/93</f>
        <v>16.129032258064516</v>
      </c>
      <c r="E5" s="12">
        <f>$I$1</f>
        <v>180</v>
      </c>
      <c r="F5" s="13">
        <v>1</v>
      </c>
      <c r="G5" s="12">
        <f>E5*D5</f>
        <v>2903.2258064516127</v>
      </c>
      <c r="H5" s="86">
        <f>G5*F5</f>
        <v>2903.2258064516127</v>
      </c>
      <c r="I5" s="11">
        <f>VLOOKUP(B5,Ordering!$A$1:$J$36,6,FALSE)</f>
        <v>1</v>
      </c>
      <c r="J5" s="15">
        <f>VLOOKUP(B5,Ordering!$A$1:$J$36,10,FALSE)</f>
        <v>6.4189189189189184</v>
      </c>
      <c r="K5" s="15">
        <f t="shared" ref="K5:K8" si="0">((H5/(I5))/1000)</f>
        <v>2.9032258064516125</v>
      </c>
      <c r="L5" s="91">
        <f>J5*K5</f>
        <v>18.63557105492589</v>
      </c>
      <c r="M5">
        <v>1500</v>
      </c>
    </row>
    <row r="6" spans="1:25" ht="14.5" x14ac:dyDescent="0.35">
      <c r="A6" s="11"/>
      <c r="B6" s="11" t="s">
        <v>205</v>
      </c>
      <c r="C6" s="16" t="s">
        <v>212</v>
      </c>
      <c r="D6" s="15">
        <f>20/93</f>
        <v>0.21505376344086022</v>
      </c>
      <c r="E6" s="12">
        <f>$I$1</f>
        <v>180</v>
      </c>
      <c r="F6" s="13">
        <v>1</v>
      </c>
      <c r="G6" s="12">
        <f>E6*D6</f>
        <v>38.70967741935484</v>
      </c>
      <c r="H6" s="86">
        <f>G6*F6</f>
        <v>38.70967741935484</v>
      </c>
      <c r="I6" s="11">
        <f>VLOOKUP(B6,Ordering!$A$1:$J$36,6,FALSE)</f>
        <v>1</v>
      </c>
      <c r="J6" s="15">
        <f>VLOOKUP(B6,Ordering!$A$1:$J$36,10,FALSE)</f>
        <v>3.25</v>
      </c>
      <c r="K6" s="15">
        <f t="shared" si="0"/>
        <v>3.870967741935484E-2</v>
      </c>
      <c r="L6" s="91">
        <f t="shared" ref="L6:L8" si="1">J6*K6</f>
        <v>0.12580645161290324</v>
      </c>
      <c r="M6">
        <v>1020</v>
      </c>
    </row>
    <row r="7" spans="1:25" ht="14.5" x14ac:dyDescent="0.35">
      <c r="A7" s="11"/>
      <c r="B7" s="11" t="s">
        <v>57</v>
      </c>
      <c r="C7" s="16" t="s">
        <v>18</v>
      </c>
      <c r="D7" s="15">
        <f>50/93</f>
        <v>0.5376344086021505</v>
      </c>
      <c r="E7" s="12">
        <f>$I$1</f>
        <v>180</v>
      </c>
      <c r="F7" s="13">
        <v>1</v>
      </c>
      <c r="G7" s="12">
        <f>E7*D7</f>
        <v>96.774193548387089</v>
      </c>
      <c r="H7" s="86">
        <f>G7*F7</f>
        <v>96.774193548387089</v>
      </c>
      <c r="I7" s="11">
        <f>VLOOKUP(B7,Ordering!$A$1:$J$36,6,FALSE)</f>
        <v>1</v>
      </c>
      <c r="J7" s="15">
        <f>VLOOKUP(B7,Ordering!$A$1:$J$36,10,FALSE)</f>
        <v>11.243386243386244</v>
      </c>
      <c r="K7" s="15">
        <f t="shared" si="0"/>
        <v>9.6774193548387094E-2</v>
      </c>
      <c r="L7" s="91">
        <f t="shared" si="1"/>
        <v>1.0880696364567333</v>
      </c>
      <c r="M7">
        <v>100</v>
      </c>
      <c r="S7" s="48" t="s">
        <v>70</v>
      </c>
    </row>
    <row r="8" spans="1:25" ht="14.5" x14ac:dyDescent="0.35">
      <c r="A8" s="11"/>
      <c r="B8" s="11" t="s">
        <v>94</v>
      </c>
      <c r="C8" s="16" t="s">
        <v>212</v>
      </c>
      <c r="D8" s="15">
        <f>150/93</f>
        <v>1.6129032258064515</v>
      </c>
      <c r="E8" s="12">
        <f>$I$1</f>
        <v>180</v>
      </c>
      <c r="F8" s="13">
        <v>1</v>
      </c>
      <c r="G8" s="12">
        <f>E8*D8</f>
        <v>290.32258064516128</v>
      </c>
      <c r="H8" s="86">
        <f>G8*F8</f>
        <v>290.32258064516128</v>
      </c>
      <c r="I8" s="11">
        <f>VLOOKUP(B8,Ordering!$A$1:$J$36,6,FALSE)</f>
        <v>1</v>
      </c>
      <c r="J8" s="15">
        <f>VLOOKUP(B8,Ordering!$A$1:$J$36,10,FALSE)</f>
        <v>58.685446009389672</v>
      </c>
      <c r="K8" s="15">
        <f t="shared" si="0"/>
        <v>0.29032258064516125</v>
      </c>
      <c r="L8" s="91">
        <f t="shared" si="1"/>
        <v>17.037710131758288</v>
      </c>
      <c r="M8">
        <v>150</v>
      </c>
      <c r="V8" s="98" t="s">
        <v>251</v>
      </c>
      <c r="W8" s="99">
        <v>1</v>
      </c>
      <c r="X8" s="98" t="s">
        <v>16</v>
      </c>
      <c r="Y8" s="100">
        <f>SUM(L5:L8)/S15</f>
        <v>0.2049286515264101</v>
      </c>
    </row>
    <row r="10" spans="1:25" x14ac:dyDescent="0.3">
      <c r="M10">
        <f>SUM(M5:M9)</f>
        <v>2770</v>
      </c>
      <c r="R10" s="108" t="s">
        <v>62</v>
      </c>
      <c r="S10" s="109"/>
    </row>
    <row r="11" spans="1:25" x14ac:dyDescent="0.3">
      <c r="M11" s="19">
        <f>M10/30</f>
        <v>92.333333333333329</v>
      </c>
      <c r="R11" s="106" t="s">
        <v>63</v>
      </c>
      <c r="S11" s="107"/>
    </row>
    <row r="12" spans="1:25" ht="14.75" customHeight="1" thickBot="1" x14ac:dyDescent="0.35"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'Herbal Sauce'!S13</f>
        <v>178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180</v>
      </c>
    </row>
    <row r="16" spans="1:25" x14ac:dyDescent="0.3">
      <c r="R16" s="96" t="s">
        <v>16</v>
      </c>
      <c r="S16" s="97">
        <f>SUM(L5:L8)</f>
        <v>36.887157274753818</v>
      </c>
    </row>
    <row r="25" spans="10:11" x14ac:dyDescent="0.3">
      <c r="J25" t="s">
        <v>66</v>
      </c>
      <c r="K25" t="s">
        <v>67</v>
      </c>
    </row>
    <row r="26" spans="10:11" x14ac:dyDescent="0.3">
      <c r="J26" t="s">
        <v>68</v>
      </c>
      <c r="K26" t="s">
        <v>38</v>
      </c>
    </row>
    <row r="27" spans="10:11" x14ac:dyDescent="0.3">
      <c r="J27" t="s">
        <v>69</v>
      </c>
      <c r="K27" s="20" t="s">
        <v>70</v>
      </c>
    </row>
    <row r="28" spans="10:11" x14ac:dyDescent="0.3">
      <c r="J28" t="s">
        <v>71</v>
      </c>
    </row>
    <row r="29" spans="10:11" x14ac:dyDescent="0.3">
      <c r="J29" t="s">
        <v>72</v>
      </c>
    </row>
    <row r="30" spans="10:11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3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250E-08C1-49FC-8C21-313CFF8139E3}">
  <sheetPr codeName="Sheet18">
    <tabColor rgb="FF00B050"/>
    <pageSetUpPr fitToPage="1"/>
  </sheetPr>
  <dimension ref="A1:Y27"/>
  <sheetViews>
    <sheetView topLeftCell="M1" zoomScale="145" zoomScaleNormal="14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355</v>
      </c>
      <c r="F1" s="17" t="s">
        <v>2</v>
      </c>
      <c r="G1" s="10">
        <f>D1/B1</f>
        <v>355</v>
      </c>
      <c r="H1" s="17" t="s">
        <v>3</v>
      </c>
      <c r="I1" s="21">
        <v>35</v>
      </c>
      <c r="J1" s="1"/>
      <c r="K1" s="23" t="s">
        <v>4</v>
      </c>
    </row>
    <row r="2" spans="1:25" ht="14.25" customHeight="1" x14ac:dyDescent="0.3">
      <c r="A2" s="58"/>
      <c r="B2" s="111" t="s">
        <v>158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25" ht="14.25" customHeight="1" x14ac:dyDescent="0.3">
      <c r="A3" s="58"/>
      <c r="B3" s="114" t="s">
        <v>264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59</v>
      </c>
      <c r="C5" s="16" t="s">
        <v>18</v>
      </c>
      <c r="D5" s="15">
        <f t="shared" ref="D5:D10" si="0">O5/$O$12</f>
        <v>33.703703703703702</v>
      </c>
      <c r="E5" s="12">
        <f t="shared" ref="E5:E10" si="1">$G$1</f>
        <v>355</v>
      </c>
      <c r="F5" s="13">
        <v>1</v>
      </c>
      <c r="G5" s="12">
        <f t="shared" ref="G5:G10" si="2">E5*D5</f>
        <v>11964.814814814814</v>
      </c>
      <c r="H5" s="86">
        <f t="shared" ref="H5:H10" si="3">G5*F5</f>
        <v>11964.814814814814</v>
      </c>
      <c r="I5" s="11">
        <f>VLOOKUP(B5,Ordering!$A$1:$J$36,6,FALSE)</f>
        <v>0.98</v>
      </c>
      <c r="J5" s="15">
        <f>VLOOKUP(B5,Ordering!$A$1:$J$36,10,FALSE)</f>
        <v>3.5</v>
      </c>
      <c r="K5" s="15">
        <f t="shared" ref="K5:K10" si="4">((H5/(I5))/1000)</f>
        <v>12.208994708994709</v>
      </c>
      <c r="L5" s="91">
        <f>J5*K5</f>
        <v>42.731481481481481</v>
      </c>
      <c r="O5">
        <v>14300</v>
      </c>
    </row>
    <row r="6" spans="1:25" ht="14.5" x14ac:dyDescent="0.35">
      <c r="A6" s="11"/>
      <c r="B6" s="11" t="s">
        <v>95</v>
      </c>
      <c r="C6" s="16" t="s">
        <v>18</v>
      </c>
      <c r="D6" s="15">
        <f t="shared" si="0"/>
        <v>0.19090909090909092</v>
      </c>
      <c r="E6" s="12">
        <f t="shared" si="1"/>
        <v>355</v>
      </c>
      <c r="F6" s="13">
        <v>1</v>
      </c>
      <c r="G6" s="12">
        <f t="shared" si="2"/>
        <v>67.77272727272728</v>
      </c>
      <c r="H6" s="86">
        <f t="shared" si="3"/>
        <v>67.77272727272728</v>
      </c>
      <c r="I6" s="11">
        <f>VLOOKUP(B6,Ordering!$A$1:$J$36,6,FALSE)</f>
        <v>0.96</v>
      </c>
      <c r="J6" s="15">
        <f>VLOOKUP(B6,Ordering!$A$1:$J$36,10,FALSE)</f>
        <v>4</v>
      </c>
      <c r="K6" s="15">
        <f t="shared" si="4"/>
        <v>7.0596590909090914E-2</v>
      </c>
      <c r="L6" s="91">
        <f t="shared" ref="L6:L10" si="5">J6*K6</f>
        <v>0.28238636363636366</v>
      </c>
      <c r="O6">
        <v>81</v>
      </c>
    </row>
    <row r="7" spans="1:25" ht="14.5" x14ac:dyDescent="0.35">
      <c r="A7" s="11"/>
      <c r="B7" s="11" t="s">
        <v>209</v>
      </c>
      <c r="C7" s="16" t="s">
        <v>18</v>
      </c>
      <c r="D7" s="15">
        <f t="shared" si="0"/>
        <v>0.18855218855218855</v>
      </c>
      <c r="E7" s="12">
        <f t="shared" si="1"/>
        <v>355</v>
      </c>
      <c r="F7" s="13">
        <v>1</v>
      </c>
      <c r="G7" s="12">
        <f t="shared" si="2"/>
        <v>66.936026936026934</v>
      </c>
      <c r="H7" s="86">
        <f t="shared" si="3"/>
        <v>66.936026936026934</v>
      </c>
      <c r="I7" s="11">
        <f>VLOOKUP(B7,Ordering!$A$1:$J$36,6,FALSE)</f>
        <v>0.94</v>
      </c>
      <c r="J7" s="15">
        <f>VLOOKUP(B7,Ordering!$A$1:$J$36,10,FALSE)</f>
        <v>3.6363636363636367</v>
      </c>
      <c r="K7" s="15">
        <f t="shared" si="4"/>
        <v>7.1208539293645692E-2</v>
      </c>
      <c r="L7" s="91">
        <f t="shared" si="5"/>
        <v>0.25894014288598438</v>
      </c>
      <c r="O7">
        <v>80</v>
      </c>
      <c r="R7" s="48" t="s">
        <v>172</v>
      </c>
    </row>
    <row r="8" spans="1:25" ht="14.5" x14ac:dyDescent="0.35">
      <c r="A8" s="11"/>
      <c r="B8" s="11" t="s">
        <v>224</v>
      </c>
      <c r="C8" s="16" t="s">
        <v>18</v>
      </c>
      <c r="D8" s="15">
        <f t="shared" si="0"/>
        <v>1.1784511784511784E-3</v>
      </c>
      <c r="E8" s="12">
        <f t="shared" si="1"/>
        <v>355</v>
      </c>
      <c r="F8" s="13">
        <v>1</v>
      </c>
      <c r="G8" s="12">
        <f t="shared" si="2"/>
        <v>0.41835016835016831</v>
      </c>
      <c r="H8" s="86">
        <f t="shared" si="3"/>
        <v>0.41835016835016831</v>
      </c>
      <c r="I8" s="11">
        <f>VLOOKUP(B8,Ordering!$A$1:$J$36,6,FALSE)</f>
        <v>1</v>
      </c>
      <c r="J8" s="15">
        <f>VLOOKUP(B8,Ordering!$A$1:$J$36,10,FALSE)</f>
        <v>35</v>
      </c>
      <c r="K8" s="15">
        <f t="shared" si="4"/>
        <v>4.1835016835016828E-4</v>
      </c>
      <c r="L8" s="91">
        <f t="shared" si="5"/>
        <v>1.4642255892255891E-2</v>
      </c>
      <c r="O8">
        <v>0.5</v>
      </c>
      <c r="V8" s="98" t="s">
        <v>251</v>
      </c>
      <c r="W8" s="99">
        <v>1</v>
      </c>
      <c r="X8" s="98" t="s">
        <v>16</v>
      </c>
      <c r="Y8" s="100">
        <f>SUM(L5:L10)/S15</f>
        <v>0.12201496440875551</v>
      </c>
    </row>
    <row r="9" spans="1:25" ht="14.5" x14ac:dyDescent="0.35">
      <c r="A9" s="11"/>
      <c r="B9" s="11" t="s">
        <v>52</v>
      </c>
      <c r="C9" s="16" t="s">
        <v>18</v>
      </c>
      <c r="D9" s="15">
        <f t="shared" si="0"/>
        <v>0.10606060606060606</v>
      </c>
      <c r="E9" s="12">
        <f t="shared" si="1"/>
        <v>355</v>
      </c>
      <c r="F9" s="13">
        <v>1</v>
      </c>
      <c r="G9" s="12">
        <f t="shared" si="2"/>
        <v>37.651515151515156</v>
      </c>
      <c r="H9" s="86">
        <f t="shared" si="3"/>
        <v>37.651515151515156</v>
      </c>
      <c r="I9" s="11">
        <f>VLOOKUP(B9,Ordering!$A$1:$J$36,6,FALSE)</f>
        <v>1</v>
      </c>
      <c r="J9" s="15">
        <f>VLOOKUP(B9,Ordering!$A$1:$J$36,10,FALSE)</f>
        <v>0.74</v>
      </c>
      <c r="K9" s="15">
        <f t="shared" si="4"/>
        <v>3.7651515151515158E-2</v>
      </c>
      <c r="L9" s="91">
        <f t="shared" si="5"/>
        <v>2.7862121212121217E-2</v>
      </c>
      <c r="O9">
        <v>45</v>
      </c>
    </row>
    <row r="10" spans="1:25" ht="14.5" x14ac:dyDescent="0.35">
      <c r="A10" s="11"/>
      <c r="B10" s="11" t="s">
        <v>53</v>
      </c>
      <c r="C10" s="16" t="s">
        <v>212</v>
      </c>
      <c r="D10" s="15">
        <f t="shared" si="0"/>
        <v>0.70942760942760941</v>
      </c>
      <c r="E10" s="12">
        <f t="shared" si="1"/>
        <v>355</v>
      </c>
      <c r="F10" s="13">
        <v>1</v>
      </c>
      <c r="G10" s="12">
        <f t="shared" si="2"/>
        <v>251.84680134680133</v>
      </c>
      <c r="H10" s="86">
        <f t="shared" si="3"/>
        <v>251.84680134680133</v>
      </c>
      <c r="I10" s="11">
        <f>VLOOKUP(B10,Ordering!$A$1:$J$36,6,FALSE)</f>
        <v>1</v>
      </c>
      <c r="J10" s="15">
        <f>VLOOKUP(B10,Ordering!$A$1:$J$36,10,FALSE)</f>
        <v>0</v>
      </c>
      <c r="K10" s="15">
        <f t="shared" si="4"/>
        <v>0.25184680134680132</v>
      </c>
      <c r="L10" s="91">
        <f t="shared" si="5"/>
        <v>0</v>
      </c>
      <c r="O10">
        <v>301</v>
      </c>
      <c r="R10" s="108" t="s">
        <v>62</v>
      </c>
      <c r="S10" s="109"/>
    </row>
    <row r="11" spans="1:25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/>
      <c r="O12" s="22">
        <f>O11/I1</f>
        <v>424.28571428571428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206+147</f>
        <v>353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355</v>
      </c>
    </row>
    <row r="16" spans="1:25" x14ac:dyDescent="0.3">
      <c r="R16" s="96" t="s">
        <v>16</v>
      </c>
      <c r="S16" s="97">
        <f>SUM(L5:L10)</f>
        <v>43.315312365108205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00B050"/>
    <pageSetUpPr fitToPage="1"/>
  </sheetPr>
  <dimension ref="A1:Y27"/>
  <sheetViews>
    <sheetView topLeftCell="L2" zoomScale="175" zoomScaleNormal="175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0.664062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Q15</f>
        <v>149</v>
      </c>
      <c r="F1" s="17" t="s">
        <v>2</v>
      </c>
      <c r="G1" s="10">
        <f>D1/B1</f>
        <v>149</v>
      </c>
      <c r="H1" s="17" t="s">
        <v>3</v>
      </c>
      <c r="I1" s="21">
        <v>35</v>
      </c>
      <c r="J1" s="1"/>
      <c r="K1" s="23" t="s">
        <v>4</v>
      </c>
    </row>
    <row r="2" spans="1:25" ht="14.25" customHeight="1" x14ac:dyDescent="0.3">
      <c r="A2" s="56"/>
      <c r="B2" s="111" t="s">
        <v>168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265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50</v>
      </c>
      <c r="C5" s="16" t="s">
        <v>212</v>
      </c>
      <c r="D5" s="15">
        <f t="shared" ref="D5:D10" si="0">M5/$M$15</f>
        <v>2.12636695018226</v>
      </c>
      <c r="E5" s="12">
        <f t="shared" ref="E5:E10" si="1">$G$1</f>
        <v>149</v>
      </c>
      <c r="F5" s="13">
        <v>1</v>
      </c>
      <c r="G5" s="12">
        <f t="shared" ref="G5:G10" si="2">E5*D5</f>
        <v>316.82867557715673</v>
      </c>
      <c r="H5" s="86">
        <f t="shared" ref="H5:H10" si="3">G5*F5</f>
        <v>316.82867557715673</v>
      </c>
      <c r="I5" s="11">
        <f>VLOOKUP(B5,Ordering!$A$1:$J$36,6,FALSE)</f>
        <v>1</v>
      </c>
      <c r="J5" s="15">
        <f>VLOOKUP(B5,Ordering!$A$1:$J$36,10,FALSE)</f>
        <v>5</v>
      </c>
      <c r="K5" s="15">
        <f t="shared" ref="K5:K10" si="4">((H5/(I5))/1000)</f>
        <v>0.31682867557715672</v>
      </c>
      <c r="L5" s="91">
        <f>J5*K5</f>
        <v>1.5841433778857836</v>
      </c>
      <c r="M5">
        <v>150</v>
      </c>
    </row>
    <row r="6" spans="1:25" ht="14.5" x14ac:dyDescent="0.35">
      <c r="A6" s="11"/>
      <c r="B6" s="11" t="s">
        <v>51</v>
      </c>
      <c r="C6" s="16" t="s">
        <v>18</v>
      </c>
      <c r="D6" s="15">
        <f t="shared" si="0"/>
        <v>4.25273390036452E-2</v>
      </c>
      <c r="E6" s="12">
        <f t="shared" si="1"/>
        <v>149</v>
      </c>
      <c r="F6" s="13">
        <v>1</v>
      </c>
      <c r="G6" s="12">
        <f t="shared" si="2"/>
        <v>6.3365735115431345</v>
      </c>
      <c r="H6" s="86">
        <f t="shared" si="3"/>
        <v>6.3365735115431345</v>
      </c>
      <c r="I6" s="11">
        <f>VLOOKUP(B6,Ordering!$A$1:$J$36,6,FALSE)</f>
        <v>1</v>
      </c>
      <c r="J6" s="15">
        <f>VLOOKUP(B6,Ordering!$A$1:$J$36,10,FALSE)</f>
        <v>8</v>
      </c>
      <c r="K6" s="15">
        <f t="shared" si="4"/>
        <v>6.3365735115431341E-3</v>
      </c>
      <c r="L6" s="91">
        <f t="shared" ref="L6:L10" si="5">J6*K6</f>
        <v>5.0692588092345073E-2</v>
      </c>
      <c r="M6">
        <v>3</v>
      </c>
    </row>
    <row r="7" spans="1:25" ht="14.5" x14ac:dyDescent="0.35">
      <c r="A7" s="11"/>
      <c r="B7" s="11" t="s">
        <v>52</v>
      </c>
      <c r="C7" s="16" t="s">
        <v>18</v>
      </c>
      <c r="D7" s="15">
        <f t="shared" si="0"/>
        <v>0.15593357634669908</v>
      </c>
      <c r="E7" s="12">
        <f t="shared" si="1"/>
        <v>149</v>
      </c>
      <c r="F7" s="13">
        <v>1</v>
      </c>
      <c r="G7" s="12">
        <f t="shared" si="2"/>
        <v>23.234102875658163</v>
      </c>
      <c r="H7" s="86">
        <f t="shared" si="3"/>
        <v>23.234102875658163</v>
      </c>
      <c r="I7" s="11">
        <f>VLOOKUP(B7,Ordering!$A$1:$J$36,6,FALSE)</f>
        <v>1</v>
      </c>
      <c r="J7" s="15">
        <f>VLOOKUP(B7,Ordering!$A$1:$J$36,10,FALSE)</f>
        <v>0.74</v>
      </c>
      <c r="K7" s="15">
        <f t="shared" si="4"/>
        <v>2.3234102875658164E-2</v>
      </c>
      <c r="L7" s="91">
        <f t="shared" si="5"/>
        <v>1.7193236127987042E-2</v>
      </c>
      <c r="M7">
        <v>11</v>
      </c>
      <c r="P7" s="48" t="s">
        <v>173</v>
      </c>
    </row>
    <row r="8" spans="1:25" ht="14.5" x14ac:dyDescent="0.35">
      <c r="A8" s="11"/>
      <c r="B8" s="11" t="s">
        <v>53</v>
      </c>
      <c r="C8" s="16" t="s">
        <v>212</v>
      </c>
      <c r="D8" s="15">
        <f t="shared" si="0"/>
        <v>18.456865127582017</v>
      </c>
      <c r="E8" s="12">
        <f t="shared" si="1"/>
        <v>149</v>
      </c>
      <c r="F8" s="13">
        <v>1</v>
      </c>
      <c r="G8" s="12">
        <f t="shared" si="2"/>
        <v>2750.0729040097203</v>
      </c>
      <c r="H8" s="86">
        <f t="shared" si="3"/>
        <v>2750.0729040097203</v>
      </c>
      <c r="I8" s="11">
        <f>VLOOKUP(B8,Ordering!$A$1:$J$36,6,FALSE)</f>
        <v>1</v>
      </c>
      <c r="J8" s="15">
        <f>VLOOKUP(B8,Ordering!$A$1:$J$36,10,FALSE)</f>
        <v>0</v>
      </c>
      <c r="K8" s="15">
        <f t="shared" si="4"/>
        <v>2.7500729040097203</v>
      </c>
      <c r="L8" s="91">
        <f t="shared" si="5"/>
        <v>0</v>
      </c>
      <c r="M8">
        <v>1302</v>
      </c>
      <c r="V8" s="98" t="s">
        <v>251</v>
      </c>
      <c r="W8" s="99">
        <v>1</v>
      </c>
      <c r="X8" s="98" t="s">
        <v>16</v>
      </c>
      <c r="Y8" s="100">
        <f>SUM(L5:L10)/Q15</f>
        <v>0.15416358849736733</v>
      </c>
    </row>
    <row r="9" spans="1:25" ht="14.5" x14ac:dyDescent="0.35">
      <c r="A9" s="11"/>
      <c r="B9" s="11" t="s">
        <v>204</v>
      </c>
      <c r="C9" s="16" t="s">
        <v>18</v>
      </c>
      <c r="D9" s="15">
        <f t="shared" si="0"/>
        <v>4.25273390036452E-2</v>
      </c>
      <c r="E9" s="12">
        <f t="shared" si="1"/>
        <v>149</v>
      </c>
      <c r="F9" s="13">
        <v>1</v>
      </c>
      <c r="G9" s="12">
        <f t="shared" si="2"/>
        <v>6.3365735115431345</v>
      </c>
      <c r="H9" s="86">
        <f t="shared" si="3"/>
        <v>6.3365735115431345</v>
      </c>
      <c r="I9" s="11">
        <f>VLOOKUP(B9,Ordering!$A$1:$J$36,6,FALSE)</f>
        <v>1</v>
      </c>
      <c r="J9" s="15">
        <f>VLOOKUP(B9,Ordering!$A$1:$J$36,10,FALSE)</f>
        <v>31</v>
      </c>
      <c r="K9" s="15">
        <f t="shared" si="4"/>
        <v>6.3365735115431341E-3</v>
      </c>
      <c r="L9" s="91">
        <f t="shared" si="5"/>
        <v>0.19643377885783717</v>
      </c>
      <c r="M9">
        <v>3</v>
      </c>
    </row>
    <row r="10" spans="1:25" ht="14.5" x14ac:dyDescent="0.35">
      <c r="A10" s="11"/>
      <c r="B10" s="11" t="s">
        <v>242</v>
      </c>
      <c r="C10" s="16" t="s">
        <v>18</v>
      </c>
      <c r="D10" s="15">
        <f t="shared" si="0"/>
        <v>14.175779667881732</v>
      </c>
      <c r="E10" s="12">
        <f t="shared" si="1"/>
        <v>149</v>
      </c>
      <c r="F10" s="13">
        <v>1</v>
      </c>
      <c r="G10" s="12">
        <f t="shared" si="2"/>
        <v>2112.191170514378</v>
      </c>
      <c r="H10" s="86">
        <f t="shared" si="3"/>
        <v>2112.191170514378</v>
      </c>
      <c r="I10" s="11">
        <f>VLOOKUP(B10,Ordering!$A$1:$J$36,6,FALSE)</f>
        <v>1</v>
      </c>
      <c r="J10" s="15">
        <f>VLOOKUP(B10,Ordering!$A$1:$J$36,10,FALSE)</f>
        <v>10</v>
      </c>
      <c r="K10" s="15">
        <f t="shared" si="4"/>
        <v>2.1121911705143779</v>
      </c>
      <c r="L10" s="91">
        <f t="shared" si="5"/>
        <v>21.121911705143781</v>
      </c>
      <c r="M10">
        <v>1000</v>
      </c>
      <c r="P10" s="108" t="s">
        <v>62</v>
      </c>
      <c r="Q10" s="109"/>
    </row>
    <row r="11" spans="1:25" x14ac:dyDescent="0.3">
      <c r="P11" s="106" t="s">
        <v>63</v>
      </c>
      <c r="Q11" s="107"/>
    </row>
    <row r="12" spans="1:25" ht="14.75" customHeight="1" thickBot="1" x14ac:dyDescent="0.35">
      <c r="M12" s="22"/>
      <c r="P12" s="2" t="s">
        <v>22</v>
      </c>
      <c r="Q12" s="3" t="s">
        <v>23</v>
      </c>
    </row>
    <row r="13" spans="1:25" ht="14.75" customHeight="1" thickBot="1" x14ac:dyDescent="0.35">
      <c r="P13" s="4" t="s">
        <v>24</v>
      </c>
      <c r="Q13" s="5">
        <v>147</v>
      </c>
    </row>
    <row r="14" spans="1:25" ht="14.75" customHeight="1" thickBot="1" x14ac:dyDescent="0.35">
      <c r="L14" s="24" t="s">
        <v>19</v>
      </c>
      <c r="M14" s="26">
        <f>SUM(M5:M10)</f>
        <v>2469</v>
      </c>
      <c r="P14" s="4" t="s">
        <v>25</v>
      </c>
      <c r="Q14" s="6">
        <v>2</v>
      </c>
    </row>
    <row r="15" spans="1:25" x14ac:dyDescent="0.3">
      <c r="L15" s="24" t="s">
        <v>21</v>
      </c>
      <c r="M15" s="27">
        <f>M14/I1</f>
        <v>70.542857142857144</v>
      </c>
      <c r="P15" s="7" t="s">
        <v>26</v>
      </c>
      <c r="Q15" s="8">
        <f>Q13+Q14</f>
        <v>149</v>
      </c>
    </row>
    <row r="16" spans="1:25" x14ac:dyDescent="0.3">
      <c r="P16" s="96" t="s">
        <v>16</v>
      </c>
      <c r="Q16" s="97">
        <f>SUM(L5:L10)</f>
        <v>22.970374686107732</v>
      </c>
    </row>
    <row r="27" spans="11:11" x14ac:dyDescent="0.3">
      <c r="K27" s="20"/>
    </row>
  </sheetData>
  <mergeCells count="4">
    <mergeCell ref="P11:Q11"/>
    <mergeCell ref="P10:Q10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B050"/>
    <pageSetUpPr fitToPage="1"/>
  </sheetPr>
  <dimension ref="A1:Y30"/>
  <sheetViews>
    <sheetView topLeftCell="O1" zoomScale="130" zoomScaleNormal="130" zoomScaleSheetLayoutView="100" workbookViewId="0">
      <selection activeCell="Q13" sqref="Q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8" max="18" width="22.4140625" customWidth="1"/>
    <col min="19" max="19" width="14.83203125" customWidth="1"/>
  </cols>
  <sheetData>
    <row r="1" spans="1:25" ht="25" x14ac:dyDescent="0.3">
      <c r="A1" s="17" t="s">
        <v>142</v>
      </c>
      <c r="B1" s="9">
        <v>20</v>
      </c>
      <c r="E1" s="17" t="s">
        <v>143</v>
      </c>
      <c r="F1" s="10">
        <f>S15</f>
        <v>193</v>
      </c>
      <c r="H1" s="17" t="s">
        <v>3</v>
      </c>
      <c r="I1" s="21">
        <v>20</v>
      </c>
      <c r="J1" s="1"/>
      <c r="K1" s="18" t="s">
        <v>4</v>
      </c>
    </row>
    <row r="2" spans="1:25" ht="14.25" customHeight="1" x14ac:dyDescent="0.3">
      <c r="A2" s="56"/>
      <c r="B2" s="111" t="s">
        <v>144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266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56</v>
      </c>
      <c r="C5" s="16" t="s">
        <v>18</v>
      </c>
      <c r="D5" s="15">
        <f>M5/$M$11</f>
        <v>10.75268817204301</v>
      </c>
      <c r="E5" s="12">
        <f>$F$1</f>
        <v>193</v>
      </c>
      <c r="F5" s="13">
        <v>1</v>
      </c>
      <c r="G5" s="12">
        <f>E5*D5</f>
        <v>2075.2688172043008</v>
      </c>
      <c r="H5" s="86">
        <f>G5*F5</f>
        <v>2075.2688172043008</v>
      </c>
      <c r="I5" s="11">
        <f>VLOOKUP(B5,Ordering!$A$1:$J$36,6,FALSE)</f>
        <v>1</v>
      </c>
      <c r="J5" s="11">
        <f>VLOOKUP(B5,Ordering!$A$1:$J$36,10,FALSE)</f>
        <v>6.4189189189189184</v>
      </c>
      <c r="K5" s="15">
        <f t="shared" ref="K5:K8" si="0">((H5/(I5))/1000)</f>
        <v>2.075268817204301</v>
      </c>
      <c r="L5" s="93">
        <f>J5*K5</f>
        <v>13.320982272595174</v>
      </c>
      <c r="M5">
        <v>1500</v>
      </c>
    </row>
    <row r="6" spans="1:25" ht="14.5" x14ac:dyDescent="0.35">
      <c r="A6" s="11"/>
      <c r="B6" s="11" t="s">
        <v>205</v>
      </c>
      <c r="C6" s="16" t="s">
        <v>212</v>
      </c>
      <c r="D6" s="15">
        <f>M6/$M$11</f>
        <v>7.311827956989247</v>
      </c>
      <c r="E6" s="12">
        <f>$F$1</f>
        <v>193</v>
      </c>
      <c r="F6" s="13">
        <v>1</v>
      </c>
      <c r="G6" s="12">
        <f>E6*D6</f>
        <v>1411.1827956989246</v>
      </c>
      <c r="H6" s="86">
        <f>G6*F6</f>
        <v>1411.1827956989246</v>
      </c>
      <c r="I6" s="11">
        <f>VLOOKUP(B6,Ordering!$A$1:$J$36,6,FALSE)</f>
        <v>1</v>
      </c>
      <c r="J6" s="11">
        <f>VLOOKUP(B6,Ordering!$A$1:$J$36,10,FALSE)</f>
        <v>3.25</v>
      </c>
      <c r="K6" s="15">
        <f t="shared" si="0"/>
        <v>1.4111827956989245</v>
      </c>
      <c r="L6" s="93">
        <f t="shared" ref="L6:L8" si="1">J6*K6</f>
        <v>4.5863440860215041</v>
      </c>
      <c r="M6">
        <v>1020</v>
      </c>
    </row>
    <row r="7" spans="1:25" ht="14.5" x14ac:dyDescent="0.35">
      <c r="A7" s="11"/>
      <c r="B7" s="11" t="s">
        <v>57</v>
      </c>
      <c r="C7" s="16" t="s">
        <v>18</v>
      </c>
      <c r="D7" s="15">
        <f>M7/$M$11</f>
        <v>0.78853046594982079</v>
      </c>
      <c r="E7" s="12">
        <f>$F$1</f>
        <v>193</v>
      </c>
      <c r="F7" s="13">
        <v>1</v>
      </c>
      <c r="G7" s="12">
        <f>E7*D7</f>
        <v>152.1863799283154</v>
      </c>
      <c r="H7" s="86">
        <f>G7*F7</f>
        <v>152.1863799283154</v>
      </c>
      <c r="I7" s="11">
        <f>VLOOKUP(B7,Ordering!$A$1:$J$36,6,FALSE)</f>
        <v>1</v>
      </c>
      <c r="J7" s="11">
        <f>VLOOKUP(B7,Ordering!$A$1:$J$36,10,FALSE)</f>
        <v>11.243386243386244</v>
      </c>
      <c r="K7" s="15">
        <f t="shared" si="0"/>
        <v>0.15218637992831541</v>
      </c>
      <c r="L7" s="93">
        <f t="shared" si="1"/>
        <v>1.7110902505167738</v>
      </c>
      <c r="M7">
        <v>110</v>
      </c>
    </row>
    <row r="8" spans="1:25" ht="14.5" x14ac:dyDescent="0.35">
      <c r="A8" s="11"/>
      <c r="B8" s="11" t="s">
        <v>94</v>
      </c>
      <c r="C8" s="16" t="s">
        <v>212</v>
      </c>
      <c r="D8" s="15">
        <f>M8/$M$11</f>
        <v>1.1469534050179211</v>
      </c>
      <c r="E8" s="12">
        <f>$F$1</f>
        <v>193</v>
      </c>
      <c r="F8" s="13">
        <v>1</v>
      </c>
      <c r="G8" s="12">
        <f>E8*D8</f>
        <v>221.36200716845877</v>
      </c>
      <c r="H8" s="86">
        <f>G8*F8</f>
        <v>221.36200716845877</v>
      </c>
      <c r="I8" s="11">
        <f>VLOOKUP(B8,Ordering!$A$1:$J$36,6,FALSE)</f>
        <v>1</v>
      </c>
      <c r="J8" s="11">
        <f>VLOOKUP(B8,Ordering!$A$1:$J$36,10,FALSE)</f>
        <v>58.685446009389672</v>
      </c>
      <c r="K8" s="15">
        <f t="shared" si="0"/>
        <v>0.22136200716845877</v>
      </c>
      <c r="L8" s="93">
        <f t="shared" si="1"/>
        <v>12.990728120214717</v>
      </c>
      <c r="M8">
        <v>160</v>
      </c>
      <c r="R8" s="48" t="s">
        <v>169</v>
      </c>
      <c r="V8" s="98" t="s">
        <v>251</v>
      </c>
      <c r="W8" s="99">
        <v>1</v>
      </c>
      <c r="X8" s="98" t="s">
        <v>252</v>
      </c>
      <c r="Y8" s="100">
        <f>SUM(L5:L8)/S17</f>
        <v>5.6319766371931207E-3</v>
      </c>
    </row>
    <row r="9" spans="1:25" x14ac:dyDescent="0.3">
      <c r="G9" s="44" t="s">
        <v>141</v>
      </c>
      <c r="H9" s="45">
        <f>SUM(H5:H8)</f>
        <v>3859.9999999999995</v>
      </c>
    </row>
    <row r="10" spans="1:25" x14ac:dyDescent="0.3">
      <c r="M10">
        <f>SUM(M5:M9)</f>
        <v>2790</v>
      </c>
      <c r="R10" s="108" t="s">
        <v>144</v>
      </c>
      <c r="S10" s="109"/>
    </row>
    <row r="11" spans="1:25" x14ac:dyDescent="0.3">
      <c r="M11" s="19">
        <f>M10/I1</f>
        <v>139.5</v>
      </c>
      <c r="R11" s="106" t="s">
        <v>145</v>
      </c>
      <c r="S11" s="107"/>
    </row>
    <row r="12" spans="1:25" ht="14.75" customHeight="1" thickBot="1" x14ac:dyDescent="0.35">
      <c r="R12" s="2" t="s">
        <v>22</v>
      </c>
      <c r="S12" s="3" t="s">
        <v>23</v>
      </c>
    </row>
    <row r="13" spans="1:25" ht="14.75" customHeight="1" thickBot="1" x14ac:dyDescent="0.35">
      <c r="R13" s="4" t="s">
        <v>147</v>
      </c>
      <c r="S13" s="43">
        <f>71+117</f>
        <v>188</v>
      </c>
    </row>
    <row r="14" spans="1:25" ht="14.75" customHeight="1" thickBot="1" x14ac:dyDescent="0.35">
      <c r="R14" s="4" t="s">
        <v>148</v>
      </c>
      <c r="S14" s="43">
        <v>5</v>
      </c>
    </row>
    <row r="15" spans="1:25" ht="14.75" customHeight="1" thickBot="1" x14ac:dyDescent="0.35">
      <c r="R15" s="7" t="s">
        <v>146</v>
      </c>
      <c r="S15" s="5">
        <f>S13+S14</f>
        <v>193</v>
      </c>
    </row>
    <row r="16" spans="1:25" ht="14.5" thickBot="1" x14ac:dyDescent="0.35">
      <c r="R16" s="4" t="s">
        <v>149</v>
      </c>
      <c r="S16" s="5">
        <v>30</v>
      </c>
    </row>
    <row r="17" spans="10:19" ht="14.5" thickBot="1" x14ac:dyDescent="0.35">
      <c r="R17" s="7" t="s">
        <v>150</v>
      </c>
      <c r="S17" s="5">
        <f>(S13+S14)*S16</f>
        <v>5790</v>
      </c>
    </row>
    <row r="18" spans="10:19" x14ac:dyDescent="0.3">
      <c r="R18" s="96" t="s">
        <v>16</v>
      </c>
      <c r="S18" s="97">
        <f>SUM(L5:L8)</f>
        <v>32.609144729348166</v>
      </c>
    </row>
    <row r="25" spans="10:19" x14ac:dyDescent="0.3">
      <c r="J25" t="s">
        <v>66</v>
      </c>
      <c r="K25" t="s">
        <v>67</v>
      </c>
    </row>
    <row r="26" spans="10:19" x14ac:dyDescent="0.3">
      <c r="J26" t="s">
        <v>68</v>
      </c>
      <c r="K26" t="s">
        <v>38</v>
      </c>
    </row>
    <row r="27" spans="10:19" x14ac:dyDescent="0.3">
      <c r="J27" t="s">
        <v>69</v>
      </c>
      <c r="K27" s="20" t="s">
        <v>70</v>
      </c>
    </row>
    <row r="28" spans="10:19" x14ac:dyDescent="0.3">
      <c r="J28" t="s">
        <v>71</v>
      </c>
    </row>
    <row r="29" spans="10:19" x14ac:dyDescent="0.3">
      <c r="J29" t="s">
        <v>72</v>
      </c>
    </row>
    <row r="30" spans="10:19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D2386-8AD2-4722-9A48-A497C6BC6D4A}">
  <sheetPr codeName="Sheet16">
    <tabColor theme="8" tint="-0.249977111117893"/>
    <pageSetUpPr fitToPage="1"/>
  </sheetPr>
  <dimension ref="A1:S30"/>
  <sheetViews>
    <sheetView topLeftCell="K2" zoomScale="160" zoomScaleNormal="160" zoomScaleSheetLayoutView="100" workbookViewId="0">
      <selection activeCell="B3" sqref="B3:H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19" ht="25" x14ac:dyDescent="0.3">
      <c r="A1" s="17" t="s">
        <v>0</v>
      </c>
      <c r="B1" s="9">
        <v>1</v>
      </c>
      <c r="E1" s="17" t="s">
        <v>1</v>
      </c>
      <c r="F1" s="10">
        <f>S15</f>
        <v>272</v>
      </c>
      <c r="H1" s="17" t="s">
        <v>2</v>
      </c>
      <c r="I1" s="10">
        <f>F1/B1</f>
        <v>272</v>
      </c>
      <c r="J1" s="1"/>
      <c r="K1" s="18" t="s">
        <v>4</v>
      </c>
    </row>
    <row r="2" spans="1:19" ht="14.25" customHeight="1" x14ac:dyDescent="0.3">
      <c r="A2" s="56"/>
      <c r="B2" s="111" t="s">
        <v>263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267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1500/93</f>
        <v>16.129032258064516</v>
      </c>
      <c r="E5" s="12">
        <f>$I$1</f>
        <v>272</v>
      </c>
      <c r="F5" s="13">
        <v>1</v>
      </c>
      <c r="G5" s="12">
        <f>E5*D5</f>
        <v>4387.0967741935483</v>
      </c>
      <c r="H5" s="86">
        <f>G5*F5</f>
        <v>4387.0967741935483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4387.0967741935483</v>
      </c>
      <c r="L5" s="64">
        <f>J5*K5</f>
        <v>28160.418482999125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20/93</f>
        <v>0.21505376344086022</v>
      </c>
      <c r="E6" s="12">
        <f>$I$1</f>
        <v>272</v>
      </c>
      <c r="F6" s="13">
        <v>1</v>
      </c>
      <c r="G6" s="12">
        <f>E6*D6</f>
        <v>58.494623655913976</v>
      </c>
      <c r="H6" s="86">
        <f>G6*F6</f>
        <v>58.494623655913976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58.494623655913976</v>
      </c>
      <c r="L6" s="64">
        <f t="shared" ref="L6:L8" si="1">J6*K6</f>
        <v>190.10752688172042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50/93</f>
        <v>0.5376344086021505</v>
      </c>
      <c r="E7" s="12">
        <f>$I$1</f>
        <v>272</v>
      </c>
      <c r="F7" s="13">
        <v>1</v>
      </c>
      <c r="G7" s="12">
        <f>E7*D7</f>
        <v>146.23655913978493</v>
      </c>
      <c r="H7" s="86">
        <f>G7*F7</f>
        <v>146.23655913978493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146.23655913978493</v>
      </c>
      <c r="L7" s="64">
        <f t="shared" si="1"/>
        <v>1644.1941173123967</v>
      </c>
      <c r="M7">
        <v>100</v>
      </c>
      <c r="S7" s="48" t="s">
        <v>38</v>
      </c>
    </row>
    <row r="8" spans="1:19" ht="14.5" x14ac:dyDescent="0.35">
      <c r="A8" s="11"/>
      <c r="B8" s="11" t="s">
        <v>94</v>
      </c>
      <c r="C8" s="16" t="s">
        <v>212</v>
      </c>
      <c r="D8" s="15">
        <f>150/93</f>
        <v>1.6129032258064515</v>
      </c>
      <c r="E8" s="12">
        <f>$I$1</f>
        <v>272</v>
      </c>
      <c r="F8" s="13">
        <v>1</v>
      </c>
      <c r="G8" s="12">
        <f>E8*D8</f>
        <v>438.70967741935482</v>
      </c>
      <c r="H8" s="86">
        <f>G8*F8</f>
        <v>438.70967741935482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438.70967741935482</v>
      </c>
      <c r="L8" s="64">
        <f t="shared" si="1"/>
        <v>25745.873087990305</v>
      </c>
      <c r="M8">
        <v>150</v>
      </c>
    </row>
    <row r="9" spans="1:19" x14ac:dyDescent="0.3"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2770</v>
      </c>
      <c r="R10" s="108" t="s">
        <v>62</v>
      </c>
      <c r="S10" s="109"/>
    </row>
    <row r="11" spans="1:19" x14ac:dyDescent="0.3">
      <c r="M11" s="19">
        <f>M10/30</f>
        <v>92.333333333333329</v>
      </c>
      <c r="R11" s="106" t="s">
        <v>63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f>270</f>
        <v>270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272</v>
      </c>
    </row>
    <row r="25" spans="10:11" x14ac:dyDescent="0.3">
      <c r="J25" t="s">
        <v>66</v>
      </c>
      <c r="K25" t="s">
        <v>67</v>
      </c>
    </row>
    <row r="26" spans="10:11" x14ac:dyDescent="0.3">
      <c r="J26" t="s">
        <v>68</v>
      </c>
      <c r="K26" t="s">
        <v>38</v>
      </c>
    </row>
    <row r="27" spans="10:11" x14ac:dyDescent="0.3">
      <c r="J27" t="s">
        <v>69</v>
      </c>
      <c r="K27" s="20" t="s">
        <v>70</v>
      </c>
    </row>
    <row r="28" spans="10:11" x14ac:dyDescent="0.3">
      <c r="J28" t="s">
        <v>71</v>
      </c>
    </row>
    <row r="29" spans="10:11" x14ac:dyDescent="0.3">
      <c r="J29" t="s">
        <v>72</v>
      </c>
    </row>
    <row r="30" spans="10:11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52" orientation="landscape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9C98-D1A8-41C2-9060-1C31D11A1CEC}">
  <sheetPr codeName="Sheet31">
    <tabColor theme="8" tint="-0.249977111117893"/>
    <pageSetUpPr fitToPage="1"/>
  </sheetPr>
  <dimension ref="A1:S30"/>
  <sheetViews>
    <sheetView topLeftCell="E1" zoomScale="70" zoomScaleNormal="70" zoomScaleSheetLayoutView="100" workbookViewId="0">
      <selection activeCell="B3" sqref="B3:H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8" max="18" width="22.4140625" customWidth="1"/>
    <col min="19" max="19" width="14.83203125" customWidth="1"/>
  </cols>
  <sheetData>
    <row r="1" spans="1:19" ht="25" x14ac:dyDescent="0.3">
      <c r="A1" s="17" t="s">
        <v>142</v>
      </c>
      <c r="B1" s="9">
        <v>20</v>
      </c>
      <c r="E1" s="17" t="s">
        <v>143</v>
      </c>
      <c r="F1" s="10">
        <f>S15</f>
        <v>272</v>
      </c>
      <c r="H1" s="17" t="s">
        <v>3</v>
      </c>
      <c r="I1" s="21">
        <v>20</v>
      </c>
      <c r="J1" s="1"/>
      <c r="K1" s="18" t="s">
        <v>4</v>
      </c>
    </row>
    <row r="2" spans="1:19" ht="14.25" customHeight="1" x14ac:dyDescent="0.3">
      <c r="A2" s="56"/>
      <c r="B2" s="111" t="s">
        <v>144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267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M5/$M$11</f>
        <v>10.75268817204301</v>
      </c>
      <c r="E5" s="12">
        <f>$F$1</f>
        <v>272</v>
      </c>
      <c r="F5" s="13">
        <v>1</v>
      </c>
      <c r="G5" s="12">
        <f>E5*D5</f>
        <v>2924.7311827956987</v>
      </c>
      <c r="H5" s="86">
        <f>G5*F5</f>
        <v>2924.7311827956987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2924.7311827956987</v>
      </c>
      <c r="L5" s="64">
        <f>J5*K5</f>
        <v>18773.612321999415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M6/$M$11</f>
        <v>7.311827956989247</v>
      </c>
      <c r="E6" s="12">
        <f>$F$1</f>
        <v>272</v>
      </c>
      <c r="F6" s="13">
        <v>1</v>
      </c>
      <c r="G6" s="12">
        <f>E6*D6</f>
        <v>1988.8172043010752</v>
      </c>
      <c r="H6" s="86">
        <f>G6*F6</f>
        <v>1988.8172043010752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1988.8172043010752</v>
      </c>
      <c r="L6" s="64">
        <f t="shared" ref="L6:L8" si="1">J6*K6</f>
        <v>6463.655913978494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M7/$M$11</f>
        <v>0.78853046594982079</v>
      </c>
      <c r="E7" s="12">
        <f>$F$1</f>
        <v>272</v>
      </c>
      <c r="F7" s="13">
        <v>1</v>
      </c>
      <c r="G7" s="12">
        <f>E7*D7</f>
        <v>214.48028673835125</v>
      </c>
      <c r="H7" s="86">
        <f>G7*F7</f>
        <v>214.48028673835125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214.48028673835125</v>
      </c>
      <c r="L7" s="64">
        <f t="shared" si="1"/>
        <v>2411.4847053915155</v>
      </c>
      <c r="M7">
        <v>110</v>
      </c>
    </row>
    <row r="8" spans="1:19" ht="14.5" x14ac:dyDescent="0.35">
      <c r="A8" s="11"/>
      <c r="B8" s="11" t="s">
        <v>94</v>
      </c>
      <c r="C8" s="16" t="s">
        <v>212</v>
      </c>
      <c r="D8" s="15">
        <f>M8/$M$11</f>
        <v>1.1469534050179211</v>
      </c>
      <c r="E8" s="12">
        <f>$F$1</f>
        <v>272</v>
      </c>
      <c r="F8" s="13">
        <v>1</v>
      </c>
      <c r="G8" s="12">
        <f>E8*D8</f>
        <v>311.97132616487454</v>
      </c>
      <c r="H8" s="86">
        <f>G8*F8</f>
        <v>311.97132616487454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311.97132616487454</v>
      </c>
      <c r="L8" s="64">
        <f t="shared" si="1"/>
        <v>18308.176418126441</v>
      </c>
      <c r="M8">
        <v>160</v>
      </c>
      <c r="R8" s="48" t="s">
        <v>38</v>
      </c>
    </row>
    <row r="9" spans="1:19" x14ac:dyDescent="0.3">
      <c r="G9" s="44" t="s">
        <v>141</v>
      </c>
      <c r="H9" s="45">
        <f>SUM(H5:H8)</f>
        <v>5440</v>
      </c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2790</v>
      </c>
      <c r="R10" s="108" t="s">
        <v>144</v>
      </c>
      <c r="S10" s="109"/>
    </row>
    <row r="11" spans="1:19" x14ac:dyDescent="0.3">
      <c r="M11" s="19">
        <f>M10/I1</f>
        <v>139.5</v>
      </c>
      <c r="R11" s="106" t="s">
        <v>145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147</v>
      </c>
      <c r="S13" s="43">
        <f>'Coctail Sauce Dip In  (2)'!S13</f>
        <v>270</v>
      </c>
    </row>
    <row r="14" spans="1:19" ht="14.75" customHeight="1" thickBot="1" x14ac:dyDescent="0.35">
      <c r="R14" s="4" t="s">
        <v>148</v>
      </c>
      <c r="S14" s="43">
        <v>2</v>
      </c>
    </row>
    <row r="15" spans="1:19" ht="14.75" customHeight="1" thickBot="1" x14ac:dyDescent="0.35">
      <c r="R15" s="7" t="s">
        <v>146</v>
      </c>
      <c r="S15" s="5">
        <f>S13+S14</f>
        <v>272</v>
      </c>
    </row>
    <row r="16" spans="1:19" ht="14.5" thickBot="1" x14ac:dyDescent="0.35">
      <c r="R16" s="4" t="s">
        <v>149</v>
      </c>
      <c r="S16" s="5">
        <v>20</v>
      </c>
    </row>
    <row r="17" spans="10:19" ht="14.5" thickBot="1" x14ac:dyDescent="0.35">
      <c r="R17" s="7" t="s">
        <v>150</v>
      </c>
      <c r="S17" s="5">
        <f>(S13+S14)*S16</f>
        <v>5440</v>
      </c>
    </row>
    <row r="25" spans="10:19" x14ac:dyDescent="0.3">
      <c r="J25" t="s">
        <v>66</v>
      </c>
      <c r="K25" t="s">
        <v>67</v>
      </c>
    </row>
    <row r="26" spans="10:19" x14ac:dyDescent="0.3">
      <c r="J26" t="s">
        <v>68</v>
      </c>
      <c r="K26" t="s">
        <v>38</v>
      </c>
    </row>
    <row r="27" spans="10:19" x14ac:dyDescent="0.3">
      <c r="J27" t="s">
        <v>69</v>
      </c>
      <c r="K27" s="20" t="s">
        <v>70</v>
      </c>
    </row>
    <row r="28" spans="10:19" x14ac:dyDescent="0.3">
      <c r="J28" t="s">
        <v>71</v>
      </c>
    </row>
    <row r="29" spans="10:19" x14ac:dyDescent="0.3">
      <c r="J29" t="s">
        <v>72</v>
      </c>
    </row>
    <row r="30" spans="10:19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8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-0.249977111117893"/>
    <pageSetUpPr fitToPage="1"/>
  </sheetPr>
  <dimension ref="A1:Y27"/>
  <sheetViews>
    <sheetView topLeftCell="J1" zoomScale="85" zoomScaleNormal="85" zoomScaleSheetLayoutView="100" workbookViewId="0">
      <selection activeCell="B3" sqref="B3:H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272</v>
      </c>
      <c r="F1" s="17" t="s">
        <v>2</v>
      </c>
      <c r="G1" s="10">
        <f>D1/B1</f>
        <v>272</v>
      </c>
      <c r="H1" s="17" t="s">
        <v>3</v>
      </c>
      <c r="I1" s="21">
        <v>13</v>
      </c>
      <c r="J1" s="1"/>
      <c r="K1" s="23" t="s">
        <v>4</v>
      </c>
    </row>
    <row r="2" spans="1:25" ht="14.25" customHeight="1" x14ac:dyDescent="0.3">
      <c r="A2" s="56"/>
      <c r="B2" s="111" t="s">
        <v>17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267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17</v>
      </c>
      <c r="C5" s="16" t="s">
        <v>18</v>
      </c>
      <c r="D5" s="15">
        <v>13</v>
      </c>
      <c r="E5" s="12">
        <f>$G$1</f>
        <v>272</v>
      </c>
      <c r="F5" s="13">
        <v>1</v>
      </c>
      <c r="G5" s="12">
        <f>E5*D5</f>
        <v>3536</v>
      </c>
      <c r="H5" s="86">
        <f>G5*F5</f>
        <v>3536</v>
      </c>
      <c r="I5" s="11">
        <f>VLOOKUP(B5,Ordering!$A$1:$J$36,6,FALSE)</f>
        <v>1</v>
      </c>
      <c r="J5" s="11">
        <f>VLOOKUP(B5,Ordering!$A$1:$J$36,10,FALSE)</f>
        <v>6</v>
      </c>
      <c r="K5" s="15">
        <f t="shared" ref="K5" si="0">((H5/(I5))/1000)</f>
        <v>3.536</v>
      </c>
      <c r="L5" s="64">
        <f>J5*K5</f>
        <v>21.216000000000001</v>
      </c>
    </row>
    <row r="8" spans="1:25" x14ac:dyDescent="0.3">
      <c r="S8" s="48" t="s">
        <v>38</v>
      </c>
      <c r="V8" s="98" t="s">
        <v>251</v>
      </c>
      <c r="W8" s="99">
        <v>1</v>
      </c>
      <c r="X8" s="98" t="s">
        <v>16</v>
      </c>
      <c r="Y8" s="100">
        <f>SUM(L5)/S15</f>
        <v>7.8E-2</v>
      </c>
    </row>
    <row r="10" spans="1:25" x14ac:dyDescent="0.3">
      <c r="R10" s="108" t="s">
        <v>5</v>
      </c>
      <c r="S10" s="109"/>
    </row>
    <row r="11" spans="1:25" x14ac:dyDescent="0.3">
      <c r="M11" s="24" t="s">
        <v>19</v>
      </c>
      <c r="N11" s="22"/>
      <c r="R11" s="106" t="s">
        <v>20</v>
      </c>
      <c r="S11" s="107"/>
    </row>
    <row r="12" spans="1:25" ht="14.75" customHeight="1" thickBot="1" x14ac:dyDescent="0.35">
      <c r="M12" s="24" t="s">
        <v>21</v>
      </c>
      <c r="N12" s="22"/>
      <c r="O12" s="22"/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'Coctail Sauce Dip In  (2)'!S13</f>
        <v>270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272</v>
      </c>
    </row>
    <row r="16" spans="1:25" x14ac:dyDescent="0.3">
      <c r="R16" s="96" t="s">
        <v>16</v>
      </c>
      <c r="S16" s="97">
        <f>SUM(L5)</f>
        <v>21.216000000000001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2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50BA4-3299-496F-B9EC-EDC491E48E30}">
  <sheetPr codeName="Sheet17">
    <tabColor theme="8" tint="-0.249977111117893"/>
    <pageSetUpPr fitToPage="1"/>
  </sheetPr>
  <dimension ref="A1:S27"/>
  <sheetViews>
    <sheetView topLeftCell="G2" zoomScale="85" zoomScaleNormal="85" zoomScaleSheetLayoutView="100" workbookViewId="0">
      <selection activeCell="B3" sqref="B3:H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319</v>
      </c>
      <c r="F1" s="17" t="s">
        <v>2</v>
      </c>
      <c r="G1" s="10">
        <f>D1/B1</f>
        <v>319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4"/>
      <c r="B2" s="110" t="s">
        <v>74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5"/>
      <c r="B3" s="113" t="s">
        <v>268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54</v>
      </c>
      <c r="C5" s="16" t="s">
        <v>18</v>
      </c>
      <c r="D5" s="15">
        <f t="shared" ref="D5:D10" si="0">N5/$N$12</f>
        <v>20.923913043478262</v>
      </c>
      <c r="E5" s="12">
        <f t="shared" ref="E5:E10" si="1">$G$1</f>
        <v>319</v>
      </c>
      <c r="F5" s="13">
        <v>1</v>
      </c>
      <c r="G5" s="12">
        <f t="shared" ref="G5:G10" si="2">E5*D5</f>
        <v>6674.728260869565</v>
      </c>
      <c r="H5" s="86">
        <f t="shared" ref="H5:H10" si="3">G5*F5</f>
        <v>6674.728260869565</v>
      </c>
      <c r="I5" s="11">
        <f>VLOOKUP(B5,Ordering!$A$1:$J$36,6,FALSE)</f>
        <v>1</v>
      </c>
      <c r="J5" s="11">
        <f>VLOOKUP(B5,Ordering!$A$1:$J$36,10,FALSE)</f>
        <v>6.6959999999999997</v>
      </c>
      <c r="K5" s="11">
        <f>H5/I5</f>
        <v>6674.728260869565</v>
      </c>
      <c r="L5" s="64">
        <f>J5*K5</f>
        <v>44693.980434782607</v>
      </c>
      <c r="N5">
        <v>5500</v>
      </c>
    </row>
    <row r="6" spans="1:19" ht="14.5" x14ac:dyDescent="0.35">
      <c r="A6" s="11"/>
      <c r="B6" s="11" t="s">
        <v>58</v>
      </c>
      <c r="C6" s="16" t="s">
        <v>18</v>
      </c>
      <c r="D6" s="15">
        <f t="shared" si="0"/>
        <v>5.6190217391304351</v>
      </c>
      <c r="E6" s="12">
        <f t="shared" si="1"/>
        <v>319</v>
      </c>
      <c r="F6" s="13">
        <v>1</v>
      </c>
      <c r="G6" s="12">
        <f t="shared" si="2"/>
        <v>1792.4679347826088</v>
      </c>
      <c r="H6" s="86">
        <f t="shared" si="3"/>
        <v>1792.4679347826088</v>
      </c>
      <c r="I6" s="11">
        <f>VLOOKUP(B6,Ordering!$A$1:$J$36,6,FALSE)</f>
        <v>0.8</v>
      </c>
      <c r="J6" s="11">
        <f>VLOOKUP(B6,Ordering!$A$1:$J$36,10,FALSE)</f>
        <v>3</v>
      </c>
      <c r="K6" s="11">
        <f t="shared" ref="K6:K10" si="4">H6/I6</f>
        <v>2240.584918478261</v>
      </c>
      <c r="L6" s="64">
        <f t="shared" ref="L6:L10" si="5">J6*K6</f>
        <v>6721.754755434783</v>
      </c>
      <c r="N6">
        <v>1477</v>
      </c>
    </row>
    <row r="7" spans="1:19" ht="14.5" x14ac:dyDescent="0.35">
      <c r="A7" s="11"/>
      <c r="B7" s="11" t="s">
        <v>51</v>
      </c>
      <c r="C7" s="16" t="s">
        <v>18</v>
      </c>
      <c r="D7" s="15">
        <f t="shared" si="0"/>
        <v>5.744565217391305E-2</v>
      </c>
      <c r="E7" s="12">
        <f t="shared" si="1"/>
        <v>319</v>
      </c>
      <c r="F7" s="13">
        <v>1</v>
      </c>
      <c r="G7" s="12">
        <f t="shared" si="2"/>
        <v>18.325163043478263</v>
      </c>
      <c r="H7" s="86">
        <f t="shared" si="3"/>
        <v>18.325163043478263</v>
      </c>
      <c r="I7" s="11">
        <f>VLOOKUP(B7,Ordering!$A$1:$J$36,6,FALSE)</f>
        <v>1</v>
      </c>
      <c r="J7" s="11">
        <f>VLOOKUP(B7,Ordering!$A$1:$J$36,10,FALSE)</f>
        <v>8</v>
      </c>
      <c r="K7" s="11">
        <f t="shared" si="4"/>
        <v>18.325163043478263</v>
      </c>
      <c r="L7" s="64">
        <f t="shared" si="5"/>
        <v>146.6013043478261</v>
      </c>
      <c r="N7">
        <v>15.1</v>
      </c>
      <c r="R7" s="48" t="s">
        <v>114</v>
      </c>
    </row>
    <row r="8" spans="1:19" ht="14.5" x14ac:dyDescent="0.35">
      <c r="A8" s="11"/>
      <c r="B8" s="11" t="s">
        <v>211</v>
      </c>
      <c r="C8" s="16" t="s">
        <v>18</v>
      </c>
      <c r="D8" s="15">
        <f t="shared" si="0"/>
        <v>1.9402173913043479E-2</v>
      </c>
      <c r="E8" s="12">
        <f t="shared" si="1"/>
        <v>319</v>
      </c>
      <c r="F8" s="13">
        <v>1</v>
      </c>
      <c r="G8" s="12">
        <f t="shared" si="2"/>
        <v>6.1892934782608702</v>
      </c>
      <c r="H8" s="86">
        <f t="shared" si="3"/>
        <v>6.1892934782608702</v>
      </c>
      <c r="I8" s="11">
        <f>VLOOKUP(B8,Ordering!$A$1:$J$36,6,FALSE)</f>
        <v>1</v>
      </c>
      <c r="J8" s="11">
        <f>VLOOKUP(B8,Ordering!$A$1:$J$36,10,FALSE)</f>
        <v>20</v>
      </c>
      <c r="K8" s="11">
        <f t="shared" si="4"/>
        <v>6.1892934782608702</v>
      </c>
      <c r="L8" s="64">
        <f t="shared" si="5"/>
        <v>123.78586956521741</v>
      </c>
      <c r="N8">
        <v>5.0999999999999996</v>
      </c>
    </row>
    <row r="9" spans="1:19" ht="14.5" x14ac:dyDescent="0.35">
      <c r="A9" s="11"/>
      <c r="B9" s="11" t="s">
        <v>53</v>
      </c>
      <c r="C9" s="16" t="s">
        <v>212</v>
      </c>
      <c r="D9" s="15">
        <f t="shared" si="0"/>
        <v>9.5108695652173925</v>
      </c>
      <c r="E9" s="12">
        <f t="shared" si="1"/>
        <v>319</v>
      </c>
      <c r="F9" s="13">
        <v>1</v>
      </c>
      <c r="G9" s="12">
        <f t="shared" si="2"/>
        <v>3033.967391304348</v>
      </c>
      <c r="H9" s="86">
        <f t="shared" si="3"/>
        <v>3033.967391304348</v>
      </c>
      <c r="I9" s="11">
        <f>VLOOKUP(B9,Ordering!$A$1:$J$36,6,FALSE)</f>
        <v>1</v>
      </c>
      <c r="J9" s="11">
        <f>VLOOKUP(B9,Ordering!$A$1:$J$36,10,FALSE)</f>
        <v>0</v>
      </c>
      <c r="K9" s="11">
        <f t="shared" si="4"/>
        <v>3033.967391304348</v>
      </c>
      <c r="L9" s="64">
        <f t="shared" si="5"/>
        <v>0</v>
      </c>
      <c r="N9">
        <v>2500</v>
      </c>
    </row>
    <row r="10" spans="1:19" ht="14.5" x14ac:dyDescent="0.35">
      <c r="A10" s="11"/>
      <c r="B10" s="11" t="s">
        <v>52</v>
      </c>
      <c r="C10" s="16" t="s">
        <v>18</v>
      </c>
      <c r="D10" s="15">
        <f t="shared" si="0"/>
        <v>7.9891304347826098E-2</v>
      </c>
      <c r="E10" s="12">
        <f t="shared" si="1"/>
        <v>319</v>
      </c>
      <c r="F10" s="13">
        <v>1</v>
      </c>
      <c r="G10" s="12">
        <f t="shared" si="2"/>
        <v>25.485326086956526</v>
      </c>
      <c r="H10" s="86">
        <f t="shared" si="3"/>
        <v>25.485326086956526</v>
      </c>
      <c r="I10" s="11">
        <f>VLOOKUP(B10,Ordering!$A$1:$J$36,6,FALSE)</f>
        <v>1</v>
      </c>
      <c r="J10" s="11">
        <f>VLOOKUP(B10,Ordering!$A$1:$J$36,10,FALSE)</f>
        <v>0.74</v>
      </c>
      <c r="K10" s="11">
        <f t="shared" si="4"/>
        <v>25.485326086956526</v>
      </c>
      <c r="L10" s="64">
        <f t="shared" si="5"/>
        <v>18.85914130434783</v>
      </c>
      <c r="N10">
        <v>21</v>
      </c>
      <c r="R10" s="108" t="s">
        <v>62</v>
      </c>
      <c r="S10" s="109"/>
    </row>
    <row r="11" spans="1:19" x14ac:dyDescent="0.3">
      <c r="M11" s="24" t="s">
        <v>19</v>
      </c>
      <c r="N11" s="22">
        <v>9200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>
        <f>N11/I1</f>
        <v>262.85714285714283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317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319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51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8" tint="-0.249977111117893"/>
    <pageSetUpPr fitToPage="1"/>
  </sheetPr>
  <dimension ref="A1:S27"/>
  <sheetViews>
    <sheetView topLeftCell="G1" zoomScale="85" zoomScaleNormal="85" zoomScaleSheetLayoutView="100" workbookViewId="0">
      <selection activeCell="B3" sqref="B3:H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319</v>
      </c>
      <c r="F1" s="17" t="s">
        <v>2</v>
      </c>
      <c r="G1" s="10">
        <f>D1/B1</f>
        <v>319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8"/>
      <c r="B2" s="111" t="s">
        <v>158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19" ht="14.25" customHeight="1" x14ac:dyDescent="0.3">
      <c r="A3" s="58"/>
      <c r="B3" s="113" t="s">
        <v>268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59</v>
      </c>
      <c r="C5" s="16" t="s">
        <v>18</v>
      </c>
      <c r="D5" s="15">
        <f t="shared" ref="D5:D10" si="0">O5/$O$12</f>
        <v>33.703703703703702</v>
      </c>
      <c r="E5" s="12">
        <f t="shared" ref="E5:E10" si="1">$G$1</f>
        <v>319</v>
      </c>
      <c r="F5" s="13">
        <v>1</v>
      </c>
      <c r="G5" s="12">
        <f t="shared" ref="G5:G10" si="2">E5*D5</f>
        <v>10751.481481481482</v>
      </c>
      <c r="H5" s="86">
        <f t="shared" ref="H5:H10" si="3">G5*F5</f>
        <v>10751.481481481482</v>
      </c>
      <c r="I5" s="11">
        <f>VLOOKUP(B5,Ordering!$A$1:$J$36,6,FALSE)</f>
        <v>0.98</v>
      </c>
      <c r="J5" s="11">
        <f>VLOOKUP(B5,Ordering!$A$1:$J$36,10,FALSE)</f>
        <v>3.5</v>
      </c>
      <c r="K5" s="11">
        <f>H5/I5</f>
        <v>10970.899470899471</v>
      </c>
      <c r="L5" s="64">
        <f>J5*K5</f>
        <v>38398.148148148146</v>
      </c>
      <c r="O5">
        <v>14300</v>
      </c>
    </row>
    <row r="6" spans="1:19" ht="14.5" x14ac:dyDescent="0.35">
      <c r="A6" s="11"/>
      <c r="B6" s="11" t="s">
        <v>95</v>
      </c>
      <c r="C6" s="16" t="s">
        <v>18</v>
      </c>
      <c r="D6" s="15">
        <f t="shared" si="0"/>
        <v>0.19090909090909092</v>
      </c>
      <c r="E6" s="12">
        <f t="shared" si="1"/>
        <v>319</v>
      </c>
      <c r="F6" s="13">
        <v>1</v>
      </c>
      <c r="G6" s="12">
        <f t="shared" si="2"/>
        <v>60.900000000000006</v>
      </c>
      <c r="H6" s="86">
        <f t="shared" si="3"/>
        <v>60.900000000000006</v>
      </c>
      <c r="I6" s="11">
        <f>VLOOKUP(B6,Ordering!$A$1:$J$36,6,FALSE)</f>
        <v>0.96</v>
      </c>
      <c r="J6" s="11">
        <f>VLOOKUP(B6,Ordering!$A$1:$J$36,10,FALSE)</f>
        <v>4</v>
      </c>
      <c r="K6" s="11">
        <f t="shared" ref="K6:K10" si="4">H6/I6</f>
        <v>63.437500000000007</v>
      </c>
      <c r="L6" s="64">
        <f t="shared" ref="L6:L10" si="5">J6*K6</f>
        <v>253.75000000000003</v>
      </c>
      <c r="O6">
        <v>81</v>
      </c>
    </row>
    <row r="7" spans="1:19" ht="14.5" x14ac:dyDescent="0.35">
      <c r="A7" s="11"/>
      <c r="B7" s="11" t="s">
        <v>209</v>
      </c>
      <c r="C7" s="16" t="s">
        <v>18</v>
      </c>
      <c r="D7" s="15">
        <f t="shared" si="0"/>
        <v>0.18855218855218855</v>
      </c>
      <c r="E7" s="12">
        <f t="shared" si="1"/>
        <v>319</v>
      </c>
      <c r="F7" s="13">
        <v>1</v>
      </c>
      <c r="G7" s="12">
        <f t="shared" si="2"/>
        <v>60.148148148148152</v>
      </c>
      <c r="H7" s="86">
        <f t="shared" si="3"/>
        <v>60.148148148148152</v>
      </c>
      <c r="I7" s="11">
        <f>VLOOKUP(B7,Ordering!$A$1:$J$36,6,FALSE)</f>
        <v>0.94</v>
      </c>
      <c r="J7" s="11">
        <f>VLOOKUP(B7,Ordering!$A$1:$J$36,10,FALSE)</f>
        <v>3.6363636363636367</v>
      </c>
      <c r="K7" s="11">
        <f t="shared" si="4"/>
        <v>63.987391646966124</v>
      </c>
      <c r="L7" s="64">
        <f t="shared" si="5"/>
        <v>232.68142417078593</v>
      </c>
      <c r="O7">
        <v>80</v>
      </c>
      <c r="R7" s="48" t="s">
        <v>114</v>
      </c>
    </row>
    <row r="8" spans="1:19" ht="14.5" x14ac:dyDescent="0.35">
      <c r="A8" s="11"/>
      <c r="B8" s="11" t="s">
        <v>224</v>
      </c>
      <c r="C8" s="16" t="s">
        <v>18</v>
      </c>
      <c r="D8" s="15">
        <f t="shared" si="0"/>
        <v>1.1784511784511784E-3</v>
      </c>
      <c r="E8" s="12">
        <f t="shared" si="1"/>
        <v>319</v>
      </c>
      <c r="F8" s="13">
        <v>1</v>
      </c>
      <c r="G8" s="12">
        <f t="shared" si="2"/>
        <v>0.37592592592592589</v>
      </c>
      <c r="H8" s="86">
        <f t="shared" si="3"/>
        <v>0.37592592592592589</v>
      </c>
      <c r="I8" s="11">
        <f>VLOOKUP(B8,Ordering!$A$1:$J$36,6,FALSE)</f>
        <v>1</v>
      </c>
      <c r="J8" s="11">
        <f>VLOOKUP(B8,Ordering!$A$1:$J$36,10,FALSE)</f>
        <v>35</v>
      </c>
      <c r="K8" s="11">
        <f t="shared" si="4"/>
        <v>0.37592592592592589</v>
      </c>
      <c r="L8" s="64">
        <f t="shared" si="5"/>
        <v>13.157407407407407</v>
      </c>
      <c r="O8">
        <v>0.5</v>
      </c>
    </row>
    <row r="9" spans="1:19" ht="14.5" x14ac:dyDescent="0.35">
      <c r="A9" s="11"/>
      <c r="B9" s="11" t="s">
        <v>52</v>
      </c>
      <c r="C9" s="16" t="s">
        <v>18</v>
      </c>
      <c r="D9" s="15">
        <f t="shared" si="0"/>
        <v>0.10606060606060606</v>
      </c>
      <c r="E9" s="12">
        <f t="shared" si="1"/>
        <v>319</v>
      </c>
      <c r="F9" s="13">
        <v>1</v>
      </c>
      <c r="G9" s="12">
        <f t="shared" si="2"/>
        <v>33.833333333333336</v>
      </c>
      <c r="H9" s="86">
        <f t="shared" si="3"/>
        <v>33.833333333333336</v>
      </c>
      <c r="I9" s="11">
        <f>VLOOKUP(B9,Ordering!$A$1:$J$36,6,FALSE)</f>
        <v>1</v>
      </c>
      <c r="J9" s="11">
        <f>VLOOKUP(B9,Ordering!$A$1:$J$36,10,FALSE)</f>
        <v>0.74</v>
      </c>
      <c r="K9" s="11">
        <f t="shared" si="4"/>
        <v>33.833333333333336</v>
      </c>
      <c r="L9" s="64">
        <f t="shared" si="5"/>
        <v>25.036666666666669</v>
      </c>
      <c r="O9">
        <v>45</v>
      </c>
    </row>
    <row r="10" spans="1:19" ht="14.5" x14ac:dyDescent="0.35">
      <c r="A10" s="11"/>
      <c r="B10" s="11" t="s">
        <v>53</v>
      </c>
      <c r="C10" s="16" t="s">
        <v>212</v>
      </c>
      <c r="D10" s="15">
        <f t="shared" si="0"/>
        <v>0.70942760942760941</v>
      </c>
      <c r="E10" s="12">
        <f t="shared" si="1"/>
        <v>319</v>
      </c>
      <c r="F10" s="13">
        <v>1</v>
      </c>
      <c r="G10" s="12">
        <f t="shared" si="2"/>
        <v>226.3074074074074</v>
      </c>
      <c r="H10" s="86">
        <f t="shared" si="3"/>
        <v>226.3074074074074</v>
      </c>
      <c r="I10" s="11">
        <f>VLOOKUP(B10,Ordering!$A$1:$J$36,6,FALSE)</f>
        <v>1</v>
      </c>
      <c r="J10" s="11">
        <f>VLOOKUP(B10,Ordering!$A$1:$J$36,10,FALSE)</f>
        <v>0</v>
      </c>
      <c r="K10" s="11">
        <f t="shared" si="4"/>
        <v>226.3074074074074</v>
      </c>
      <c r="L10" s="64">
        <f t="shared" si="5"/>
        <v>0</v>
      </c>
      <c r="O10">
        <v>301</v>
      </c>
      <c r="R10" s="108" t="s">
        <v>62</v>
      </c>
      <c r="S10" s="109"/>
    </row>
    <row r="11" spans="1:19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/>
      <c r="O12" s="22">
        <f>O11/I1</f>
        <v>424.28571428571428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f>'Cucumber yogurt sauce (2)'!S13</f>
        <v>317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319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51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2CEF-E40F-4554-BC19-9FD4DFF12DEA}">
  <sheetPr codeName="Sheet20">
    <tabColor theme="7" tint="-0.249977111117893"/>
    <pageSetUpPr fitToPage="1"/>
  </sheetPr>
  <dimension ref="A1:Q27"/>
  <sheetViews>
    <sheetView topLeftCell="I1" zoomScale="85" zoomScaleNormal="85" zoomScaleSheetLayoutView="100" workbookViewId="0">
      <selection activeCell="Q14" sqref="Q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0.664062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17" ht="26.25" customHeight="1" x14ac:dyDescent="0.3">
      <c r="A1" s="17" t="s">
        <v>0</v>
      </c>
      <c r="B1" s="9">
        <v>1</v>
      </c>
      <c r="C1" s="17" t="s">
        <v>1</v>
      </c>
      <c r="D1" s="10">
        <f>Q15</f>
        <v>130</v>
      </c>
      <c r="F1" s="17" t="s">
        <v>2</v>
      </c>
      <c r="G1" s="10">
        <f>D1/B1</f>
        <v>130</v>
      </c>
      <c r="H1" s="17" t="s">
        <v>3</v>
      </c>
      <c r="I1" s="21">
        <v>35</v>
      </c>
      <c r="J1" s="1"/>
      <c r="K1" s="23" t="s">
        <v>4</v>
      </c>
    </row>
    <row r="2" spans="1:17" ht="14.25" customHeight="1" x14ac:dyDescent="0.3">
      <c r="A2" s="56"/>
      <c r="B2" s="111" t="s">
        <v>168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7" ht="14.25" customHeight="1" x14ac:dyDescent="0.3">
      <c r="A3" s="58"/>
      <c r="B3" s="113" t="s">
        <v>265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7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7" ht="14.5" x14ac:dyDescent="0.35">
      <c r="A5" s="11"/>
      <c r="B5" s="11" t="s">
        <v>50</v>
      </c>
      <c r="C5" s="16" t="s">
        <v>212</v>
      </c>
      <c r="D5" s="15">
        <f t="shared" ref="D5:D10" si="0">M5/$M$15</f>
        <v>2.12636695018226</v>
      </c>
      <c r="E5" s="12">
        <f t="shared" ref="E5:E10" si="1">$G$1</f>
        <v>130</v>
      </c>
      <c r="F5" s="13">
        <v>1</v>
      </c>
      <c r="G5" s="12">
        <f t="shared" ref="G5:G10" si="2">E5*D5</f>
        <v>276.42770352369382</v>
      </c>
      <c r="H5" s="86">
        <f t="shared" ref="H5:H10" si="3">G5*F5</f>
        <v>276.42770352369382</v>
      </c>
      <c r="I5" s="11">
        <f>VLOOKUP(B5,Ordering!$A$1:$J$36,6,FALSE)</f>
        <v>1</v>
      </c>
      <c r="J5" s="11">
        <f>VLOOKUP(B5,Ordering!$A$1:$J$36,10,FALSE)</f>
        <v>5</v>
      </c>
      <c r="K5" s="11">
        <f>H5/I5</f>
        <v>276.42770352369382</v>
      </c>
      <c r="L5" s="64">
        <f>J5*K5</f>
        <v>1382.138517618469</v>
      </c>
      <c r="M5">
        <v>150</v>
      </c>
    </row>
    <row r="6" spans="1:17" ht="14.5" x14ac:dyDescent="0.35">
      <c r="A6" s="11"/>
      <c r="B6" s="11" t="s">
        <v>51</v>
      </c>
      <c r="C6" s="16" t="s">
        <v>18</v>
      </c>
      <c r="D6" s="15">
        <f t="shared" si="0"/>
        <v>4.25273390036452E-2</v>
      </c>
      <c r="E6" s="12">
        <f t="shared" si="1"/>
        <v>130</v>
      </c>
      <c r="F6" s="13">
        <v>1</v>
      </c>
      <c r="G6" s="12">
        <f t="shared" si="2"/>
        <v>5.5285540704738763</v>
      </c>
      <c r="H6" s="86">
        <f t="shared" si="3"/>
        <v>5.5285540704738763</v>
      </c>
      <c r="I6" s="11">
        <f>VLOOKUP(B6,Ordering!$A$1:$J$36,6,FALSE)</f>
        <v>1</v>
      </c>
      <c r="J6" s="11">
        <f>VLOOKUP(B6,Ordering!$A$1:$J$36,10,FALSE)</f>
        <v>8</v>
      </c>
      <c r="K6" s="11">
        <f t="shared" ref="K6:K10" si="4">H6/I6</f>
        <v>5.5285540704738763</v>
      </c>
      <c r="L6" s="64">
        <f t="shared" ref="L6:L10" si="5">J6*K6</f>
        <v>44.22843256379101</v>
      </c>
      <c r="M6">
        <v>3</v>
      </c>
    </row>
    <row r="7" spans="1:17" ht="14.5" x14ac:dyDescent="0.35">
      <c r="A7" s="11"/>
      <c r="B7" s="11" t="s">
        <v>52</v>
      </c>
      <c r="C7" s="16" t="s">
        <v>18</v>
      </c>
      <c r="D7" s="15">
        <f t="shared" si="0"/>
        <v>0.15593357634669908</v>
      </c>
      <c r="E7" s="12">
        <f t="shared" si="1"/>
        <v>130</v>
      </c>
      <c r="F7" s="13">
        <v>1</v>
      </c>
      <c r="G7" s="12">
        <f t="shared" si="2"/>
        <v>20.271364925070881</v>
      </c>
      <c r="H7" s="86">
        <f t="shared" si="3"/>
        <v>20.271364925070881</v>
      </c>
      <c r="I7" s="11">
        <f>VLOOKUP(B7,Ordering!$A$1:$J$36,6,FALSE)</f>
        <v>1</v>
      </c>
      <c r="J7" s="11">
        <f>VLOOKUP(B7,Ordering!$A$1:$J$36,10,FALSE)</f>
        <v>0.74</v>
      </c>
      <c r="K7" s="11">
        <f t="shared" si="4"/>
        <v>20.271364925070881</v>
      </c>
      <c r="L7" s="64">
        <f t="shared" si="5"/>
        <v>15.000810044552452</v>
      </c>
      <c r="M7">
        <v>11</v>
      </c>
      <c r="P7" s="48" t="s">
        <v>173</v>
      </c>
    </row>
    <row r="8" spans="1:17" ht="14.5" x14ac:dyDescent="0.35">
      <c r="A8" s="11"/>
      <c r="B8" s="11" t="s">
        <v>53</v>
      </c>
      <c r="C8" s="16" t="s">
        <v>212</v>
      </c>
      <c r="D8" s="15">
        <f t="shared" si="0"/>
        <v>18.456865127582017</v>
      </c>
      <c r="E8" s="12">
        <f t="shared" si="1"/>
        <v>130</v>
      </c>
      <c r="F8" s="13">
        <v>1</v>
      </c>
      <c r="G8" s="12">
        <f t="shared" si="2"/>
        <v>2399.3924665856621</v>
      </c>
      <c r="H8" s="86">
        <f t="shared" si="3"/>
        <v>2399.3924665856621</v>
      </c>
      <c r="I8" s="11">
        <f>VLOOKUP(B8,Ordering!$A$1:$J$36,6,FALSE)</f>
        <v>1</v>
      </c>
      <c r="J8" s="11">
        <f>VLOOKUP(B8,Ordering!$A$1:$J$36,10,FALSE)</f>
        <v>0</v>
      </c>
      <c r="K8" s="11">
        <f t="shared" si="4"/>
        <v>2399.3924665856621</v>
      </c>
      <c r="L8" s="64">
        <f t="shared" si="5"/>
        <v>0</v>
      </c>
      <c r="M8">
        <v>1302</v>
      </c>
    </row>
    <row r="9" spans="1:17" ht="14.5" x14ac:dyDescent="0.35">
      <c r="A9" s="11"/>
      <c r="B9" s="11" t="s">
        <v>204</v>
      </c>
      <c r="C9" s="16" t="s">
        <v>18</v>
      </c>
      <c r="D9" s="15">
        <f t="shared" si="0"/>
        <v>4.25273390036452E-2</v>
      </c>
      <c r="E9" s="12">
        <f t="shared" si="1"/>
        <v>130</v>
      </c>
      <c r="F9" s="13">
        <v>1</v>
      </c>
      <c r="G9" s="12">
        <f t="shared" si="2"/>
        <v>5.5285540704738763</v>
      </c>
      <c r="H9" s="86">
        <f t="shared" si="3"/>
        <v>5.5285540704738763</v>
      </c>
      <c r="I9" s="11">
        <f>VLOOKUP(B9,Ordering!$A$1:$J$36,6,FALSE)</f>
        <v>1</v>
      </c>
      <c r="J9" s="11">
        <f>VLOOKUP(B9,Ordering!$A$1:$J$36,10,FALSE)</f>
        <v>31</v>
      </c>
      <c r="K9" s="11">
        <f t="shared" si="4"/>
        <v>5.5285540704738763</v>
      </c>
      <c r="L9" s="64">
        <f t="shared" si="5"/>
        <v>171.38517618469015</v>
      </c>
      <c r="M9">
        <v>3</v>
      </c>
    </row>
    <row r="10" spans="1:17" ht="14.5" x14ac:dyDescent="0.35">
      <c r="A10" s="11"/>
      <c r="B10" s="11" t="s">
        <v>242</v>
      </c>
      <c r="C10" s="16" t="s">
        <v>18</v>
      </c>
      <c r="D10" s="15">
        <f t="shared" si="0"/>
        <v>14.175779667881732</v>
      </c>
      <c r="E10" s="12">
        <f t="shared" si="1"/>
        <v>130</v>
      </c>
      <c r="F10" s="13">
        <v>1</v>
      </c>
      <c r="G10" s="12">
        <f t="shared" si="2"/>
        <v>1842.8513568246253</v>
      </c>
      <c r="H10" s="86">
        <f t="shared" si="3"/>
        <v>1842.8513568246253</v>
      </c>
      <c r="I10" s="11">
        <f>VLOOKUP(B10,Ordering!$A$1:$J$36,6,FALSE)</f>
        <v>1</v>
      </c>
      <c r="J10" s="11">
        <f>VLOOKUP(B10,Ordering!$A$1:$J$36,10,FALSE)</f>
        <v>10</v>
      </c>
      <c r="K10" s="11">
        <f t="shared" si="4"/>
        <v>1842.8513568246253</v>
      </c>
      <c r="L10" s="64">
        <f t="shared" si="5"/>
        <v>18428.513568246253</v>
      </c>
      <c r="M10">
        <v>1000</v>
      </c>
      <c r="P10" s="108" t="s">
        <v>62</v>
      </c>
      <c r="Q10" s="109"/>
    </row>
    <row r="11" spans="1:17" x14ac:dyDescent="0.3">
      <c r="P11" s="106" t="s">
        <v>63</v>
      </c>
      <c r="Q11" s="107"/>
    </row>
    <row r="12" spans="1:17" ht="14.75" customHeight="1" thickBot="1" x14ac:dyDescent="0.35">
      <c r="M12" s="22"/>
      <c r="P12" s="2" t="s">
        <v>22</v>
      </c>
      <c r="Q12" s="3" t="s">
        <v>23</v>
      </c>
    </row>
    <row r="13" spans="1:17" ht="14.75" customHeight="1" thickBot="1" x14ac:dyDescent="0.35">
      <c r="P13" s="4" t="s">
        <v>24</v>
      </c>
      <c r="Q13" s="5">
        <v>128</v>
      </c>
    </row>
    <row r="14" spans="1:17" ht="14.75" customHeight="1" thickBot="1" x14ac:dyDescent="0.35">
      <c r="L14" s="24" t="s">
        <v>19</v>
      </c>
      <c r="M14" s="26">
        <f>SUM(M5:M10)</f>
        <v>2469</v>
      </c>
      <c r="P14" s="4" t="s">
        <v>25</v>
      </c>
      <c r="Q14" s="6">
        <v>2</v>
      </c>
    </row>
    <row r="15" spans="1:17" x14ac:dyDescent="0.3">
      <c r="L15" s="24" t="s">
        <v>21</v>
      </c>
      <c r="M15" s="27">
        <f>M14/I1</f>
        <v>70.542857142857144</v>
      </c>
      <c r="P15" s="7" t="s">
        <v>26</v>
      </c>
      <c r="Q15" s="8">
        <f>Q13+Q14</f>
        <v>130</v>
      </c>
    </row>
    <row r="27" spans="11:11" x14ac:dyDescent="0.3">
      <c r="K27" s="20"/>
    </row>
  </sheetData>
  <mergeCells count="4">
    <mergeCell ref="P10:Q10"/>
    <mergeCell ref="P11:Q11"/>
    <mergeCell ref="B2:H2"/>
    <mergeCell ref="B3:H3"/>
  </mergeCells>
  <printOptions horizontalCentered="1"/>
  <pageMargins left="0.4" right="0.4" top="1" bottom="0.5" header="0.3" footer="0.3"/>
  <pageSetup paperSize="9" scale="50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B8F68-7783-48A8-86FB-5E7AA4D85A02}">
  <sheetPr codeName="Sheet19">
    <tabColor theme="7" tint="-0.249977111117893"/>
    <pageSetUpPr fitToPage="1"/>
  </sheetPr>
  <dimension ref="A1:S27"/>
  <sheetViews>
    <sheetView topLeftCell="J3" zoomScale="85" zoomScaleNormal="85" zoomScaleSheetLayoutView="100" workbookViewId="0">
      <selection activeCell="Q14" sqref="Q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243</v>
      </c>
      <c r="F1" s="17" t="s">
        <v>2</v>
      </c>
      <c r="G1" s="10">
        <f>D1/B1</f>
        <v>243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8"/>
      <c r="B2" s="111" t="s">
        <v>158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19" ht="14.25" customHeight="1" x14ac:dyDescent="0.3">
      <c r="A3" s="58"/>
      <c r="B3" s="114" t="s">
        <v>269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59</v>
      </c>
      <c r="C5" s="16" t="s">
        <v>18</v>
      </c>
      <c r="D5" s="15">
        <f t="shared" ref="D5:D10" si="0">O5/$O$12</f>
        <v>33.703703703703702</v>
      </c>
      <c r="E5" s="12">
        <f t="shared" ref="E5:E10" si="1">$G$1</f>
        <v>243</v>
      </c>
      <c r="F5" s="13">
        <v>1</v>
      </c>
      <c r="G5" s="12">
        <f t="shared" ref="G5:G10" si="2">E5*D5</f>
        <v>8190</v>
      </c>
      <c r="H5" s="86">
        <f t="shared" ref="H5:H10" si="3">G5*F5</f>
        <v>8190</v>
      </c>
      <c r="I5" s="11">
        <f>VLOOKUP(B5,Ordering!$A$1:$J$36,6,FALSE)</f>
        <v>0.98</v>
      </c>
      <c r="J5" s="11">
        <f>VLOOKUP(B5,Ordering!$A$1:$J$36,10,FALSE)</f>
        <v>3.5</v>
      </c>
      <c r="K5" s="11">
        <f>H5/I5</f>
        <v>8357.1428571428569</v>
      </c>
      <c r="L5" s="64">
        <f>J5*K5</f>
        <v>29250</v>
      </c>
      <c r="O5">
        <v>14300</v>
      </c>
    </row>
    <row r="6" spans="1:19" ht="14.5" x14ac:dyDescent="0.35">
      <c r="A6" s="11"/>
      <c r="B6" s="11" t="s">
        <v>95</v>
      </c>
      <c r="C6" s="16" t="s">
        <v>18</v>
      </c>
      <c r="D6" s="15">
        <f t="shared" si="0"/>
        <v>0.19090909090909092</v>
      </c>
      <c r="E6" s="12">
        <f t="shared" si="1"/>
        <v>243</v>
      </c>
      <c r="F6" s="13">
        <v>1</v>
      </c>
      <c r="G6" s="12">
        <f t="shared" si="2"/>
        <v>46.390909090909091</v>
      </c>
      <c r="H6" s="86">
        <f t="shared" si="3"/>
        <v>46.390909090909091</v>
      </c>
      <c r="I6" s="11">
        <f>VLOOKUP(B6,Ordering!$A$1:$J$36,6,FALSE)</f>
        <v>0.96</v>
      </c>
      <c r="J6" s="11">
        <f>VLOOKUP(B6,Ordering!$A$1:$J$36,10,FALSE)</f>
        <v>4</v>
      </c>
      <c r="K6" s="11">
        <f t="shared" ref="K6:K10" si="4">H6/I6</f>
        <v>48.32386363636364</v>
      </c>
      <c r="L6" s="64">
        <f t="shared" ref="L6:L10" si="5">J6*K6</f>
        <v>193.29545454545456</v>
      </c>
      <c r="O6">
        <v>81</v>
      </c>
    </row>
    <row r="7" spans="1:19" ht="14.5" x14ac:dyDescent="0.35">
      <c r="A7" s="11"/>
      <c r="B7" s="11" t="s">
        <v>209</v>
      </c>
      <c r="C7" s="16" t="s">
        <v>18</v>
      </c>
      <c r="D7" s="15">
        <f t="shared" si="0"/>
        <v>0.18855218855218855</v>
      </c>
      <c r="E7" s="12">
        <f t="shared" si="1"/>
        <v>243</v>
      </c>
      <c r="F7" s="13">
        <v>1</v>
      </c>
      <c r="G7" s="12">
        <f t="shared" si="2"/>
        <v>45.81818181818182</v>
      </c>
      <c r="H7" s="86">
        <f t="shared" si="3"/>
        <v>45.81818181818182</v>
      </c>
      <c r="I7" s="11">
        <f>VLOOKUP(B7,Ordering!$A$1:$J$36,6,FALSE)</f>
        <v>0.94</v>
      </c>
      <c r="J7" s="11">
        <f>VLOOKUP(B7,Ordering!$A$1:$J$36,10,FALSE)</f>
        <v>3.6363636363636367</v>
      </c>
      <c r="K7" s="11">
        <f t="shared" si="4"/>
        <v>48.742746615087043</v>
      </c>
      <c r="L7" s="64">
        <f t="shared" si="5"/>
        <v>177.24635132758925</v>
      </c>
      <c r="O7">
        <v>80</v>
      </c>
      <c r="R7" s="48" t="s">
        <v>175</v>
      </c>
    </row>
    <row r="8" spans="1:19" ht="14.5" x14ac:dyDescent="0.35">
      <c r="A8" s="11"/>
      <c r="B8" s="11" t="s">
        <v>224</v>
      </c>
      <c r="C8" s="16" t="s">
        <v>18</v>
      </c>
      <c r="D8" s="15">
        <f t="shared" si="0"/>
        <v>1.1784511784511784E-3</v>
      </c>
      <c r="E8" s="12">
        <f t="shared" si="1"/>
        <v>243</v>
      </c>
      <c r="F8" s="13">
        <v>1</v>
      </c>
      <c r="G8" s="12">
        <f t="shared" si="2"/>
        <v>0.28636363636363632</v>
      </c>
      <c r="H8" s="86">
        <f t="shared" si="3"/>
        <v>0.28636363636363632</v>
      </c>
      <c r="I8" s="11">
        <f>VLOOKUP(B8,Ordering!$A$1:$J$36,6,FALSE)</f>
        <v>1</v>
      </c>
      <c r="J8" s="11">
        <f>VLOOKUP(B8,Ordering!$A$1:$J$36,10,FALSE)</f>
        <v>35</v>
      </c>
      <c r="K8" s="11">
        <f t="shared" si="4"/>
        <v>0.28636363636363632</v>
      </c>
      <c r="L8" s="64">
        <f t="shared" si="5"/>
        <v>10.022727272727272</v>
      </c>
      <c r="O8">
        <v>0.5</v>
      </c>
      <c r="R8" t="s">
        <v>173</v>
      </c>
    </row>
    <row r="9" spans="1:19" ht="14.5" x14ac:dyDescent="0.35">
      <c r="A9" s="11"/>
      <c r="B9" s="11" t="s">
        <v>52</v>
      </c>
      <c r="C9" s="16" t="s">
        <v>18</v>
      </c>
      <c r="D9" s="15">
        <f t="shared" si="0"/>
        <v>0.10606060606060606</v>
      </c>
      <c r="E9" s="12">
        <f t="shared" si="1"/>
        <v>243</v>
      </c>
      <c r="F9" s="13">
        <v>1</v>
      </c>
      <c r="G9" s="12">
        <f t="shared" si="2"/>
        <v>25.772727272727273</v>
      </c>
      <c r="H9" s="86">
        <f t="shared" si="3"/>
        <v>25.772727272727273</v>
      </c>
      <c r="I9" s="11">
        <f>VLOOKUP(B9,Ordering!$A$1:$J$36,6,FALSE)</f>
        <v>1</v>
      </c>
      <c r="J9" s="11">
        <f>VLOOKUP(B9,Ordering!$A$1:$J$36,10,FALSE)</f>
        <v>0.74</v>
      </c>
      <c r="K9" s="11">
        <f t="shared" si="4"/>
        <v>25.772727272727273</v>
      </c>
      <c r="L9" s="64">
        <f t="shared" si="5"/>
        <v>19.07181818181818</v>
      </c>
      <c r="O9">
        <v>45</v>
      </c>
    </row>
    <row r="10" spans="1:19" ht="14.5" x14ac:dyDescent="0.35">
      <c r="A10" s="11"/>
      <c r="B10" s="11" t="s">
        <v>53</v>
      </c>
      <c r="C10" s="16" t="s">
        <v>212</v>
      </c>
      <c r="D10" s="15">
        <f t="shared" si="0"/>
        <v>0.70942760942760941</v>
      </c>
      <c r="E10" s="12">
        <f t="shared" si="1"/>
        <v>243</v>
      </c>
      <c r="F10" s="13">
        <v>1</v>
      </c>
      <c r="G10" s="12">
        <f t="shared" si="2"/>
        <v>172.39090909090908</v>
      </c>
      <c r="H10" s="86">
        <f t="shared" si="3"/>
        <v>172.39090909090908</v>
      </c>
      <c r="I10" s="11">
        <f>VLOOKUP(B10,Ordering!$A$1:$J$36,6,FALSE)</f>
        <v>1</v>
      </c>
      <c r="J10" s="11">
        <f>VLOOKUP(B10,Ordering!$A$1:$J$36,10,FALSE)</f>
        <v>0</v>
      </c>
      <c r="K10" s="11">
        <f t="shared" si="4"/>
        <v>172.39090909090908</v>
      </c>
      <c r="L10" s="64">
        <f t="shared" si="5"/>
        <v>0</v>
      </c>
      <c r="O10">
        <v>301</v>
      </c>
      <c r="R10" s="108" t="s">
        <v>62</v>
      </c>
      <c r="S10" s="109"/>
    </row>
    <row r="11" spans="1:19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/>
      <c r="O12" s="22">
        <f>O11/I1</f>
        <v>424.28571428571428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f>113+128</f>
        <v>241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243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CBE36-ED40-48E0-9708-D76CC35922E7}">
  <sheetPr codeName="Sheet21">
    <tabColor theme="7" tint="-0.249977111117893"/>
    <pageSetUpPr fitToPage="1"/>
  </sheetPr>
  <dimension ref="A1:S32"/>
  <sheetViews>
    <sheetView topLeftCell="G1" zoomScale="85" zoomScaleNormal="85" zoomScaleSheetLayoutView="100" workbookViewId="0">
      <selection activeCell="Q14" sqref="Q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19" ht="25" x14ac:dyDescent="0.3">
      <c r="A1" s="17" t="s">
        <v>0</v>
      </c>
      <c r="B1" s="9">
        <v>1</v>
      </c>
      <c r="E1" s="17" t="s">
        <v>1</v>
      </c>
      <c r="F1" s="10">
        <f>S15</f>
        <v>415</v>
      </c>
      <c r="H1" s="17" t="s">
        <v>2</v>
      </c>
      <c r="I1" s="10">
        <f>F1/B1</f>
        <v>415</v>
      </c>
      <c r="J1" s="1"/>
      <c r="K1" s="18" t="s">
        <v>4</v>
      </c>
    </row>
    <row r="2" spans="1:19" ht="14.25" customHeight="1" x14ac:dyDescent="0.3">
      <c r="A2" s="56"/>
      <c r="B2" s="111" t="s">
        <v>263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286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1500/93</f>
        <v>16.129032258064516</v>
      </c>
      <c r="E5" s="12">
        <f>$I$1</f>
        <v>415</v>
      </c>
      <c r="F5" s="13">
        <v>1</v>
      </c>
      <c r="G5" s="12">
        <f>E5*D5</f>
        <v>6693.5483870967737</v>
      </c>
      <c r="H5" s="86">
        <f>G5*F5</f>
        <v>6693.5483870967737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6693.5483870967737</v>
      </c>
      <c r="L5" s="64">
        <f>J5*K5</f>
        <v>42965.34437663469</v>
      </c>
      <c r="M5">
        <v>1500</v>
      </c>
    </row>
    <row r="6" spans="1:19" ht="14.5" x14ac:dyDescent="0.35">
      <c r="A6" s="11"/>
      <c r="B6" s="11" t="s">
        <v>57</v>
      </c>
      <c r="C6" s="16" t="s">
        <v>18</v>
      </c>
      <c r="D6" s="15">
        <f>50/93</f>
        <v>0.5376344086021505</v>
      </c>
      <c r="E6" s="12">
        <f>$I$1</f>
        <v>415</v>
      </c>
      <c r="F6" s="13">
        <v>1</v>
      </c>
      <c r="G6" s="12">
        <f>E6*D6</f>
        <v>223.11827956989245</v>
      </c>
      <c r="H6" s="86">
        <f>G6*F6</f>
        <v>223.11827956989245</v>
      </c>
      <c r="I6" s="11">
        <f>VLOOKUP(B6,Ordering!$A$1:$J$36,6,FALSE)</f>
        <v>1</v>
      </c>
      <c r="J6" s="11">
        <f>VLOOKUP(B6,Ordering!$A$1:$J$36,10,FALSE)</f>
        <v>11.243386243386244</v>
      </c>
      <c r="K6" s="11">
        <f t="shared" ref="K6:K7" si="0">H6/I6</f>
        <v>223.11827956989245</v>
      </c>
      <c r="L6" s="64">
        <f t="shared" ref="L6:L7" si="1">J6*K6</f>
        <v>2508.6049951641348</v>
      </c>
      <c r="M6">
        <v>1020</v>
      </c>
    </row>
    <row r="7" spans="1:19" ht="14.5" x14ac:dyDescent="0.35">
      <c r="A7" s="11"/>
      <c r="B7" s="11" t="s">
        <v>94</v>
      </c>
      <c r="C7" s="16" t="s">
        <v>212</v>
      </c>
      <c r="D7" s="15">
        <f>150/93</f>
        <v>1.6129032258064515</v>
      </c>
      <c r="E7" s="12">
        <f>$I$1</f>
        <v>415</v>
      </c>
      <c r="F7" s="13">
        <v>1</v>
      </c>
      <c r="G7" s="12">
        <f>E7*D7</f>
        <v>669.35483870967732</v>
      </c>
      <c r="H7" s="86">
        <f>G7*F7</f>
        <v>669.35483870967732</v>
      </c>
      <c r="I7" s="11">
        <f>VLOOKUP(B7,Ordering!$A$1:$J$36,6,FALSE)</f>
        <v>1</v>
      </c>
      <c r="J7" s="11">
        <f>VLOOKUP(B7,Ordering!$A$1:$J$36,10,FALSE)</f>
        <v>58.685446009389672</v>
      </c>
      <c r="K7" s="11">
        <f t="shared" si="0"/>
        <v>669.35483870967732</v>
      </c>
      <c r="L7" s="64">
        <f t="shared" si="1"/>
        <v>39281.387248220497</v>
      </c>
      <c r="M7">
        <v>100</v>
      </c>
      <c r="S7" s="48" t="s">
        <v>72</v>
      </c>
    </row>
    <row r="8" spans="1:19" x14ac:dyDescent="0.3">
      <c r="I8" s="11"/>
      <c r="J8" s="11"/>
      <c r="K8" s="11"/>
      <c r="L8" s="64"/>
      <c r="M8">
        <v>150</v>
      </c>
      <c r="S8" s="48" t="s">
        <v>249</v>
      </c>
    </row>
    <row r="9" spans="1:19" x14ac:dyDescent="0.3"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2770</v>
      </c>
      <c r="R10" s="108" t="s">
        <v>62</v>
      </c>
      <c r="S10" s="109"/>
    </row>
    <row r="11" spans="1:19" x14ac:dyDescent="0.3">
      <c r="M11" s="19">
        <f>M10/30</f>
        <v>92.333333333333329</v>
      </c>
      <c r="R11" s="106" t="s">
        <v>63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f>237+89+87</f>
        <v>413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415</v>
      </c>
    </row>
    <row r="24" spans="10:11" x14ac:dyDescent="0.3">
      <c r="J24" t="s">
        <v>66</v>
      </c>
      <c r="K24" t="s">
        <v>67</v>
      </c>
    </row>
    <row r="25" spans="10:11" x14ac:dyDescent="0.3">
      <c r="J25" t="s">
        <v>68</v>
      </c>
      <c r="K25" t="s">
        <v>38</v>
      </c>
    </row>
    <row r="26" spans="10:11" x14ac:dyDescent="0.3">
      <c r="J26" t="s">
        <v>69</v>
      </c>
      <c r="K26" s="20" t="s">
        <v>70</v>
      </c>
    </row>
    <row r="27" spans="10:11" x14ac:dyDescent="0.3">
      <c r="J27" t="s">
        <v>71</v>
      </c>
    </row>
    <row r="28" spans="10:11" x14ac:dyDescent="0.3">
      <c r="J28" t="s">
        <v>72</v>
      </c>
    </row>
    <row r="29" spans="10:11" x14ac:dyDescent="0.3">
      <c r="J29" t="s">
        <v>73</v>
      </c>
    </row>
    <row r="32" spans="10:11" x14ac:dyDescent="0.3">
      <c r="J32" t="s">
        <v>234</v>
      </c>
      <c r="K32" s="20" t="s">
        <v>70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EA627-E1B2-4631-B9CA-D2AE58B4F1C3}">
  <sheetPr codeName="Sheet30">
    <tabColor theme="7" tint="-0.249977111117893"/>
    <pageSetUpPr fitToPage="1"/>
  </sheetPr>
  <dimension ref="A1:S30"/>
  <sheetViews>
    <sheetView topLeftCell="J1" zoomScale="115" zoomScaleNormal="115" zoomScaleSheetLayoutView="100" workbookViewId="0">
      <selection activeCell="Q14" sqref="Q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8" max="18" width="22.4140625" customWidth="1"/>
    <col min="19" max="19" width="14.83203125" customWidth="1"/>
  </cols>
  <sheetData>
    <row r="1" spans="1:19" ht="25" x14ac:dyDescent="0.3">
      <c r="A1" s="17" t="s">
        <v>142</v>
      </c>
      <c r="B1" s="9">
        <v>20</v>
      </c>
      <c r="E1" s="17" t="s">
        <v>143</v>
      </c>
      <c r="F1" s="10">
        <f>S15</f>
        <v>181</v>
      </c>
      <c r="H1" s="17" t="s">
        <v>3</v>
      </c>
      <c r="I1" s="21">
        <v>20</v>
      </c>
      <c r="J1" s="1"/>
      <c r="K1" s="18" t="s">
        <v>4</v>
      </c>
    </row>
    <row r="2" spans="1:19" ht="14.25" customHeight="1" x14ac:dyDescent="0.3">
      <c r="A2" s="56"/>
      <c r="B2" s="111" t="s">
        <v>144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270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M5/$M$11</f>
        <v>10.75268817204301</v>
      </c>
      <c r="E5" s="12">
        <f>$F$1</f>
        <v>181</v>
      </c>
      <c r="F5" s="13">
        <v>1</v>
      </c>
      <c r="G5" s="12">
        <f>E5*D5</f>
        <v>1946.2365591397847</v>
      </c>
      <c r="H5" s="86">
        <f>G5*F5</f>
        <v>1946.2365591397847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1946.2365591397847</v>
      </c>
      <c r="L5" s="64">
        <f>J5*K5</f>
        <v>12492.734670154023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M6/$M$11</f>
        <v>7.311827956989247</v>
      </c>
      <c r="E6" s="12">
        <f>$F$1</f>
        <v>181</v>
      </c>
      <c r="F6" s="13">
        <v>1</v>
      </c>
      <c r="G6" s="12">
        <f>E6*D6</f>
        <v>1323.4408602150538</v>
      </c>
      <c r="H6" s="86">
        <f>G6*F6</f>
        <v>1323.4408602150538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1323.4408602150538</v>
      </c>
      <c r="L6" s="64">
        <f t="shared" ref="L6:L8" si="1">J6*K6</f>
        <v>4301.1827956989246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M7/$M$11</f>
        <v>0.78853046594982079</v>
      </c>
      <c r="E7" s="12">
        <f>$F$1</f>
        <v>181</v>
      </c>
      <c r="F7" s="13">
        <v>1</v>
      </c>
      <c r="G7" s="12">
        <f>E7*D7</f>
        <v>142.72401433691758</v>
      </c>
      <c r="H7" s="86">
        <f>G7*F7</f>
        <v>142.72401433691758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142.72401433691758</v>
      </c>
      <c r="L7" s="64">
        <f t="shared" si="1"/>
        <v>1604.7012193965602</v>
      </c>
      <c r="M7">
        <v>110</v>
      </c>
    </row>
    <row r="8" spans="1:19" ht="14.5" x14ac:dyDescent="0.35">
      <c r="A8" s="11"/>
      <c r="B8" s="11" t="s">
        <v>94</v>
      </c>
      <c r="C8" s="16" t="s">
        <v>212</v>
      </c>
      <c r="D8" s="15">
        <f>M8/$M$11</f>
        <v>1.1469534050179211</v>
      </c>
      <c r="E8" s="12">
        <f>$F$1</f>
        <v>181</v>
      </c>
      <c r="F8" s="13">
        <v>1</v>
      </c>
      <c r="G8" s="12">
        <f>E8*D8</f>
        <v>207.5985663082437</v>
      </c>
      <c r="H8" s="86">
        <f>G8*F8</f>
        <v>207.5985663082437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207.5985663082437</v>
      </c>
      <c r="L8" s="64">
        <f t="shared" si="1"/>
        <v>12183.014454709139</v>
      </c>
      <c r="M8">
        <v>160</v>
      </c>
      <c r="R8" s="48" t="s">
        <v>72</v>
      </c>
    </row>
    <row r="9" spans="1:19" x14ac:dyDescent="0.3">
      <c r="G9" s="44" t="s">
        <v>141</v>
      </c>
      <c r="H9" s="45">
        <f>SUM(H5:H8)</f>
        <v>3620</v>
      </c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2790</v>
      </c>
      <c r="R10" s="108" t="s">
        <v>144</v>
      </c>
      <c r="S10" s="109"/>
    </row>
    <row r="11" spans="1:19" x14ac:dyDescent="0.3">
      <c r="M11" s="19">
        <f>M10/I1</f>
        <v>139.5</v>
      </c>
      <c r="R11" s="106" t="s">
        <v>145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147</v>
      </c>
      <c r="S13" s="43">
        <f>89+87</f>
        <v>176</v>
      </c>
    </row>
    <row r="14" spans="1:19" ht="14.75" customHeight="1" thickBot="1" x14ac:dyDescent="0.35">
      <c r="R14" s="4" t="s">
        <v>148</v>
      </c>
      <c r="S14" s="43">
        <v>5</v>
      </c>
    </row>
    <row r="15" spans="1:19" ht="14.75" customHeight="1" thickBot="1" x14ac:dyDescent="0.35">
      <c r="R15" s="7" t="s">
        <v>146</v>
      </c>
      <c r="S15" s="5">
        <f>S13+S14</f>
        <v>181</v>
      </c>
    </row>
    <row r="16" spans="1:19" ht="14.5" thickBot="1" x14ac:dyDescent="0.35">
      <c r="R16" s="4" t="s">
        <v>149</v>
      </c>
      <c r="S16" s="5">
        <v>30</v>
      </c>
    </row>
    <row r="17" spans="10:19" ht="14.5" thickBot="1" x14ac:dyDescent="0.35">
      <c r="R17" s="7" t="s">
        <v>150</v>
      </c>
      <c r="S17" s="5">
        <f>(S13+S14)*S16</f>
        <v>5430</v>
      </c>
    </row>
    <row r="25" spans="10:19" x14ac:dyDescent="0.3">
      <c r="J25" t="s">
        <v>66</v>
      </c>
      <c r="K25" t="s">
        <v>67</v>
      </c>
    </row>
    <row r="26" spans="10:19" x14ac:dyDescent="0.3">
      <c r="J26" t="s">
        <v>68</v>
      </c>
      <c r="K26" t="s">
        <v>38</v>
      </c>
    </row>
    <row r="27" spans="10:19" x14ac:dyDescent="0.3">
      <c r="J27" t="s">
        <v>69</v>
      </c>
      <c r="K27" s="20" t="s">
        <v>70</v>
      </c>
    </row>
    <row r="28" spans="10:19" x14ac:dyDescent="0.3">
      <c r="J28" t="s">
        <v>71</v>
      </c>
    </row>
    <row r="29" spans="10:19" x14ac:dyDescent="0.3">
      <c r="J29" t="s">
        <v>72</v>
      </c>
    </row>
    <row r="30" spans="10:19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7" tint="-0.249977111117893"/>
    <pageSetUpPr fitToPage="1"/>
  </sheetPr>
  <dimension ref="A1:Y27"/>
  <sheetViews>
    <sheetView topLeftCell="K1" zoomScale="71" zoomScaleNormal="85" zoomScaleSheetLayoutView="100" workbookViewId="0">
      <selection activeCell="Q14" sqref="Q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178</v>
      </c>
      <c r="F1" s="17" t="s">
        <v>2</v>
      </c>
      <c r="G1" s="10">
        <f>D1/B1</f>
        <v>178</v>
      </c>
      <c r="H1" s="17" t="s">
        <v>3</v>
      </c>
      <c r="I1" s="21">
        <v>25</v>
      </c>
      <c r="J1" s="1"/>
      <c r="K1" s="23" t="s">
        <v>4</v>
      </c>
    </row>
    <row r="2" spans="1:25" ht="14.25" customHeight="1" x14ac:dyDescent="0.3">
      <c r="A2" s="56"/>
      <c r="B2" s="111" t="s">
        <v>133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270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17</v>
      </c>
      <c r="C5" s="16" t="s">
        <v>18</v>
      </c>
      <c r="D5" s="15">
        <f>$I$1/3</f>
        <v>8.3333333333333339</v>
      </c>
      <c r="E5" s="12">
        <f>$G$1</f>
        <v>178</v>
      </c>
      <c r="F5" s="13">
        <v>1</v>
      </c>
      <c r="G5" s="12">
        <f>E5*D5</f>
        <v>1483.3333333333335</v>
      </c>
      <c r="H5" s="86">
        <f>G5*F5</f>
        <v>1483.3333333333335</v>
      </c>
      <c r="I5" s="11">
        <f>VLOOKUP(B5,Ordering!$A$1:$J$36,6,FALSE)</f>
        <v>1</v>
      </c>
      <c r="J5" s="11">
        <f>VLOOKUP(B5,Ordering!$A$1:$J$36,10,FALSE)</f>
        <v>6</v>
      </c>
      <c r="K5" s="15">
        <f t="shared" ref="K5:K7" si="0">((H5/(I5))/1000)</f>
        <v>1.4833333333333334</v>
      </c>
      <c r="L5" s="64">
        <f>J5*K5</f>
        <v>8.9</v>
      </c>
    </row>
    <row r="6" spans="1:25" ht="14.5" x14ac:dyDescent="0.35">
      <c r="A6" s="11"/>
      <c r="B6" s="11" t="s">
        <v>48</v>
      </c>
      <c r="C6" s="16" t="s">
        <v>18</v>
      </c>
      <c r="D6" s="15">
        <f>$I$1/3</f>
        <v>8.3333333333333339</v>
      </c>
      <c r="E6" s="12">
        <f>$G$1</f>
        <v>178</v>
      </c>
      <c r="F6" s="13">
        <v>1</v>
      </c>
      <c r="G6" s="12">
        <f>E6*D6</f>
        <v>1483.3333333333335</v>
      </c>
      <c r="H6" s="86">
        <f>G6*F6</f>
        <v>1483.3333333333335</v>
      </c>
      <c r="I6" s="11">
        <f>VLOOKUP(B6,Ordering!$A$1:$J$36,6,FALSE)</f>
        <v>1</v>
      </c>
      <c r="J6" s="11">
        <f>VLOOKUP(B6,Ordering!$A$1:$J$36,10,FALSE)</f>
        <v>4.2</v>
      </c>
      <c r="K6" s="15">
        <f t="shared" si="0"/>
        <v>1.4833333333333334</v>
      </c>
      <c r="L6" s="64">
        <f t="shared" ref="L6:L7" si="1">J6*K6</f>
        <v>6.23</v>
      </c>
    </row>
    <row r="7" spans="1:25" ht="14.5" x14ac:dyDescent="0.35">
      <c r="A7" s="11"/>
      <c r="B7" s="11" t="s">
        <v>49</v>
      </c>
      <c r="C7" s="16" t="s">
        <v>18</v>
      </c>
      <c r="D7" s="15">
        <f>$I$1/3</f>
        <v>8.3333333333333339</v>
      </c>
      <c r="E7" s="12">
        <f>$G$1</f>
        <v>178</v>
      </c>
      <c r="F7" s="13">
        <v>1</v>
      </c>
      <c r="G7" s="12">
        <f>E7*D7</f>
        <v>1483.3333333333335</v>
      </c>
      <c r="H7" s="86">
        <f>G7*F7</f>
        <v>1483.3333333333335</v>
      </c>
      <c r="I7" s="11">
        <f>VLOOKUP(B7,Ordering!$A$1:$J$36,6,FALSE)</f>
        <v>1</v>
      </c>
      <c r="J7" s="11">
        <f>VLOOKUP(B7,Ordering!$A$1:$J$36,10,FALSE)</f>
        <v>4.2</v>
      </c>
      <c r="K7" s="15">
        <f t="shared" si="0"/>
        <v>1.4833333333333334</v>
      </c>
      <c r="L7" s="64">
        <f t="shared" si="1"/>
        <v>6.23</v>
      </c>
    </row>
    <row r="8" spans="1:25" x14ac:dyDescent="0.3">
      <c r="R8" s="48" t="s">
        <v>195</v>
      </c>
      <c r="V8" s="98" t="s">
        <v>251</v>
      </c>
      <c r="W8" s="99">
        <v>1</v>
      </c>
      <c r="X8" s="98" t="s">
        <v>16</v>
      </c>
      <c r="Y8" s="100">
        <f>SUM(L5:L7)/S15</f>
        <v>0.12</v>
      </c>
    </row>
    <row r="10" spans="1:25" x14ac:dyDescent="0.3">
      <c r="R10" s="108" t="s">
        <v>61</v>
      </c>
      <c r="S10" s="109"/>
    </row>
    <row r="11" spans="1:25" x14ac:dyDescent="0.3">
      <c r="N11" s="22"/>
      <c r="R11" s="106" t="s">
        <v>20</v>
      </c>
      <c r="S11" s="107"/>
    </row>
    <row r="12" spans="1:25" ht="14.75" customHeight="1" thickBot="1" x14ac:dyDescent="0.35">
      <c r="N12" s="22"/>
      <c r="O12" s="22"/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'Coctail Sauce Weight (2)'!S13</f>
        <v>176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178</v>
      </c>
    </row>
    <row r="16" spans="1:25" x14ac:dyDescent="0.3">
      <c r="R16" s="96" t="s">
        <v>16</v>
      </c>
      <c r="S16" s="97">
        <f>SUM(L5:L7)</f>
        <v>21.36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12F80-FE27-4191-BA89-394BEDE82487}">
  <sheetPr codeName="Sheet22">
    <tabColor theme="6" tint="-0.249977111117893"/>
    <pageSetUpPr fitToPage="1"/>
  </sheetPr>
  <dimension ref="A1:S27"/>
  <sheetViews>
    <sheetView topLeftCell="I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160</v>
      </c>
      <c r="F1" s="17" t="s">
        <v>2</v>
      </c>
      <c r="G1" s="10">
        <f>D1/B1</f>
        <v>160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4"/>
      <c r="B2" s="110" t="s">
        <v>74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5"/>
      <c r="B3" s="113" t="s">
        <v>271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54</v>
      </c>
      <c r="C5" s="16" t="s">
        <v>18</v>
      </c>
      <c r="D5" s="15">
        <f t="shared" ref="D5:D10" si="0">N5/$N$12</f>
        <v>20.923913043478262</v>
      </c>
      <c r="E5" s="12">
        <f t="shared" ref="E5:E10" si="1">$G$1</f>
        <v>160</v>
      </c>
      <c r="F5" s="13">
        <v>1</v>
      </c>
      <c r="G5" s="12">
        <f t="shared" ref="G5:G10" si="2">E5*D5</f>
        <v>3347.826086956522</v>
      </c>
      <c r="H5" s="86">
        <f t="shared" ref="H5:H10" si="3">G5*F5</f>
        <v>3347.826086956522</v>
      </c>
      <c r="I5" s="11">
        <f>VLOOKUP(B5,Ordering!$A$1:$J$36,6,FALSE)</f>
        <v>1</v>
      </c>
      <c r="J5" s="11">
        <f>VLOOKUP(B5,Ordering!$A$1:$J$36,10,FALSE)</f>
        <v>6.6959999999999997</v>
      </c>
      <c r="K5" s="11">
        <f>H5/I5</f>
        <v>3347.826086956522</v>
      </c>
      <c r="L5" s="64">
        <f>J5*K5</f>
        <v>22417.043478260872</v>
      </c>
      <c r="N5">
        <v>5500</v>
      </c>
    </row>
    <row r="6" spans="1:19" ht="14.5" x14ac:dyDescent="0.35">
      <c r="A6" s="11"/>
      <c r="B6" s="11" t="s">
        <v>58</v>
      </c>
      <c r="C6" s="16" t="s">
        <v>18</v>
      </c>
      <c r="D6" s="15">
        <f t="shared" si="0"/>
        <v>5.6190217391304351</v>
      </c>
      <c r="E6" s="12">
        <f t="shared" si="1"/>
        <v>160</v>
      </c>
      <c r="F6" s="13">
        <v>1</v>
      </c>
      <c r="G6" s="12">
        <f t="shared" si="2"/>
        <v>899.04347826086962</v>
      </c>
      <c r="H6" s="86">
        <f t="shared" si="3"/>
        <v>899.04347826086962</v>
      </c>
      <c r="I6" s="11">
        <f>VLOOKUP(B6,Ordering!$A$1:$J$36,6,FALSE)</f>
        <v>0.8</v>
      </c>
      <c r="J6" s="11">
        <f>VLOOKUP(B6,Ordering!$A$1:$J$36,10,FALSE)</f>
        <v>3</v>
      </c>
      <c r="K6" s="11">
        <f t="shared" ref="K6:K10" si="4">H6/I6</f>
        <v>1123.804347826087</v>
      </c>
      <c r="L6" s="64">
        <f t="shared" ref="L6:L10" si="5">J6*K6</f>
        <v>3371.413043478261</v>
      </c>
      <c r="N6">
        <v>1477</v>
      </c>
    </row>
    <row r="7" spans="1:19" ht="14.5" x14ac:dyDescent="0.35">
      <c r="A7" s="11"/>
      <c r="B7" s="11" t="s">
        <v>51</v>
      </c>
      <c r="C7" s="16" t="s">
        <v>18</v>
      </c>
      <c r="D7" s="15">
        <f t="shared" si="0"/>
        <v>5.744565217391305E-2</v>
      </c>
      <c r="E7" s="12">
        <f t="shared" si="1"/>
        <v>160</v>
      </c>
      <c r="F7" s="13">
        <v>1</v>
      </c>
      <c r="G7" s="12">
        <f t="shared" si="2"/>
        <v>9.1913043478260885</v>
      </c>
      <c r="H7" s="86">
        <f t="shared" si="3"/>
        <v>9.1913043478260885</v>
      </c>
      <c r="I7" s="11">
        <f>VLOOKUP(B7,Ordering!$A$1:$J$36,6,FALSE)</f>
        <v>1</v>
      </c>
      <c r="J7" s="11">
        <f>VLOOKUP(B7,Ordering!$A$1:$J$36,10,FALSE)</f>
        <v>8</v>
      </c>
      <c r="K7" s="11">
        <f t="shared" si="4"/>
        <v>9.1913043478260885</v>
      </c>
      <c r="L7" s="64">
        <f t="shared" si="5"/>
        <v>73.530434782608708</v>
      </c>
      <c r="N7">
        <v>15.1</v>
      </c>
      <c r="R7" s="48" t="s">
        <v>138</v>
      </c>
    </row>
    <row r="8" spans="1:19" ht="14.5" x14ac:dyDescent="0.35">
      <c r="A8" s="11"/>
      <c r="B8" s="11" t="s">
        <v>211</v>
      </c>
      <c r="C8" s="16" t="s">
        <v>18</v>
      </c>
      <c r="D8" s="15">
        <f t="shared" si="0"/>
        <v>1.9402173913043479E-2</v>
      </c>
      <c r="E8" s="12">
        <f t="shared" si="1"/>
        <v>160</v>
      </c>
      <c r="F8" s="13">
        <v>1</v>
      </c>
      <c r="G8" s="12">
        <f t="shared" si="2"/>
        <v>3.1043478260869568</v>
      </c>
      <c r="H8" s="86">
        <f t="shared" si="3"/>
        <v>3.1043478260869568</v>
      </c>
      <c r="I8" s="11">
        <f>VLOOKUP(B8,Ordering!$A$1:$J$36,6,FALSE)</f>
        <v>1</v>
      </c>
      <c r="J8" s="11">
        <f>VLOOKUP(B8,Ordering!$A$1:$J$36,10,FALSE)</f>
        <v>20</v>
      </c>
      <c r="K8" s="11">
        <f t="shared" si="4"/>
        <v>3.1043478260869568</v>
      </c>
      <c r="L8" s="64">
        <f t="shared" si="5"/>
        <v>62.08695652173914</v>
      </c>
      <c r="N8">
        <v>5.0999999999999996</v>
      </c>
    </row>
    <row r="9" spans="1:19" ht="14.5" x14ac:dyDescent="0.35">
      <c r="A9" s="11"/>
      <c r="B9" s="11" t="s">
        <v>53</v>
      </c>
      <c r="C9" s="16" t="s">
        <v>212</v>
      </c>
      <c r="D9" s="15">
        <f t="shared" si="0"/>
        <v>9.5108695652173925</v>
      </c>
      <c r="E9" s="12">
        <f t="shared" si="1"/>
        <v>160</v>
      </c>
      <c r="F9" s="13">
        <v>1</v>
      </c>
      <c r="G9" s="12">
        <f t="shared" si="2"/>
        <v>1521.7391304347827</v>
      </c>
      <c r="H9" s="86">
        <f t="shared" si="3"/>
        <v>1521.7391304347827</v>
      </c>
      <c r="I9" s="11">
        <f>VLOOKUP(B9,Ordering!$A$1:$J$36,6,FALSE)</f>
        <v>1</v>
      </c>
      <c r="J9" s="11">
        <f>VLOOKUP(B9,Ordering!$A$1:$J$36,10,FALSE)</f>
        <v>0</v>
      </c>
      <c r="K9" s="11">
        <f t="shared" si="4"/>
        <v>1521.7391304347827</v>
      </c>
      <c r="L9" s="64">
        <f t="shared" si="5"/>
        <v>0</v>
      </c>
      <c r="N9">
        <v>2500</v>
      </c>
    </row>
    <row r="10" spans="1:19" ht="14.5" x14ac:dyDescent="0.35">
      <c r="A10" s="11"/>
      <c r="B10" s="11" t="s">
        <v>52</v>
      </c>
      <c r="C10" s="16" t="s">
        <v>18</v>
      </c>
      <c r="D10" s="15">
        <f t="shared" si="0"/>
        <v>7.9891304347826098E-2</v>
      </c>
      <c r="E10" s="12">
        <f t="shared" si="1"/>
        <v>160</v>
      </c>
      <c r="F10" s="13">
        <v>1</v>
      </c>
      <c r="G10" s="12">
        <f t="shared" si="2"/>
        <v>12.782608695652176</v>
      </c>
      <c r="H10" s="86">
        <f t="shared" si="3"/>
        <v>12.782608695652176</v>
      </c>
      <c r="I10" s="11">
        <f>VLOOKUP(B10,Ordering!$A$1:$J$36,6,FALSE)</f>
        <v>1</v>
      </c>
      <c r="J10" s="11">
        <f>VLOOKUP(B10,Ordering!$A$1:$J$36,10,FALSE)</f>
        <v>0.74</v>
      </c>
      <c r="K10" s="11">
        <f t="shared" si="4"/>
        <v>12.782608695652176</v>
      </c>
      <c r="L10" s="64">
        <f t="shared" si="5"/>
        <v>9.45913043478261</v>
      </c>
      <c r="N10">
        <v>21</v>
      </c>
      <c r="R10" s="108" t="s">
        <v>62</v>
      </c>
      <c r="S10" s="109"/>
    </row>
    <row r="11" spans="1:19" x14ac:dyDescent="0.3">
      <c r="M11" s="24" t="s">
        <v>19</v>
      </c>
      <c r="N11" s="22">
        <v>9200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>
        <f>N11/I1</f>
        <v>262.85714285714283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158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160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6" tint="-0.249977111117893"/>
    <pageSetUpPr fitToPage="1"/>
  </sheetPr>
  <dimension ref="A1:Y34"/>
  <sheetViews>
    <sheetView topLeftCell="K1" zoomScale="145" zoomScaleNormal="14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162</v>
      </c>
      <c r="F1" s="17" t="s">
        <v>2</v>
      </c>
      <c r="G1" s="10">
        <f>D1/B1</f>
        <v>162</v>
      </c>
      <c r="H1" s="17" t="s">
        <v>3</v>
      </c>
      <c r="I1" s="21">
        <v>20</v>
      </c>
      <c r="J1" s="1"/>
      <c r="K1" s="23" t="s">
        <v>4</v>
      </c>
    </row>
    <row r="2" spans="1:25" ht="14.25" customHeight="1" x14ac:dyDescent="0.3">
      <c r="A2" s="56"/>
      <c r="B2" s="111" t="s">
        <v>64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25" ht="14.25" customHeight="1" x14ac:dyDescent="0.3">
      <c r="A3" s="58"/>
      <c r="B3" s="114" t="s">
        <v>272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208</v>
      </c>
      <c r="C5" s="16" t="s">
        <v>18</v>
      </c>
      <c r="D5" s="15">
        <f>N5/$N$12</f>
        <v>0.52937293729372936</v>
      </c>
      <c r="E5" s="12">
        <f>$G$1</f>
        <v>162</v>
      </c>
      <c r="F5" s="13">
        <v>1</v>
      </c>
      <c r="G5" s="12">
        <f>E5*D5</f>
        <v>85.758415841584153</v>
      </c>
      <c r="H5" s="86">
        <f>G5*F5</f>
        <v>85.758415841584153</v>
      </c>
      <c r="I5" s="11">
        <f>VLOOKUP(B5,Ordering!$A$1:$J$36,6,FALSE)</f>
        <v>0.71</v>
      </c>
      <c r="J5" s="15">
        <f>VLOOKUP(B5,Ordering!$A$1:$J$36,10,FALSE)</f>
        <v>3</v>
      </c>
      <c r="K5" s="15">
        <f t="shared" ref="K5:K8" si="0">((H5/(I5))/1000)</f>
        <v>0.1207865011853298</v>
      </c>
      <c r="L5" s="91">
        <f>J5*K5</f>
        <v>0.36235950355598939</v>
      </c>
      <c r="N5">
        <v>80.2</v>
      </c>
      <c r="O5">
        <v>102</v>
      </c>
    </row>
    <row r="6" spans="1:25" ht="14.5" x14ac:dyDescent="0.35">
      <c r="A6" s="11"/>
      <c r="B6" s="11" t="s">
        <v>54</v>
      </c>
      <c r="C6" s="16" t="s">
        <v>18</v>
      </c>
      <c r="D6" s="15">
        <f>N6/$N$12</f>
        <v>19.537953795379536</v>
      </c>
      <c r="E6" s="12">
        <f>$G$1</f>
        <v>162</v>
      </c>
      <c r="F6" s="13">
        <v>1</v>
      </c>
      <c r="G6" s="12">
        <f>E6*D6</f>
        <v>3165.1485148514848</v>
      </c>
      <c r="H6" s="86">
        <f>G6*F6</f>
        <v>3165.1485148514848</v>
      </c>
      <c r="I6" s="11">
        <f>VLOOKUP(B6,Ordering!$A$1:$J$36,6,FALSE)</f>
        <v>1</v>
      </c>
      <c r="J6" s="15">
        <f>VLOOKUP(B6,Ordering!$A$1:$J$36,10,FALSE)</f>
        <v>6.6959999999999997</v>
      </c>
      <c r="K6" s="15">
        <f t="shared" si="0"/>
        <v>3.1651485148514849</v>
      </c>
      <c r="L6" s="91">
        <f t="shared" ref="L6:L8" si="1">J6*K6</f>
        <v>21.193834455445543</v>
      </c>
      <c r="N6">
        <v>2960</v>
      </c>
      <c r="O6">
        <v>3280</v>
      </c>
    </row>
    <row r="7" spans="1:25" ht="14.5" x14ac:dyDescent="0.35">
      <c r="A7" s="11"/>
      <c r="B7" s="11" t="s">
        <v>52</v>
      </c>
      <c r="C7" s="16" t="s">
        <v>18</v>
      </c>
      <c r="D7" s="15">
        <f>N7/$N$12</f>
        <v>5.2805280528052806E-2</v>
      </c>
      <c r="E7" s="12">
        <f>$G$1</f>
        <v>162</v>
      </c>
      <c r="F7" s="13">
        <v>1</v>
      </c>
      <c r="G7" s="12">
        <f>E7*D7</f>
        <v>8.5544554455445549</v>
      </c>
      <c r="H7" s="86">
        <f>G7*F7</f>
        <v>8.5544554455445549</v>
      </c>
      <c r="I7" s="11">
        <f>VLOOKUP(B7,Ordering!$A$1:$J$36,6,FALSE)</f>
        <v>1</v>
      </c>
      <c r="J7" s="15">
        <f>VLOOKUP(B7,Ordering!$A$1:$J$36,10,FALSE)</f>
        <v>0.74</v>
      </c>
      <c r="K7" s="15">
        <f t="shared" si="0"/>
        <v>8.5544554455445551E-3</v>
      </c>
      <c r="L7" s="91">
        <f t="shared" si="1"/>
        <v>6.3302970297029705E-3</v>
      </c>
      <c r="N7">
        <v>8</v>
      </c>
      <c r="O7">
        <v>11</v>
      </c>
    </row>
    <row r="8" spans="1:25" ht="14.5" x14ac:dyDescent="0.35">
      <c r="A8" s="11"/>
      <c r="B8" s="11" t="s">
        <v>55</v>
      </c>
      <c r="C8" s="16" t="s">
        <v>18</v>
      </c>
      <c r="D8" s="15">
        <f>N8/$N$12</f>
        <v>2.6402640264026403E-2</v>
      </c>
      <c r="E8" s="12">
        <f>$G$1</f>
        <v>162</v>
      </c>
      <c r="F8" s="13">
        <v>1</v>
      </c>
      <c r="G8" s="12">
        <f>E8*D8</f>
        <v>4.2772277227722775</v>
      </c>
      <c r="H8" s="86">
        <f>G8*F8</f>
        <v>4.2772277227722775</v>
      </c>
      <c r="I8" s="11">
        <f>VLOOKUP(B8,Ordering!$A$1:$J$36,6,FALSE)</f>
        <v>1</v>
      </c>
      <c r="J8" s="15">
        <f>VLOOKUP(B8,Ordering!$A$1:$J$36,10,FALSE)</f>
        <v>47</v>
      </c>
      <c r="K8" s="15">
        <f t="shared" si="0"/>
        <v>4.2772277227722776E-3</v>
      </c>
      <c r="L8" s="91">
        <f t="shared" si="1"/>
        <v>0.20102970297029704</v>
      </c>
      <c r="N8">
        <v>4</v>
      </c>
      <c r="O8">
        <v>5</v>
      </c>
      <c r="R8" s="48" t="s">
        <v>196</v>
      </c>
      <c r="V8" s="98" t="s">
        <v>251</v>
      </c>
      <c r="W8" s="99">
        <v>1</v>
      </c>
      <c r="X8" s="98" t="s">
        <v>16</v>
      </c>
      <c r="Y8" s="100">
        <f>SUM(L5:L8)/S15</f>
        <v>0.13434292567284895</v>
      </c>
    </row>
    <row r="9" spans="1:25" x14ac:dyDescent="0.3">
      <c r="A9" s="11"/>
    </row>
    <row r="10" spans="1:25" x14ac:dyDescent="0.3">
      <c r="A10" s="11"/>
      <c r="R10" s="108" t="s">
        <v>62</v>
      </c>
      <c r="S10" s="109"/>
    </row>
    <row r="11" spans="1:25" x14ac:dyDescent="0.3">
      <c r="M11" s="24" t="s">
        <v>19</v>
      </c>
      <c r="N11" s="22">
        <v>3030</v>
      </c>
      <c r="O11">
        <v>3480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>
        <f>N11/I1</f>
        <v>151.5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74+86</f>
        <v>160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162</v>
      </c>
    </row>
    <row r="16" spans="1:25" x14ac:dyDescent="0.3">
      <c r="R16" s="96" t="s">
        <v>16</v>
      </c>
      <c r="S16" s="97">
        <f>SUM(L5:L8)</f>
        <v>21.763553959001531</v>
      </c>
    </row>
    <row r="25" spans="8:11" x14ac:dyDescent="0.3">
      <c r="H25" t="s">
        <v>96</v>
      </c>
    </row>
    <row r="27" spans="8:11" x14ac:dyDescent="0.3">
      <c r="K27" s="20"/>
    </row>
    <row r="28" spans="8:11" x14ac:dyDescent="0.3">
      <c r="H28" t="s">
        <v>97</v>
      </c>
    </row>
    <row r="30" spans="8:11" x14ac:dyDescent="0.3">
      <c r="H30" t="s">
        <v>98</v>
      </c>
    </row>
    <row r="31" spans="8:11" x14ac:dyDescent="0.3">
      <c r="H31" t="s">
        <v>99</v>
      </c>
    </row>
    <row r="33" spans="8:8" x14ac:dyDescent="0.3">
      <c r="H33" t="s">
        <v>100</v>
      </c>
    </row>
    <row r="34" spans="8:8" x14ac:dyDescent="0.3">
      <c r="H34" t="s">
        <v>101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theme="6" tint="-0.249977111117893"/>
    <pageSetUpPr fitToPage="1"/>
  </sheetPr>
  <dimension ref="A1:Y27"/>
  <sheetViews>
    <sheetView topLeftCell="P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340</v>
      </c>
      <c r="F1" s="17" t="s">
        <v>2</v>
      </c>
      <c r="G1" s="10">
        <f>D1/B1</f>
        <v>340</v>
      </c>
      <c r="H1" s="17" t="s">
        <v>3</v>
      </c>
      <c r="I1" s="21">
        <v>35</v>
      </c>
      <c r="J1" s="1"/>
      <c r="K1" s="23" t="s">
        <v>4</v>
      </c>
    </row>
    <row r="2" spans="1:25" ht="14.25" customHeight="1" x14ac:dyDescent="0.3">
      <c r="A2" s="56"/>
      <c r="B2" s="111" t="s">
        <v>102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25" ht="14.25" customHeight="1" x14ac:dyDescent="0.3">
      <c r="A3" s="58"/>
      <c r="B3" s="114" t="s">
        <v>273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210</v>
      </c>
      <c r="C5" s="16" t="s">
        <v>18</v>
      </c>
      <c r="D5" s="15">
        <f t="shared" ref="D5:D10" si="0">N5/$N$12</f>
        <v>0.28843750000000001</v>
      </c>
      <c r="E5" s="12">
        <f t="shared" ref="E5:E10" si="1">$G$1</f>
        <v>340</v>
      </c>
      <c r="F5" s="13">
        <v>1</v>
      </c>
      <c r="G5" s="12">
        <f t="shared" ref="G5:G10" si="2">E5*D5</f>
        <v>98.068750000000009</v>
      </c>
      <c r="H5" s="86">
        <f t="shared" ref="H5:H10" si="3">G5*F5</f>
        <v>98.068750000000009</v>
      </c>
      <c r="I5" s="11">
        <f>VLOOKUP(B5,Ordering!$A$1:$J$36,6,FALSE)</f>
        <v>0.43</v>
      </c>
      <c r="J5" s="92">
        <f>VLOOKUP(B5,Ordering!$A$1:$J$36,10,FALSE)</f>
        <v>3.333333333333333</v>
      </c>
      <c r="K5" s="92">
        <f t="shared" ref="K5:K10" si="4">((H5/(I5))/1000)</f>
        <v>0.22806686046511629</v>
      </c>
      <c r="L5" s="93">
        <f>J5*K5</f>
        <v>0.7602228682170542</v>
      </c>
      <c r="N5">
        <v>92.3</v>
      </c>
    </row>
    <row r="6" spans="1:25" ht="14.5" x14ac:dyDescent="0.35">
      <c r="A6" s="11"/>
      <c r="B6" s="11" t="s">
        <v>209</v>
      </c>
      <c r="C6" s="16" t="s">
        <v>18</v>
      </c>
      <c r="D6" s="15">
        <f t="shared" si="0"/>
        <v>0.2290625</v>
      </c>
      <c r="E6" s="12">
        <f t="shared" si="1"/>
        <v>340</v>
      </c>
      <c r="F6" s="13">
        <v>1</v>
      </c>
      <c r="G6" s="12">
        <f t="shared" si="2"/>
        <v>77.881249999999994</v>
      </c>
      <c r="H6" s="86">
        <f t="shared" si="3"/>
        <v>77.881249999999994</v>
      </c>
      <c r="I6" s="11">
        <f>VLOOKUP(B6,Ordering!$A$1:$J$36,6,FALSE)</f>
        <v>0.94</v>
      </c>
      <c r="J6" s="92">
        <f>VLOOKUP(B6,Ordering!$A$1:$J$36,10,FALSE)</f>
        <v>3.6363636363636367</v>
      </c>
      <c r="K6" s="92">
        <f t="shared" si="4"/>
        <v>8.2852393617021278E-2</v>
      </c>
      <c r="L6" s="93">
        <f t="shared" ref="L6:L10" si="5">J6*K6</f>
        <v>0.30128143133462287</v>
      </c>
      <c r="N6">
        <v>73.3</v>
      </c>
    </row>
    <row r="7" spans="1:25" ht="23" x14ac:dyDescent="0.5">
      <c r="A7" s="11"/>
      <c r="B7" s="11" t="s">
        <v>54</v>
      </c>
      <c r="C7" s="16" t="s">
        <v>18</v>
      </c>
      <c r="D7" s="15">
        <f t="shared" si="0"/>
        <v>21.875</v>
      </c>
      <c r="E7" s="12">
        <f t="shared" si="1"/>
        <v>340</v>
      </c>
      <c r="F7" s="13">
        <v>1</v>
      </c>
      <c r="G7" s="12">
        <f t="shared" si="2"/>
        <v>7437.5</v>
      </c>
      <c r="H7" s="86">
        <f t="shared" si="3"/>
        <v>7437.5</v>
      </c>
      <c r="I7" s="11">
        <f>VLOOKUP(B7,Ordering!$A$1:$J$36,6,FALSE)</f>
        <v>1</v>
      </c>
      <c r="J7" s="92">
        <f>VLOOKUP(B7,Ordering!$A$1:$J$36,10,FALSE)</f>
        <v>6.6959999999999997</v>
      </c>
      <c r="K7" s="92">
        <f t="shared" si="4"/>
        <v>7.4375</v>
      </c>
      <c r="L7" s="93">
        <f t="shared" si="5"/>
        <v>49.801499999999997</v>
      </c>
      <c r="N7">
        <v>7000</v>
      </c>
      <c r="R7" s="59" t="s">
        <v>206</v>
      </c>
    </row>
    <row r="8" spans="1:25" ht="14.5" x14ac:dyDescent="0.35">
      <c r="A8" s="11"/>
      <c r="B8" s="11" t="s">
        <v>51</v>
      </c>
      <c r="C8" s="16" t="s">
        <v>18</v>
      </c>
      <c r="D8" s="15">
        <f t="shared" si="0"/>
        <v>3.125E-2</v>
      </c>
      <c r="E8" s="12">
        <f t="shared" si="1"/>
        <v>340</v>
      </c>
      <c r="F8" s="13">
        <v>1</v>
      </c>
      <c r="G8" s="12">
        <f t="shared" si="2"/>
        <v>10.625</v>
      </c>
      <c r="H8" s="86">
        <f t="shared" si="3"/>
        <v>10.625</v>
      </c>
      <c r="I8" s="11">
        <f>VLOOKUP(B8,Ordering!$A$1:$J$36,6,FALSE)</f>
        <v>1</v>
      </c>
      <c r="J8" s="92">
        <f>VLOOKUP(B8,Ordering!$A$1:$J$36,10,FALSE)</f>
        <v>8</v>
      </c>
      <c r="K8" s="92">
        <f t="shared" si="4"/>
        <v>1.0625000000000001E-2</v>
      </c>
      <c r="L8" s="93">
        <f t="shared" si="5"/>
        <v>8.5000000000000006E-2</v>
      </c>
      <c r="N8">
        <v>10</v>
      </c>
      <c r="V8" s="98" t="s">
        <v>251</v>
      </c>
      <c r="W8" s="99">
        <v>1</v>
      </c>
      <c r="X8" s="98" t="s">
        <v>16</v>
      </c>
      <c r="Y8" s="100">
        <f>SUM(L5:L10)/S15</f>
        <v>0.14993957146926964</v>
      </c>
    </row>
    <row r="9" spans="1:25" ht="14.5" x14ac:dyDescent="0.35">
      <c r="A9" s="11"/>
      <c r="B9" s="11" t="s">
        <v>53</v>
      </c>
      <c r="C9" s="16" t="s">
        <v>212</v>
      </c>
      <c r="D9" s="15">
        <f t="shared" si="0"/>
        <v>12.5</v>
      </c>
      <c r="E9" s="12">
        <f t="shared" si="1"/>
        <v>340</v>
      </c>
      <c r="F9" s="13">
        <v>1</v>
      </c>
      <c r="G9" s="12">
        <f t="shared" si="2"/>
        <v>4250</v>
      </c>
      <c r="H9" s="86">
        <f t="shared" si="3"/>
        <v>4250</v>
      </c>
      <c r="I9" s="11">
        <f>VLOOKUP(B9,Ordering!$A$1:$J$36,6,FALSE)</f>
        <v>1</v>
      </c>
      <c r="J9" s="92">
        <f>VLOOKUP(B9,Ordering!$A$1:$J$36,10,FALSE)</f>
        <v>0</v>
      </c>
      <c r="K9" s="92">
        <f t="shared" si="4"/>
        <v>4.25</v>
      </c>
      <c r="L9" s="93">
        <f t="shared" si="5"/>
        <v>0</v>
      </c>
      <c r="N9">
        <v>4000</v>
      </c>
    </row>
    <row r="10" spans="1:25" ht="14.5" x14ac:dyDescent="0.35">
      <c r="A10" s="11"/>
      <c r="B10" s="11" t="s">
        <v>52</v>
      </c>
      <c r="C10" s="16" t="s">
        <v>18</v>
      </c>
      <c r="D10" s="15">
        <f t="shared" si="0"/>
        <v>0.125</v>
      </c>
      <c r="E10" s="12">
        <f t="shared" si="1"/>
        <v>340</v>
      </c>
      <c r="F10" s="13">
        <v>1</v>
      </c>
      <c r="G10" s="12">
        <f t="shared" si="2"/>
        <v>42.5</v>
      </c>
      <c r="H10" s="86">
        <f t="shared" si="3"/>
        <v>42.5</v>
      </c>
      <c r="I10" s="11">
        <f>VLOOKUP(B10,Ordering!$A$1:$J$36,6,FALSE)</f>
        <v>1</v>
      </c>
      <c r="J10" s="92">
        <f>VLOOKUP(B10,Ordering!$A$1:$J$36,10,FALSE)</f>
        <v>0.74</v>
      </c>
      <c r="K10" s="92">
        <f t="shared" si="4"/>
        <v>4.2500000000000003E-2</v>
      </c>
      <c r="L10" s="93">
        <f t="shared" si="5"/>
        <v>3.1449999999999999E-2</v>
      </c>
      <c r="N10">
        <v>40</v>
      </c>
      <c r="R10" s="108" t="s">
        <v>62</v>
      </c>
      <c r="S10" s="109"/>
    </row>
    <row r="11" spans="1:25" x14ac:dyDescent="0.3">
      <c r="M11" s="24" t="s">
        <v>19</v>
      </c>
      <c r="N11" s="22">
        <v>11200</v>
      </c>
      <c r="R11" s="106" t="s">
        <v>63</v>
      </c>
      <c r="S11" s="107"/>
    </row>
    <row r="12" spans="1:25" ht="14.75" customHeight="1" thickBot="1" x14ac:dyDescent="0.35">
      <c r="M12" s="24" t="s">
        <v>21</v>
      </c>
      <c r="N12" s="22">
        <f>N11/I1</f>
        <v>320</v>
      </c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v>338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340</v>
      </c>
    </row>
    <row r="16" spans="1:25" x14ac:dyDescent="0.3">
      <c r="R16" s="96" t="s">
        <v>16</v>
      </c>
      <c r="S16" s="97">
        <f>SUM(L5:L10)</f>
        <v>50.979454299551676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9AB27-34FF-47E0-B2F5-436D10010B97}">
  <sheetPr codeName="Sheet23">
    <tabColor theme="6" tint="-0.249977111117893"/>
    <pageSetUpPr fitToPage="1"/>
  </sheetPr>
  <dimension ref="A1:S30"/>
  <sheetViews>
    <sheetView topLeftCell="M1" zoomScale="70" zoomScaleNormal="70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9" max="19" width="8.5" bestFit="1" customWidth="1"/>
  </cols>
  <sheetData>
    <row r="1" spans="1:19" ht="25" x14ac:dyDescent="0.3">
      <c r="A1" s="17" t="s">
        <v>0</v>
      </c>
      <c r="B1" s="9">
        <v>1</v>
      </c>
      <c r="E1" s="17" t="s">
        <v>1</v>
      </c>
      <c r="F1" s="10">
        <f>S15</f>
        <v>181</v>
      </c>
      <c r="H1" s="17" t="s">
        <v>2</v>
      </c>
      <c r="I1" s="10">
        <f>F1/B1</f>
        <v>181</v>
      </c>
      <c r="J1" s="1"/>
      <c r="K1" s="18" t="s">
        <v>4</v>
      </c>
    </row>
    <row r="2" spans="1:19" ht="14.25" customHeight="1" x14ac:dyDescent="0.3">
      <c r="A2" s="56"/>
      <c r="B2" s="111" t="s">
        <v>263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274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1500/93</f>
        <v>16.129032258064516</v>
      </c>
      <c r="E5" s="12">
        <f>$I$1</f>
        <v>181</v>
      </c>
      <c r="F5" s="13">
        <v>1</v>
      </c>
      <c r="G5" s="12">
        <f>E5*D5</f>
        <v>2919.3548387096776</v>
      </c>
      <c r="H5" s="86">
        <f>G5*F5</f>
        <v>2919.3548387096776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2919.3548387096776</v>
      </c>
      <c r="L5" s="64">
        <f>J5*K5</f>
        <v>18739.102005231038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20/93</f>
        <v>0.21505376344086022</v>
      </c>
      <c r="E6" s="12">
        <f>$I$1</f>
        <v>181</v>
      </c>
      <c r="F6" s="13">
        <v>1</v>
      </c>
      <c r="G6" s="12">
        <f>E6*D6</f>
        <v>38.924731182795696</v>
      </c>
      <c r="H6" s="86">
        <f>G6*F6</f>
        <v>38.924731182795696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38.924731182795696</v>
      </c>
      <c r="L6" s="64">
        <f t="shared" ref="L6:L8" si="1">J6*K6</f>
        <v>126.50537634408602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50/93</f>
        <v>0.5376344086021505</v>
      </c>
      <c r="E7" s="12">
        <f>$I$1</f>
        <v>181</v>
      </c>
      <c r="F7" s="13">
        <v>1</v>
      </c>
      <c r="G7" s="12">
        <f>E7*D7</f>
        <v>97.311827956989248</v>
      </c>
      <c r="H7" s="86">
        <f>G7*F7</f>
        <v>97.311827956989248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97.311827956989248</v>
      </c>
      <c r="L7" s="64">
        <f t="shared" si="1"/>
        <v>1094.1144677703817</v>
      </c>
      <c r="M7">
        <v>100</v>
      </c>
      <c r="S7" s="48"/>
    </row>
    <row r="8" spans="1:19" ht="14.5" x14ac:dyDescent="0.35">
      <c r="A8" s="11"/>
      <c r="B8" s="11" t="s">
        <v>94</v>
      </c>
      <c r="C8" s="16" t="s">
        <v>212</v>
      </c>
      <c r="D8" s="15">
        <f>150/93</f>
        <v>1.6129032258064515</v>
      </c>
      <c r="E8" s="12">
        <f>$I$1</f>
        <v>181</v>
      </c>
      <c r="F8" s="13">
        <v>1</v>
      </c>
      <c r="G8" s="12">
        <f>E8*D8</f>
        <v>291.93548387096774</v>
      </c>
      <c r="H8" s="86">
        <f>G8*F8</f>
        <v>291.93548387096774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291.93548387096774</v>
      </c>
      <c r="L8" s="64">
        <f t="shared" si="1"/>
        <v>17132.364076934726</v>
      </c>
      <c r="M8">
        <v>150</v>
      </c>
    </row>
    <row r="9" spans="1:19" x14ac:dyDescent="0.3">
      <c r="I9" s="11"/>
      <c r="J9" s="11"/>
      <c r="K9" s="11"/>
      <c r="L9" s="64"/>
      <c r="S9" s="48" t="s">
        <v>73</v>
      </c>
    </row>
    <row r="10" spans="1:19" x14ac:dyDescent="0.3">
      <c r="I10" s="11"/>
      <c r="J10" s="11"/>
      <c r="K10" s="11"/>
      <c r="L10" s="64"/>
      <c r="M10">
        <f>SUM(M5:M9)</f>
        <v>2770</v>
      </c>
      <c r="R10" s="108" t="s">
        <v>62</v>
      </c>
      <c r="S10" s="109"/>
    </row>
    <row r="11" spans="1:19" x14ac:dyDescent="0.3">
      <c r="M11" s="19">
        <f>M10/30</f>
        <v>92.333333333333329</v>
      </c>
      <c r="R11" s="106" t="s">
        <v>63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179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181</v>
      </c>
    </row>
    <row r="25" spans="10:11" x14ac:dyDescent="0.3">
      <c r="J25" t="s">
        <v>66</v>
      </c>
      <c r="K25" t="s">
        <v>67</v>
      </c>
    </row>
    <row r="26" spans="10:11" x14ac:dyDescent="0.3">
      <c r="J26" t="s">
        <v>68</v>
      </c>
      <c r="K26" t="s">
        <v>38</v>
      </c>
    </row>
    <row r="27" spans="10:11" x14ac:dyDescent="0.3">
      <c r="J27" t="s">
        <v>69</v>
      </c>
      <c r="K27" s="20" t="s">
        <v>70</v>
      </c>
    </row>
    <row r="28" spans="10:11" x14ac:dyDescent="0.3">
      <c r="J28" t="s">
        <v>71</v>
      </c>
    </row>
    <row r="29" spans="10:11" x14ac:dyDescent="0.3">
      <c r="J29" t="s">
        <v>72</v>
      </c>
    </row>
    <row r="30" spans="10:11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6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A9A2A-DCFE-45B3-8E71-38F33379CE61}">
  <sheetPr codeName="Sheet33">
    <tabColor theme="6" tint="-0.249977111117893"/>
    <pageSetUpPr fitToPage="1"/>
  </sheetPr>
  <dimension ref="A1:S30"/>
  <sheetViews>
    <sheetView topLeftCell="O1" zoomScale="115" zoomScaleNormal="11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8" max="18" width="22.4140625" customWidth="1"/>
    <col min="19" max="19" width="14.83203125" customWidth="1"/>
  </cols>
  <sheetData>
    <row r="1" spans="1:19" ht="25" x14ac:dyDescent="0.3">
      <c r="A1" s="17" t="s">
        <v>142</v>
      </c>
      <c r="B1" s="9">
        <v>20</v>
      </c>
      <c r="E1" s="17" t="s">
        <v>143</v>
      </c>
      <c r="F1" s="10">
        <f>S15</f>
        <v>184</v>
      </c>
      <c r="H1" s="17" t="s">
        <v>3</v>
      </c>
      <c r="I1" s="21">
        <v>20</v>
      </c>
      <c r="J1" s="1"/>
      <c r="K1" s="18" t="s">
        <v>4</v>
      </c>
    </row>
    <row r="2" spans="1:19" ht="14.25" customHeight="1" x14ac:dyDescent="0.3">
      <c r="A2" s="56"/>
      <c r="B2" s="111" t="s">
        <v>144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274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M5/$M$11</f>
        <v>10.75268817204301</v>
      </c>
      <c r="E5" s="12">
        <f>$F$1</f>
        <v>184</v>
      </c>
      <c r="F5" s="13">
        <v>1</v>
      </c>
      <c r="G5" s="12">
        <f>E5*D5</f>
        <v>1978.4946236559138</v>
      </c>
      <c r="H5" s="86">
        <f>G5*F5</f>
        <v>1978.4946236559138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1978.4946236559138</v>
      </c>
      <c r="L5" s="64">
        <f>J5*K5</f>
        <v>12699.796570764311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M6/$M$11</f>
        <v>7.311827956989247</v>
      </c>
      <c r="E6" s="12">
        <f>$F$1</f>
        <v>184</v>
      </c>
      <c r="F6" s="13">
        <v>1</v>
      </c>
      <c r="G6" s="12">
        <f>E6*D6</f>
        <v>1345.3763440860214</v>
      </c>
      <c r="H6" s="86">
        <f>G6*F6</f>
        <v>1345.3763440860214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1345.3763440860214</v>
      </c>
      <c r="L6" s="64">
        <f t="shared" ref="L6:L8" si="1">J6*K6</f>
        <v>4372.4731182795695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M7/$M$11</f>
        <v>0.78853046594982079</v>
      </c>
      <c r="E7" s="12">
        <f>$F$1</f>
        <v>184</v>
      </c>
      <c r="F7" s="13">
        <v>1</v>
      </c>
      <c r="G7" s="12">
        <f>E7*D7</f>
        <v>145.08960573476702</v>
      </c>
      <c r="H7" s="86">
        <f>G7*F7</f>
        <v>145.08960573476702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145.08960573476702</v>
      </c>
      <c r="L7" s="64">
        <f t="shared" si="1"/>
        <v>1631.2984771766135</v>
      </c>
      <c r="M7">
        <v>110</v>
      </c>
    </row>
    <row r="8" spans="1:19" ht="14.5" x14ac:dyDescent="0.35">
      <c r="A8" s="11"/>
      <c r="B8" s="11" t="s">
        <v>94</v>
      </c>
      <c r="C8" s="16" t="s">
        <v>212</v>
      </c>
      <c r="D8" s="15">
        <f>M8/$M$11</f>
        <v>1.1469534050179211</v>
      </c>
      <c r="E8" s="12">
        <f>$F$1</f>
        <v>184</v>
      </c>
      <c r="F8" s="13">
        <v>1</v>
      </c>
      <c r="G8" s="12">
        <f>E8*D8</f>
        <v>211.03942652329749</v>
      </c>
      <c r="H8" s="86">
        <f>G8*F8</f>
        <v>211.03942652329749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211.03942652329749</v>
      </c>
      <c r="L8" s="64">
        <f t="shared" si="1"/>
        <v>12384.942871085534</v>
      </c>
      <c r="M8">
        <v>160</v>
      </c>
      <c r="R8" s="48" t="s">
        <v>199</v>
      </c>
    </row>
    <row r="9" spans="1:19" x14ac:dyDescent="0.3">
      <c r="G9" s="44" t="s">
        <v>141</v>
      </c>
      <c r="H9" s="45">
        <f>SUM(H5:H8)</f>
        <v>3679.9999999999995</v>
      </c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2790</v>
      </c>
      <c r="R10" s="108" t="s">
        <v>144</v>
      </c>
      <c r="S10" s="109"/>
    </row>
    <row r="11" spans="1:19" x14ac:dyDescent="0.3">
      <c r="M11" s="19">
        <f>M10/I1</f>
        <v>139.5</v>
      </c>
      <c r="R11" s="106" t="s">
        <v>145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147</v>
      </c>
      <c r="S13" s="43">
        <f>'Coctail Sauce Dip In  (4)'!S13</f>
        <v>179</v>
      </c>
    </row>
    <row r="14" spans="1:19" ht="14.75" customHeight="1" thickBot="1" x14ac:dyDescent="0.35">
      <c r="R14" s="4" t="s">
        <v>148</v>
      </c>
      <c r="S14" s="43">
        <v>5</v>
      </c>
    </row>
    <row r="15" spans="1:19" ht="14.75" customHeight="1" thickBot="1" x14ac:dyDescent="0.35">
      <c r="R15" s="7" t="s">
        <v>146</v>
      </c>
      <c r="S15" s="5">
        <f>S13+S14</f>
        <v>184</v>
      </c>
    </row>
    <row r="16" spans="1:19" ht="14.5" thickBot="1" x14ac:dyDescent="0.35">
      <c r="R16" s="4" t="s">
        <v>149</v>
      </c>
      <c r="S16" s="5">
        <v>20</v>
      </c>
    </row>
    <row r="17" spans="10:19" ht="14.5" thickBot="1" x14ac:dyDescent="0.35">
      <c r="R17" s="7" t="s">
        <v>150</v>
      </c>
      <c r="S17" s="5">
        <f>(S13+S14)*S16</f>
        <v>3680</v>
      </c>
    </row>
    <row r="25" spans="10:19" x14ac:dyDescent="0.3">
      <c r="J25" t="s">
        <v>66</v>
      </c>
      <c r="K25" t="s">
        <v>67</v>
      </c>
    </row>
    <row r="26" spans="10:19" x14ac:dyDescent="0.3">
      <c r="J26" t="s">
        <v>68</v>
      </c>
      <c r="K26" t="s">
        <v>38</v>
      </c>
    </row>
    <row r="27" spans="10:19" x14ac:dyDescent="0.3">
      <c r="J27" t="s">
        <v>69</v>
      </c>
      <c r="K27" s="20" t="s">
        <v>70</v>
      </c>
    </row>
    <row r="28" spans="10:19" x14ac:dyDescent="0.3">
      <c r="J28" t="s">
        <v>71</v>
      </c>
    </row>
    <row r="29" spans="10:19" x14ac:dyDescent="0.3">
      <c r="J29" t="s">
        <v>72</v>
      </c>
    </row>
    <row r="30" spans="10:19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76A24-550A-4EEC-BA3C-579B13DE97BE}">
  <sheetPr codeName="Sheet24">
    <tabColor theme="5" tint="-0.249977111117893"/>
    <pageSetUpPr fitToPage="1"/>
  </sheetPr>
  <dimension ref="A1:S27"/>
  <sheetViews>
    <sheetView topLeftCell="B1" zoomScale="145" zoomScaleNormal="145" zoomScaleSheetLayoutView="100" workbookViewId="0">
      <selection activeCell="F13" sqref="F13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185</v>
      </c>
      <c r="F1" s="17" t="s">
        <v>2</v>
      </c>
      <c r="G1" s="10">
        <f>D1/B1</f>
        <v>185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8"/>
      <c r="B2" s="111" t="s">
        <v>275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19" ht="14.25" customHeight="1" x14ac:dyDescent="0.3">
      <c r="A3" s="58"/>
      <c r="B3" s="114" t="s">
        <v>276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59</v>
      </c>
      <c r="C5" s="16" t="s">
        <v>18</v>
      </c>
      <c r="D5" s="15">
        <f t="shared" ref="D5:D10" si="0">O5/$O$12</f>
        <v>33.703703703703702</v>
      </c>
      <c r="E5" s="12">
        <f t="shared" ref="E5:E10" si="1">$G$1</f>
        <v>185</v>
      </c>
      <c r="F5" s="13">
        <v>1</v>
      </c>
      <c r="G5" s="12">
        <f t="shared" ref="G5:G10" si="2">E5*D5</f>
        <v>6235.1851851851852</v>
      </c>
      <c r="H5" s="86">
        <f t="shared" ref="H5:H10" si="3">G5*F5</f>
        <v>6235.1851851851852</v>
      </c>
      <c r="I5" s="11">
        <f>VLOOKUP(B5,Ordering!$A$1:$J$36,6,FALSE)</f>
        <v>0.98</v>
      </c>
      <c r="J5" s="11">
        <f>VLOOKUP(B5,Ordering!$A$1:$J$36,10,FALSE)</f>
        <v>3.5</v>
      </c>
      <c r="K5" s="11">
        <f>H5/I5</f>
        <v>6362.4338624338625</v>
      </c>
      <c r="L5" s="64">
        <f>J5*K5</f>
        <v>22268.518518518518</v>
      </c>
      <c r="O5">
        <v>14300</v>
      </c>
    </row>
    <row r="6" spans="1:19" ht="14.5" x14ac:dyDescent="0.35">
      <c r="A6" s="11"/>
      <c r="B6" s="11" t="s">
        <v>95</v>
      </c>
      <c r="C6" s="16" t="s">
        <v>18</v>
      </c>
      <c r="D6" s="15">
        <f t="shared" si="0"/>
        <v>0.19090909090909092</v>
      </c>
      <c r="E6" s="12">
        <f t="shared" si="1"/>
        <v>185</v>
      </c>
      <c r="F6" s="13">
        <v>1</v>
      </c>
      <c r="G6" s="12">
        <f t="shared" si="2"/>
        <v>35.31818181818182</v>
      </c>
      <c r="H6" s="86">
        <f t="shared" si="3"/>
        <v>35.31818181818182</v>
      </c>
      <c r="I6" s="11">
        <f>VLOOKUP(B6,Ordering!$A$1:$J$36,6,FALSE)</f>
        <v>0.96</v>
      </c>
      <c r="J6" s="11">
        <f>VLOOKUP(B6,Ordering!$A$1:$J$36,10,FALSE)</f>
        <v>4</v>
      </c>
      <c r="K6" s="11">
        <f t="shared" ref="K6:K10" si="4">H6/I6</f>
        <v>36.789772727272734</v>
      </c>
      <c r="L6" s="64">
        <f t="shared" ref="L6:L10" si="5">J6*K6</f>
        <v>147.15909090909093</v>
      </c>
      <c r="O6">
        <v>81</v>
      </c>
    </row>
    <row r="7" spans="1:19" ht="14.5" x14ac:dyDescent="0.35">
      <c r="A7" s="11"/>
      <c r="B7" s="11" t="s">
        <v>209</v>
      </c>
      <c r="C7" s="16" t="s">
        <v>18</v>
      </c>
      <c r="D7" s="15">
        <f t="shared" si="0"/>
        <v>0.18855218855218855</v>
      </c>
      <c r="E7" s="12">
        <f t="shared" si="1"/>
        <v>185</v>
      </c>
      <c r="F7" s="13">
        <v>1</v>
      </c>
      <c r="G7" s="12">
        <f t="shared" si="2"/>
        <v>34.882154882154886</v>
      </c>
      <c r="H7" s="86">
        <f t="shared" si="3"/>
        <v>34.882154882154886</v>
      </c>
      <c r="I7" s="11">
        <f>VLOOKUP(B7,Ordering!$A$1:$J$36,6,FALSE)</f>
        <v>0.94</v>
      </c>
      <c r="J7" s="11">
        <f>VLOOKUP(B7,Ordering!$A$1:$J$36,10,FALSE)</f>
        <v>3.6363636363636367</v>
      </c>
      <c r="K7" s="11">
        <f t="shared" si="4"/>
        <v>37.108675406547754</v>
      </c>
      <c r="L7" s="64">
        <f t="shared" si="5"/>
        <v>134.94063784199184</v>
      </c>
      <c r="O7">
        <v>80</v>
      </c>
      <c r="R7" s="48" t="s">
        <v>179</v>
      </c>
    </row>
    <row r="8" spans="1:19" ht="14.5" x14ac:dyDescent="0.35">
      <c r="A8" s="11"/>
      <c r="B8" s="11" t="s">
        <v>224</v>
      </c>
      <c r="C8" s="16" t="s">
        <v>18</v>
      </c>
      <c r="D8" s="15">
        <f t="shared" si="0"/>
        <v>1.1784511784511784E-3</v>
      </c>
      <c r="E8" s="12">
        <f t="shared" si="1"/>
        <v>185</v>
      </c>
      <c r="F8" s="13">
        <v>1</v>
      </c>
      <c r="G8" s="12">
        <f t="shared" si="2"/>
        <v>0.21801346801346799</v>
      </c>
      <c r="H8" s="86">
        <f t="shared" si="3"/>
        <v>0.21801346801346799</v>
      </c>
      <c r="I8" s="11">
        <f>VLOOKUP(B8,Ordering!$A$1:$J$36,6,FALSE)</f>
        <v>1</v>
      </c>
      <c r="J8" s="11">
        <f>VLOOKUP(B8,Ordering!$A$1:$J$36,10,FALSE)</f>
        <v>35</v>
      </c>
      <c r="K8" s="11">
        <f t="shared" si="4"/>
        <v>0.21801346801346799</v>
      </c>
      <c r="L8" s="64">
        <f t="shared" si="5"/>
        <v>7.6304713804713797</v>
      </c>
      <c r="O8">
        <v>0.5</v>
      </c>
    </row>
    <row r="9" spans="1:19" ht="14.5" x14ac:dyDescent="0.35">
      <c r="A9" s="11"/>
      <c r="B9" s="11" t="s">
        <v>52</v>
      </c>
      <c r="C9" s="16" t="s">
        <v>18</v>
      </c>
      <c r="D9" s="15">
        <f t="shared" si="0"/>
        <v>0.10606060606060606</v>
      </c>
      <c r="E9" s="12">
        <f t="shared" si="1"/>
        <v>185</v>
      </c>
      <c r="F9" s="13">
        <v>1</v>
      </c>
      <c r="G9" s="12">
        <f t="shared" si="2"/>
        <v>19.621212121212121</v>
      </c>
      <c r="H9" s="86">
        <f t="shared" si="3"/>
        <v>19.621212121212121</v>
      </c>
      <c r="I9" s="11">
        <f>VLOOKUP(B9,Ordering!$A$1:$J$36,6,FALSE)</f>
        <v>1</v>
      </c>
      <c r="J9" s="11">
        <f>VLOOKUP(B9,Ordering!$A$1:$J$36,10,FALSE)</f>
        <v>0.74</v>
      </c>
      <c r="K9" s="11">
        <f t="shared" si="4"/>
        <v>19.621212121212121</v>
      </c>
      <c r="L9" s="64">
        <f t="shared" si="5"/>
        <v>14.51969696969697</v>
      </c>
      <c r="O9">
        <v>45</v>
      </c>
    </row>
    <row r="10" spans="1:19" ht="14.5" x14ac:dyDescent="0.35">
      <c r="A10" s="11"/>
      <c r="B10" s="11" t="s">
        <v>53</v>
      </c>
      <c r="C10" s="16" t="s">
        <v>212</v>
      </c>
      <c r="D10" s="15">
        <f t="shared" si="0"/>
        <v>0.70942760942760941</v>
      </c>
      <c r="E10" s="12">
        <f t="shared" si="1"/>
        <v>185</v>
      </c>
      <c r="F10" s="13">
        <v>1</v>
      </c>
      <c r="G10" s="12">
        <f t="shared" si="2"/>
        <v>131.24410774410774</v>
      </c>
      <c r="H10" s="86">
        <f t="shared" si="3"/>
        <v>131.24410774410774</v>
      </c>
      <c r="I10" s="11">
        <f>VLOOKUP(B10,Ordering!$A$1:$J$36,6,FALSE)</f>
        <v>1</v>
      </c>
      <c r="J10" s="11">
        <f>VLOOKUP(B10,Ordering!$A$1:$J$36,10,FALSE)</f>
        <v>0</v>
      </c>
      <c r="K10" s="11">
        <f t="shared" si="4"/>
        <v>131.24410774410774</v>
      </c>
      <c r="L10" s="64">
        <f t="shared" si="5"/>
        <v>0</v>
      </c>
      <c r="O10">
        <v>301</v>
      </c>
      <c r="R10" s="108" t="s">
        <v>62</v>
      </c>
      <c r="S10" s="109"/>
    </row>
    <row r="11" spans="1:19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/>
      <c r="O12" s="22">
        <f>O11/I1</f>
        <v>424.28571428571428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183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185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F78E1-A7EB-4639-8887-42C13E84B785}">
  <sheetPr codeName="Sheet25">
    <tabColor theme="5" tint="-0.249977111117893"/>
    <pageSetUpPr fitToPage="1"/>
  </sheetPr>
  <dimension ref="A1:S27"/>
  <sheetViews>
    <sheetView zoomScale="85" zoomScaleNormal="85" zoomScaleSheetLayoutView="100" workbookViewId="0">
      <selection activeCell="H26" sqref="H26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185</v>
      </c>
      <c r="F1" s="17" t="s">
        <v>2</v>
      </c>
      <c r="G1" s="10">
        <f>D1/B1</f>
        <v>185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4"/>
      <c r="B2" s="110" t="s">
        <v>277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5"/>
      <c r="B3" s="113" t="s">
        <v>278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54</v>
      </c>
      <c r="C5" s="16" t="s">
        <v>18</v>
      </c>
      <c r="D5" s="15">
        <f t="shared" ref="D5:D10" si="0">N5/$N$12</f>
        <v>20.923913043478262</v>
      </c>
      <c r="E5" s="12">
        <f t="shared" ref="E5:E10" si="1">$G$1</f>
        <v>185</v>
      </c>
      <c r="F5" s="13">
        <v>1</v>
      </c>
      <c r="G5" s="12">
        <f t="shared" ref="G5:G10" si="2">E5*D5</f>
        <v>3870.9239130434785</v>
      </c>
      <c r="H5" s="86">
        <f t="shared" ref="H5:H10" si="3">G5*F5</f>
        <v>3870.9239130434785</v>
      </c>
      <c r="I5" s="11">
        <f>VLOOKUP(B5,Ordering!$A$1:$J$36,6,FALSE)</f>
        <v>1</v>
      </c>
      <c r="J5" s="11">
        <f>VLOOKUP(B5,Ordering!$A$1:$J$36,10,FALSE)</f>
        <v>6.6959999999999997</v>
      </c>
      <c r="K5" s="11">
        <f>H5/I5</f>
        <v>3870.9239130434785</v>
      </c>
      <c r="L5" s="64">
        <f>J5*K5</f>
        <v>25919.706521739132</v>
      </c>
      <c r="N5">
        <v>5500</v>
      </c>
    </row>
    <row r="6" spans="1:19" ht="14.5" x14ac:dyDescent="0.35">
      <c r="A6" s="11"/>
      <c r="B6" s="11" t="s">
        <v>58</v>
      </c>
      <c r="C6" s="16" t="s">
        <v>18</v>
      </c>
      <c r="D6" s="15">
        <f t="shared" si="0"/>
        <v>5.6190217391304351</v>
      </c>
      <c r="E6" s="12">
        <f t="shared" si="1"/>
        <v>185</v>
      </c>
      <c r="F6" s="13">
        <v>1</v>
      </c>
      <c r="G6" s="12">
        <f t="shared" si="2"/>
        <v>1039.5190217391305</v>
      </c>
      <c r="H6" s="86">
        <f t="shared" si="3"/>
        <v>1039.5190217391305</v>
      </c>
      <c r="I6" s="11">
        <f>VLOOKUP(B6,Ordering!$A$1:$J$36,6,FALSE)</f>
        <v>0.8</v>
      </c>
      <c r="J6" s="11">
        <f>VLOOKUP(B6,Ordering!$A$1:$J$36,10,FALSE)</f>
        <v>3</v>
      </c>
      <c r="K6" s="11">
        <f t="shared" ref="K6:K10" si="4">H6/I6</f>
        <v>1299.398777173913</v>
      </c>
      <c r="L6" s="64">
        <f t="shared" ref="L6:L10" si="5">J6*K6</f>
        <v>3898.196331521739</v>
      </c>
      <c r="N6">
        <v>1477</v>
      </c>
    </row>
    <row r="7" spans="1:19" ht="14.5" x14ac:dyDescent="0.35">
      <c r="A7" s="11"/>
      <c r="B7" s="11" t="s">
        <v>51</v>
      </c>
      <c r="C7" s="16" t="s">
        <v>18</v>
      </c>
      <c r="D7" s="15">
        <f t="shared" si="0"/>
        <v>5.744565217391305E-2</v>
      </c>
      <c r="E7" s="12">
        <f t="shared" si="1"/>
        <v>185</v>
      </c>
      <c r="F7" s="13">
        <v>1</v>
      </c>
      <c r="G7" s="12">
        <f t="shared" si="2"/>
        <v>10.627445652173915</v>
      </c>
      <c r="H7" s="86">
        <f t="shared" si="3"/>
        <v>10.627445652173915</v>
      </c>
      <c r="I7" s="11">
        <f>VLOOKUP(B7,Ordering!$A$1:$J$36,6,FALSE)</f>
        <v>1</v>
      </c>
      <c r="J7" s="11">
        <f>VLOOKUP(B7,Ordering!$A$1:$J$36,10,FALSE)</f>
        <v>8</v>
      </c>
      <c r="K7" s="11">
        <f t="shared" si="4"/>
        <v>10.627445652173915</v>
      </c>
      <c r="L7" s="64">
        <f t="shared" si="5"/>
        <v>85.019565217391317</v>
      </c>
      <c r="N7">
        <v>15.1</v>
      </c>
      <c r="R7" s="48" t="s">
        <v>179</v>
      </c>
    </row>
    <row r="8" spans="1:19" ht="14.5" x14ac:dyDescent="0.35">
      <c r="A8" s="11"/>
      <c r="B8" s="11" t="s">
        <v>211</v>
      </c>
      <c r="C8" s="16" t="s">
        <v>18</v>
      </c>
      <c r="D8" s="15">
        <f t="shared" si="0"/>
        <v>1.9402173913043479E-2</v>
      </c>
      <c r="E8" s="12">
        <f t="shared" si="1"/>
        <v>185</v>
      </c>
      <c r="F8" s="13">
        <v>1</v>
      </c>
      <c r="G8" s="12">
        <f t="shared" si="2"/>
        <v>3.5894021739130437</v>
      </c>
      <c r="H8" s="86">
        <f t="shared" si="3"/>
        <v>3.5894021739130437</v>
      </c>
      <c r="I8" s="11">
        <f>VLOOKUP(B8,Ordering!$A$1:$J$36,6,FALSE)</f>
        <v>1</v>
      </c>
      <c r="J8" s="11">
        <f>VLOOKUP(B8,Ordering!$A$1:$J$36,10,FALSE)</f>
        <v>20</v>
      </c>
      <c r="K8" s="11">
        <f t="shared" si="4"/>
        <v>3.5894021739130437</v>
      </c>
      <c r="L8" s="64">
        <f t="shared" si="5"/>
        <v>71.788043478260875</v>
      </c>
      <c r="N8">
        <v>5.0999999999999996</v>
      </c>
    </row>
    <row r="9" spans="1:19" ht="14.5" x14ac:dyDescent="0.35">
      <c r="A9" s="11"/>
      <c r="B9" s="11" t="s">
        <v>53</v>
      </c>
      <c r="C9" s="16" t="s">
        <v>212</v>
      </c>
      <c r="D9" s="15">
        <f t="shared" si="0"/>
        <v>9.5108695652173925</v>
      </c>
      <c r="E9" s="12">
        <f t="shared" si="1"/>
        <v>185</v>
      </c>
      <c r="F9" s="13">
        <v>1</v>
      </c>
      <c r="G9" s="12">
        <f t="shared" si="2"/>
        <v>1759.5108695652177</v>
      </c>
      <c r="H9" s="86">
        <f t="shared" si="3"/>
        <v>1759.5108695652177</v>
      </c>
      <c r="I9" s="11">
        <f>VLOOKUP(B9,Ordering!$A$1:$J$36,6,FALSE)</f>
        <v>1</v>
      </c>
      <c r="J9" s="11">
        <f>VLOOKUP(B9,Ordering!$A$1:$J$36,10,FALSE)</f>
        <v>0</v>
      </c>
      <c r="K9" s="11">
        <f t="shared" si="4"/>
        <v>1759.5108695652177</v>
      </c>
      <c r="L9" s="64">
        <f t="shared" si="5"/>
        <v>0</v>
      </c>
      <c r="N9">
        <v>2500</v>
      </c>
    </row>
    <row r="10" spans="1:19" ht="14.5" x14ac:dyDescent="0.35">
      <c r="A10" s="11"/>
      <c r="B10" s="11" t="s">
        <v>52</v>
      </c>
      <c r="C10" s="16" t="s">
        <v>18</v>
      </c>
      <c r="D10" s="15">
        <f t="shared" si="0"/>
        <v>7.9891304347826098E-2</v>
      </c>
      <c r="E10" s="12">
        <f t="shared" si="1"/>
        <v>185</v>
      </c>
      <c r="F10" s="13">
        <v>1</v>
      </c>
      <c r="G10" s="12">
        <f t="shared" si="2"/>
        <v>14.779891304347828</v>
      </c>
      <c r="H10" s="86">
        <f t="shared" si="3"/>
        <v>14.779891304347828</v>
      </c>
      <c r="I10" s="11">
        <f>VLOOKUP(B10,Ordering!$A$1:$J$36,6,FALSE)</f>
        <v>1</v>
      </c>
      <c r="J10" s="11">
        <f>VLOOKUP(B10,Ordering!$A$1:$J$36,10,FALSE)</f>
        <v>0.74</v>
      </c>
      <c r="K10" s="11">
        <f t="shared" si="4"/>
        <v>14.779891304347828</v>
      </c>
      <c r="L10" s="64">
        <f t="shared" si="5"/>
        <v>10.937119565217392</v>
      </c>
      <c r="N10">
        <v>21</v>
      </c>
      <c r="R10" s="108" t="s">
        <v>62</v>
      </c>
      <c r="S10" s="109"/>
    </row>
    <row r="11" spans="1:19" x14ac:dyDescent="0.3">
      <c r="M11" s="24" t="s">
        <v>19</v>
      </c>
      <c r="N11" s="22">
        <v>9200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>
        <f>N11/I1</f>
        <v>262.85714285714283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f>'Red sauce Big (4)'!S13</f>
        <v>183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185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CE6C9-0495-4FDF-BEDF-C4EA526B66F3}">
  <sheetPr codeName="Sheet32">
    <tabColor theme="5" tint="-0.249977111117893"/>
    <pageSetUpPr fitToPage="1"/>
  </sheetPr>
  <dimension ref="A1:S30"/>
  <sheetViews>
    <sheetView topLeftCell="B1" zoomScale="115" zoomScaleNormal="115" zoomScaleSheetLayoutView="100" workbookViewId="0">
      <selection activeCell="H24" sqref="H2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8" max="18" width="22.4140625" customWidth="1"/>
    <col min="19" max="19" width="14.83203125" customWidth="1"/>
  </cols>
  <sheetData>
    <row r="1" spans="1:19" ht="25" x14ac:dyDescent="0.3">
      <c r="A1" s="17" t="s">
        <v>142</v>
      </c>
      <c r="B1" s="9">
        <v>20</v>
      </c>
      <c r="E1" s="17" t="s">
        <v>143</v>
      </c>
      <c r="F1" s="10">
        <f>S15</f>
        <v>170</v>
      </c>
      <c r="H1" s="17" t="s">
        <v>3</v>
      </c>
      <c r="I1" s="21">
        <v>20</v>
      </c>
      <c r="J1" s="1"/>
      <c r="K1" s="18" t="s">
        <v>4</v>
      </c>
    </row>
    <row r="2" spans="1:19" ht="14.25" customHeight="1" x14ac:dyDescent="0.3">
      <c r="A2" s="56"/>
      <c r="B2" s="111" t="s">
        <v>279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8"/>
      <c r="B3" s="113" t="s">
        <v>280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56</v>
      </c>
      <c r="C5" s="16" t="s">
        <v>18</v>
      </c>
      <c r="D5" s="15">
        <f>M5/$M$11</f>
        <v>10.75268817204301</v>
      </c>
      <c r="E5" s="12">
        <f>$F$1</f>
        <v>170</v>
      </c>
      <c r="F5" s="13">
        <v>1</v>
      </c>
      <c r="G5" s="12">
        <f>E5*D5</f>
        <v>1827.9569892473116</v>
      </c>
      <c r="H5" s="86">
        <f>G5*F5</f>
        <v>1827.9569892473116</v>
      </c>
      <c r="I5" s="11">
        <f>VLOOKUP(B5,Ordering!$A$1:$J$36,6,FALSE)</f>
        <v>1</v>
      </c>
      <c r="J5" s="11">
        <f>VLOOKUP(B5,Ordering!$A$1:$J$36,10,FALSE)</f>
        <v>6.4189189189189184</v>
      </c>
      <c r="K5" s="11">
        <f>H5/I5</f>
        <v>1827.9569892473116</v>
      </c>
      <c r="L5" s="64">
        <f>J5*K5</f>
        <v>11733.507701249635</v>
      </c>
      <c r="M5">
        <v>1500</v>
      </c>
    </row>
    <row r="6" spans="1:19" ht="14.5" x14ac:dyDescent="0.35">
      <c r="A6" s="11"/>
      <c r="B6" s="11" t="s">
        <v>205</v>
      </c>
      <c r="C6" s="16" t="s">
        <v>212</v>
      </c>
      <c r="D6" s="15">
        <f>M6/$M$11</f>
        <v>7.311827956989247</v>
      </c>
      <c r="E6" s="12">
        <f>$F$1</f>
        <v>170</v>
      </c>
      <c r="F6" s="13">
        <v>1</v>
      </c>
      <c r="G6" s="12">
        <f>E6*D6</f>
        <v>1243.010752688172</v>
      </c>
      <c r="H6" s="86">
        <f>G6*F6</f>
        <v>1243.010752688172</v>
      </c>
      <c r="I6" s="11">
        <f>VLOOKUP(B6,Ordering!$A$1:$J$36,6,FALSE)</f>
        <v>1</v>
      </c>
      <c r="J6" s="11">
        <f>VLOOKUP(B6,Ordering!$A$1:$J$36,10,FALSE)</f>
        <v>3.25</v>
      </c>
      <c r="K6" s="11">
        <f t="shared" ref="K6:K8" si="0">H6/I6</f>
        <v>1243.010752688172</v>
      </c>
      <c r="L6" s="64">
        <f t="shared" ref="L6:L8" si="1">J6*K6</f>
        <v>4039.7849462365593</v>
      </c>
      <c r="M6">
        <v>1020</v>
      </c>
    </row>
    <row r="7" spans="1:19" ht="14.5" x14ac:dyDescent="0.35">
      <c r="A7" s="11"/>
      <c r="B7" s="11" t="s">
        <v>57</v>
      </c>
      <c r="C7" s="16" t="s">
        <v>18</v>
      </c>
      <c r="D7" s="15">
        <f>M7/$M$11</f>
        <v>0.78853046594982079</v>
      </c>
      <c r="E7" s="12">
        <f>$F$1</f>
        <v>170</v>
      </c>
      <c r="F7" s="13">
        <v>1</v>
      </c>
      <c r="G7" s="12">
        <f>E7*D7</f>
        <v>134.05017921146953</v>
      </c>
      <c r="H7" s="86">
        <f>G7*F7</f>
        <v>134.05017921146953</v>
      </c>
      <c r="I7" s="11">
        <f>VLOOKUP(B7,Ordering!$A$1:$J$36,6,FALSE)</f>
        <v>1</v>
      </c>
      <c r="J7" s="11">
        <f>VLOOKUP(B7,Ordering!$A$1:$J$36,10,FALSE)</f>
        <v>11.243386243386244</v>
      </c>
      <c r="K7" s="11">
        <f t="shared" si="0"/>
        <v>134.05017921146953</v>
      </c>
      <c r="L7" s="64">
        <f t="shared" si="1"/>
        <v>1507.1779408696971</v>
      </c>
      <c r="M7">
        <v>110</v>
      </c>
    </row>
    <row r="8" spans="1:19" ht="14.5" x14ac:dyDescent="0.35">
      <c r="A8" s="11"/>
      <c r="B8" s="11" t="s">
        <v>94</v>
      </c>
      <c r="C8" s="16" t="s">
        <v>212</v>
      </c>
      <c r="D8" s="15">
        <f>M8/$M$11</f>
        <v>1.1469534050179211</v>
      </c>
      <c r="E8" s="12">
        <f>$F$1</f>
        <v>170</v>
      </c>
      <c r="F8" s="13">
        <v>1</v>
      </c>
      <c r="G8" s="12">
        <f>E8*D8</f>
        <v>194.98207885304657</v>
      </c>
      <c r="H8" s="86">
        <f>G8*F8</f>
        <v>194.98207885304657</v>
      </c>
      <c r="I8" s="11">
        <f>VLOOKUP(B8,Ordering!$A$1:$J$36,6,FALSE)</f>
        <v>1</v>
      </c>
      <c r="J8" s="11">
        <f>VLOOKUP(B8,Ordering!$A$1:$J$36,10,FALSE)</f>
        <v>58.685446009389672</v>
      </c>
      <c r="K8" s="11">
        <f t="shared" si="0"/>
        <v>194.98207885304657</v>
      </c>
      <c r="L8" s="64">
        <f t="shared" si="1"/>
        <v>11442.610261329024</v>
      </c>
      <c r="M8">
        <v>160</v>
      </c>
      <c r="R8" s="48" t="s">
        <v>198</v>
      </c>
    </row>
    <row r="9" spans="1:19" x14ac:dyDescent="0.3">
      <c r="G9" s="44" t="s">
        <v>141</v>
      </c>
      <c r="H9" s="45">
        <f>SUM(H5:H8)</f>
        <v>3400</v>
      </c>
      <c r="I9" s="11"/>
      <c r="J9" s="11"/>
      <c r="K9" s="11"/>
      <c r="L9" s="64"/>
    </row>
    <row r="10" spans="1:19" x14ac:dyDescent="0.3">
      <c r="I10" s="11"/>
      <c r="J10" s="11"/>
      <c r="K10" s="11"/>
      <c r="L10" s="64"/>
      <c r="M10">
        <f>SUM(M5:M9)</f>
        <v>2790</v>
      </c>
      <c r="R10" s="108" t="s">
        <v>144</v>
      </c>
      <c r="S10" s="109"/>
    </row>
    <row r="11" spans="1:19" x14ac:dyDescent="0.3">
      <c r="M11" s="19">
        <f>M10/I1</f>
        <v>139.5</v>
      </c>
      <c r="R11" s="106" t="s">
        <v>145</v>
      </c>
      <c r="S11" s="107"/>
    </row>
    <row r="12" spans="1:19" ht="14.75" customHeight="1" thickBot="1" x14ac:dyDescent="0.35">
      <c r="R12" s="2" t="s">
        <v>22</v>
      </c>
      <c r="S12" s="3" t="s">
        <v>23</v>
      </c>
    </row>
    <row r="13" spans="1:19" ht="14.75" customHeight="1" thickBot="1" x14ac:dyDescent="0.35">
      <c r="R13" s="4" t="s">
        <v>147</v>
      </c>
      <c r="S13" s="43">
        <f>62+103</f>
        <v>165</v>
      </c>
    </row>
    <row r="14" spans="1:19" ht="14.75" customHeight="1" thickBot="1" x14ac:dyDescent="0.35">
      <c r="R14" s="4" t="s">
        <v>148</v>
      </c>
      <c r="S14" s="43">
        <v>5</v>
      </c>
    </row>
    <row r="15" spans="1:19" ht="14.75" customHeight="1" thickBot="1" x14ac:dyDescent="0.35">
      <c r="R15" s="7" t="s">
        <v>146</v>
      </c>
      <c r="S15" s="5">
        <f>S13+S14</f>
        <v>170</v>
      </c>
    </row>
    <row r="16" spans="1:19" ht="14.5" thickBot="1" x14ac:dyDescent="0.35">
      <c r="R16" s="4" t="s">
        <v>149</v>
      </c>
      <c r="S16" s="5">
        <v>30</v>
      </c>
    </row>
    <row r="17" spans="10:19" ht="14.5" thickBot="1" x14ac:dyDescent="0.35">
      <c r="R17" s="7" t="s">
        <v>150</v>
      </c>
      <c r="S17" s="5">
        <f>(S13+S14)*S16</f>
        <v>5100</v>
      </c>
    </row>
    <row r="25" spans="10:19" x14ac:dyDescent="0.3">
      <c r="J25" t="s">
        <v>66</v>
      </c>
      <c r="K25" t="s">
        <v>67</v>
      </c>
    </row>
    <row r="26" spans="10:19" x14ac:dyDescent="0.3">
      <c r="J26" t="s">
        <v>68</v>
      </c>
      <c r="K26" t="s">
        <v>38</v>
      </c>
    </row>
    <row r="27" spans="10:19" x14ac:dyDescent="0.3">
      <c r="J27" t="s">
        <v>69</v>
      </c>
      <c r="K27" s="20" t="s">
        <v>70</v>
      </c>
    </row>
    <row r="28" spans="10:19" x14ac:dyDescent="0.3">
      <c r="J28" t="s">
        <v>71</v>
      </c>
    </row>
    <row r="29" spans="10:19" x14ac:dyDescent="0.3">
      <c r="J29" t="s">
        <v>72</v>
      </c>
    </row>
    <row r="30" spans="10:19" x14ac:dyDescent="0.3">
      <c r="J30" t="s">
        <v>73</v>
      </c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5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  <pageSetUpPr fitToPage="1"/>
  </sheetPr>
  <dimension ref="A1:Y27"/>
  <sheetViews>
    <sheetView topLeftCell="D1" zoomScale="55" zoomScaleNormal="5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2.6640625" bestFit="1" customWidth="1"/>
    <col min="13" max="13" width="11.6640625" bestFit="1" customWidth="1"/>
    <col min="19" max="19" width="8.5" bestFit="1" customWidth="1"/>
  </cols>
  <sheetData>
    <row r="1" spans="1:25" ht="26.25" customHeight="1" x14ac:dyDescent="0.3">
      <c r="A1" s="17" t="s">
        <v>0</v>
      </c>
      <c r="B1" s="9">
        <v>1</v>
      </c>
      <c r="C1" s="17" t="s">
        <v>1</v>
      </c>
      <c r="D1" s="10">
        <f>S15</f>
        <v>184</v>
      </c>
      <c r="F1" s="17" t="s">
        <v>2</v>
      </c>
      <c r="G1" s="10">
        <f>D1/B1</f>
        <v>184</v>
      </c>
      <c r="H1" s="17" t="s">
        <v>3</v>
      </c>
      <c r="I1" s="21">
        <v>10</v>
      </c>
      <c r="J1" s="1"/>
      <c r="K1" s="23" t="s">
        <v>4</v>
      </c>
    </row>
    <row r="2" spans="1:25" ht="14.25" customHeight="1" x14ac:dyDescent="0.3">
      <c r="A2" s="56"/>
      <c r="B2" s="111" t="s">
        <v>160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25" ht="14.25" customHeight="1" x14ac:dyDescent="0.3">
      <c r="A3" s="58"/>
      <c r="B3" s="113" t="s">
        <v>281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25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25" ht="14.5" x14ac:dyDescent="0.35">
      <c r="A5" s="11"/>
      <c r="B5" s="11" t="s">
        <v>46</v>
      </c>
      <c r="C5" s="16" t="s">
        <v>18</v>
      </c>
      <c r="D5" s="15">
        <f>N9/$N$12</f>
        <v>0.26345933562428409</v>
      </c>
      <c r="E5" s="12">
        <f>$G$1</f>
        <v>184</v>
      </c>
      <c r="F5" s="13">
        <v>1</v>
      </c>
      <c r="G5" s="12">
        <f>E5*D5</f>
        <v>48.476517754868269</v>
      </c>
      <c r="H5" s="86">
        <f>G5*F5</f>
        <v>48.476517754868269</v>
      </c>
      <c r="I5" s="11">
        <f>VLOOKUP(B5,Ordering!$A$1:$J$36,6,FALSE)</f>
        <v>1</v>
      </c>
      <c r="J5" s="11">
        <f>VLOOKUP(B5,Ordering!$A$1:$J$36,10,FALSE)</f>
        <v>5</v>
      </c>
      <c r="K5" s="15">
        <f t="shared" ref="K5:K6" si="0">((H5/(I5))/1000)</f>
        <v>4.8476517754868269E-2</v>
      </c>
      <c r="L5" s="91">
        <f>J5*K5</f>
        <v>0.24238258877434135</v>
      </c>
    </row>
    <row r="6" spans="1:25" ht="14.5" x14ac:dyDescent="0.35">
      <c r="A6" s="11"/>
      <c r="B6" s="11" t="s">
        <v>47</v>
      </c>
      <c r="C6" s="16" t="s">
        <v>18</v>
      </c>
      <c r="D6" s="15">
        <f>N10/$N$12</f>
        <v>9.7365406643757169</v>
      </c>
      <c r="E6" s="12">
        <f>$G$1</f>
        <v>184</v>
      </c>
      <c r="F6" s="13">
        <v>1</v>
      </c>
      <c r="G6" s="12">
        <f>E6*D6</f>
        <v>1791.5234822451318</v>
      </c>
      <c r="H6" s="86">
        <f>G6*F6</f>
        <v>1791.5234822451318</v>
      </c>
      <c r="I6" s="11">
        <f>VLOOKUP(B6,Ordering!$A$1:$J$36,6,FALSE)</f>
        <v>0.9</v>
      </c>
      <c r="J6" s="11">
        <f>VLOOKUP(B6,Ordering!$A$1:$J$36,10,FALSE)</f>
        <v>3</v>
      </c>
      <c r="K6" s="15">
        <f t="shared" si="0"/>
        <v>1.9905816469390354</v>
      </c>
      <c r="L6" s="91">
        <f t="shared" ref="L6" si="1">J6*K6</f>
        <v>5.9717449408171062</v>
      </c>
    </row>
    <row r="7" spans="1:25" x14ac:dyDescent="0.3">
      <c r="L7" s="101"/>
    </row>
    <row r="8" spans="1:25" x14ac:dyDescent="0.3">
      <c r="R8" s="48" t="s">
        <v>178</v>
      </c>
      <c r="V8" s="98" t="s">
        <v>251</v>
      </c>
      <c r="W8" s="99">
        <v>1</v>
      </c>
      <c r="X8" s="98" t="s">
        <v>16</v>
      </c>
      <c r="Y8" s="100">
        <f>SUM(L5:L6)/S15</f>
        <v>3.3772432226040476E-2</v>
      </c>
    </row>
    <row r="9" spans="1:25" x14ac:dyDescent="0.3">
      <c r="N9">
        <v>46</v>
      </c>
    </row>
    <row r="10" spans="1:25" x14ac:dyDescent="0.3">
      <c r="N10">
        <v>1700</v>
      </c>
      <c r="R10" s="108" t="s">
        <v>60</v>
      </c>
      <c r="S10" s="109"/>
    </row>
    <row r="11" spans="1:25" x14ac:dyDescent="0.3">
      <c r="M11" s="24" t="s">
        <v>19</v>
      </c>
      <c r="N11">
        <f>SUM(N9:N10)</f>
        <v>1746</v>
      </c>
      <c r="R11" s="106" t="s">
        <v>20</v>
      </c>
      <c r="S11" s="107"/>
    </row>
    <row r="12" spans="1:25" ht="14.75" customHeight="1" thickBot="1" x14ac:dyDescent="0.35">
      <c r="M12" s="24" t="s">
        <v>21</v>
      </c>
      <c r="N12">
        <f>N11/I1</f>
        <v>174.6</v>
      </c>
      <c r="O12" s="22"/>
      <c r="R12" s="2" t="s">
        <v>22</v>
      </c>
      <c r="S12" s="3" t="s">
        <v>23</v>
      </c>
    </row>
    <row r="13" spans="1:25" ht="14.75" customHeight="1" thickBot="1" x14ac:dyDescent="0.35">
      <c r="R13" s="4" t="s">
        <v>24</v>
      </c>
      <c r="S13" s="5">
        <f>95+87</f>
        <v>182</v>
      </c>
    </row>
    <row r="14" spans="1:25" ht="14.75" customHeight="1" thickBot="1" x14ac:dyDescent="0.35">
      <c r="R14" s="4" t="s">
        <v>25</v>
      </c>
      <c r="S14" s="6">
        <v>2</v>
      </c>
    </row>
    <row r="15" spans="1:25" x14ac:dyDescent="0.3">
      <c r="R15" s="7" t="s">
        <v>26</v>
      </c>
      <c r="S15" s="8">
        <f>S13+S14</f>
        <v>184</v>
      </c>
    </row>
    <row r="16" spans="1:25" x14ac:dyDescent="0.3">
      <c r="R16" s="96" t="s">
        <v>16</v>
      </c>
      <c r="S16" s="97">
        <f>SUM(L5:L6)</f>
        <v>6.2141275295914475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39" orientation="landscape" verticalDpi="12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F0877-3AAA-4C65-B093-816CAB7B8AA3}">
  <sheetPr codeName="Sheet26">
    <tabColor theme="4" tint="-0.249977111117893"/>
    <pageSetUpPr fitToPage="1"/>
  </sheetPr>
  <dimension ref="A1:Q27"/>
  <sheetViews>
    <sheetView topLeftCell="G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7" max="7" width="10.6640625" bestFit="1" customWidth="1"/>
    <col min="8" max="8" width="29.83203125" bestFit="1" customWidth="1"/>
    <col min="10" max="10" width="22.08203125" bestFit="1" customWidth="1"/>
    <col min="11" max="11" width="13.6640625" customWidth="1"/>
    <col min="12" max="12" width="11.5" bestFit="1" customWidth="1"/>
    <col min="17" max="17" width="8.5" bestFit="1" customWidth="1"/>
  </cols>
  <sheetData>
    <row r="1" spans="1:17" ht="26.25" customHeight="1" x14ac:dyDescent="0.3">
      <c r="A1" s="17" t="s">
        <v>0</v>
      </c>
      <c r="B1" s="9">
        <v>1</v>
      </c>
      <c r="C1" s="17" t="s">
        <v>1</v>
      </c>
      <c r="D1" s="10">
        <f>Q15</f>
        <v>601</v>
      </c>
      <c r="F1" s="17" t="s">
        <v>2</v>
      </c>
      <c r="G1" s="10">
        <f>D1/B1</f>
        <v>601</v>
      </c>
      <c r="H1" s="17" t="s">
        <v>3</v>
      </c>
      <c r="I1" s="21">
        <v>20</v>
      </c>
      <c r="J1" s="1"/>
      <c r="K1" s="23" t="s">
        <v>4</v>
      </c>
    </row>
    <row r="2" spans="1:17" ht="14.25" customHeight="1" x14ac:dyDescent="0.3">
      <c r="A2" s="57"/>
      <c r="B2" s="110" t="s">
        <v>161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7" ht="14.25" customHeight="1" x14ac:dyDescent="0.3">
      <c r="A3" s="58"/>
      <c r="B3" s="113" t="s">
        <v>282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7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7" ht="14.5" x14ac:dyDescent="0.35">
      <c r="A5" s="11"/>
      <c r="B5" s="11" t="s">
        <v>50</v>
      </c>
      <c r="C5" s="16" t="s">
        <v>212</v>
      </c>
      <c r="D5" s="15">
        <f t="shared" ref="D5:D10" si="0">M5/$M$15</f>
        <v>1.215066828675577</v>
      </c>
      <c r="E5" s="12">
        <f t="shared" ref="E5:E10" si="1">$G$1</f>
        <v>601</v>
      </c>
      <c r="F5" s="13">
        <v>1</v>
      </c>
      <c r="G5" s="12">
        <f t="shared" ref="G5:G10" si="2">E5*D5</f>
        <v>730.25516403402185</v>
      </c>
      <c r="H5" s="86">
        <f t="shared" ref="H5:H10" si="3">G5*F5</f>
        <v>730.25516403402185</v>
      </c>
      <c r="I5" s="11">
        <f>VLOOKUP(B5,Ordering!$A$1:$J$36,6,FALSE)</f>
        <v>1</v>
      </c>
      <c r="J5" s="11">
        <f>VLOOKUP(B5,Ordering!$A$1:$J$36,10,FALSE)</f>
        <v>5</v>
      </c>
      <c r="K5" s="11">
        <f>H5/I5</f>
        <v>730.25516403402185</v>
      </c>
      <c r="L5" s="64">
        <f>J5*K5</f>
        <v>3651.275820170109</v>
      </c>
      <c r="M5">
        <v>150</v>
      </c>
    </row>
    <row r="6" spans="1:17" ht="14.5" x14ac:dyDescent="0.35">
      <c r="A6" s="11"/>
      <c r="B6" s="11" t="s">
        <v>51</v>
      </c>
      <c r="C6" s="16" t="s">
        <v>18</v>
      </c>
      <c r="D6" s="15">
        <f t="shared" si="0"/>
        <v>2.4301336573511544E-2</v>
      </c>
      <c r="E6" s="12">
        <f t="shared" si="1"/>
        <v>601</v>
      </c>
      <c r="F6" s="13">
        <v>1</v>
      </c>
      <c r="G6" s="12">
        <f t="shared" si="2"/>
        <v>14.605103280680437</v>
      </c>
      <c r="H6" s="86">
        <f t="shared" si="3"/>
        <v>14.605103280680437</v>
      </c>
      <c r="I6" s="11">
        <f>VLOOKUP(B6,Ordering!$A$1:$J$36,6,FALSE)</f>
        <v>1</v>
      </c>
      <c r="J6" s="11">
        <f>VLOOKUP(B6,Ordering!$A$1:$J$36,10,FALSE)</f>
        <v>8</v>
      </c>
      <c r="K6" s="11">
        <f t="shared" ref="K6:K10" si="4">H6/I6</f>
        <v>14.605103280680437</v>
      </c>
      <c r="L6" s="64">
        <f t="shared" ref="L6:L10" si="5">J6*K6</f>
        <v>116.84082624544349</v>
      </c>
      <c r="M6">
        <v>3</v>
      </c>
    </row>
    <row r="7" spans="1:17" ht="14.5" x14ac:dyDescent="0.35">
      <c r="A7" s="11"/>
      <c r="B7" s="11" t="s">
        <v>52</v>
      </c>
      <c r="C7" s="16" t="s">
        <v>18</v>
      </c>
      <c r="D7" s="15">
        <f t="shared" si="0"/>
        <v>8.910490076954232E-2</v>
      </c>
      <c r="E7" s="12">
        <f t="shared" si="1"/>
        <v>601</v>
      </c>
      <c r="F7" s="13">
        <v>1</v>
      </c>
      <c r="G7" s="12">
        <f t="shared" si="2"/>
        <v>53.552045362494937</v>
      </c>
      <c r="H7" s="86">
        <f t="shared" si="3"/>
        <v>53.552045362494937</v>
      </c>
      <c r="I7" s="11">
        <f>VLOOKUP(B7,Ordering!$A$1:$J$36,6,FALSE)</f>
        <v>1</v>
      </c>
      <c r="J7" s="11">
        <f>VLOOKUP(B7,Ordering!$A$1:$J$36,10,FALSE)</f>
        <v>0.74</v>
      </c>
      <c r="K7" s="11">
        <f t="shared" si="4"/>
        <v>53.552045362494937</v>
      </c>
      <c r="L7" s="64">
        <f t="shared" si="5"/>
        <v>39.628513568246255</v>
      </c>
      <c r="M7">
        <v>11</v>
      </c>
      <c r="P7" s="48" t="s">
        <v>176</v>
      </c>
    </row>
    <row r="8" spans="1:17" ht="14.5" x14ac:dyDescent="0.35">
      <c r="A8" s="11"/>
      <c r="B8" s="11" t="s">
        <v>53</v>
      </c>
      <c r="C8" s="16" t="s">
        <v>212</v>
      </c>
      <c r="D8" s="15">
        <f t="shared" si="0"/>
        <v>10.54678007290401</v>
      </c>
      <c r="E8" s="12">
        <f t="shared" si="1"/>
        <v>601</v>
      </c>
      <c r="F8" s="13">
        <v>1</v>
      </c>
      <c r="G8" s="12">
        <f t="shared" si="2"/>
        <v>6338.61482381531</v>
      </c>
      <c r="H8" s="86">
        <f t="shared" si="3"/>
        <v>6338.61482381531</v>
      </c>
      <c r="I8" s="11">
        <f>VLOOKUP(B8,Ordering!$A$1:$J$36,6,FALSE)</f>
        <v>1</v>
      </c>
      <c r="J8" s="11">
        <f>VLOOKUP(B8,Ordering!$A$1:$J$36,10,FALSE)</f>
        <v>0</v>
      </c>
      <c r="K8" s="11">
        <f t="shared" si="4"/>
        <v>6338.61482381531</v>
      </c>
      <c r="L8" s="64">
        <f t="shared" si="5"/>
        <v>0</v>
      </c>
      <c r="M8">
        <v>1302</v>
      </c>
    </row>
    <row r="9" spans="1:17" ht="14.5" x14ac:dyDescent="0.35">
      <c r="A9" s="11"/>
      <c r="B9" s="11" t="s">
        <v>204</v>
      </c>
      <c r="C9" s="16" t="s">
        <v>18</v>
      </c>
      <c r="D9" s="15">
        <f t="shared" si="0"/>
        <v>2.4301336573511544E-2</v>
      </c>
      <c r="E9" s="12">
        <f t="shared" si="1"/>
        <v>601</v>
      </c>
      <c r="F9" s="13">
        <v>1</v>
      </c>
      <c r="G9" s="12">
        <f t="shared" si="2"/>
        <v>14.605103280680437</v>
      </c>
      <c r="H9" s="86">
        <f t="shared" si="3"/>
        <v>14.605103280680437</v>
      </c>
      <c r="I9" s="11">
        <f>VLOOKUP(B9,Ordering!$A$1:$J$36,6,FALSE)</f>
        <v>1</v>
      </c>
      <c r="J9" s="11">
        <f>VLOOKUP(B9,Ordering!$A$1:$J$36,10,FALSE)</f>
        <v>31</v>
      </c>
      <c r="K9" s="11">
        <f t="shared" si="4"/>
        <v>14.605103280680437</v>
      </c>
      <c r="L9" s="64">
        <f t="shared" si="5"/>
        <v>452.75820170109353</v>
      </c>
      <c r="M9">
        <v>3</v>
      </c>
    </row>
    <row r="10" spans="1:17" ht="14.5" x14ac:dyDescent="0.35">
      <c r="A10" s="11"/>
      <c r="B10" s="11" t="s">
        <v>242</v>
      </c>
      <c r="C10" s="16" t="s">
        <v>18</v>
      </c>
      <c r="D10" s="15">
        <f t="shared" si="0"/>
        <v>8.1004455245038471</v>
      </c>
      <c r="E10" s="12">
        <f t="shared" si="1"/>
        <v>601</v>
      </c>
      <c r="F10" s="13">
        <v>1</v>
      </c>
      <c r="G10" s="12">
        <f t="shared" si="2"/>
        <v>4868.3677602268117</v>
      </c>
      <c r="H10" s="86">
        <f t="shared" si="3"/>
        <v>4868.3677602268117</v>
      </c>
      <c r="I10" s="11">
        <f>VLOOKUP(B10,Ordering!$A$1:$J$36,6,FALSE)</f>
        <v>1</v>
      </c>
      <c r="J10" s="11">
        <f>VLOOKUP(B10,Ordering!$A$1:$J$36,10,FALSE)</f>
        <v>10</v>
      </c>
      <c r="K10" s="11">
        <f t="shared" si="4"/>
        <v>4868.3677602268117</v>
      </c>
      <c r="L10" s="64">
        <f t="shared" si="5"/>
        <v>48683.677602268115</v>
      </c>
      <c r="M10">
        <v>1000</v>
      </c>
      <c r="P10" s="108" t="s">
        <v>62</v>
      </c>
      <c r="Q10" s="109"/>
    </row>
    <row r="11" spans="1:17" x14ac:dyDescent="0.3">
      <c r="P11" s="106" t="s">
        <v>63</v>
      </c>
      <c r="Q11" s="107"/>
    </row>
    <row r="12" spans="1:17" ht="14.75" customHeight="1" thickBot="1" x14ac:dyDescent="0.35">
      <c r="M12" s="22"/>
      <c r="P12" s="2" t="s">
        <v>22</v>
      </c>
      <c r="Q12" s="3" t="s">
        <v>23</v>
      </c>
    </row>
    <row r="13" spans="1:17" ht="14.75" customHeight="1" thickBot="1" x14ac:dyDescent="0.35">
      <c r="P13" s="4" t="s">
        <v>24</v>
      </c>
      <c r="Q13" s="5">
        <f>95+87+417</f>
        <v>599</v>
      </c>
    </row>
    <row r="14" spans="1:17" ht="14.75" customHeight="1" thickBot="1" x14ac:dyDescent="0.35">
      <c r="L14" s="24" t="s">
        <v>19</v>
      </c>
      <c r="M14" s="26">
        <f>SUM(M5:M10)</f>
        <v>2469</v>
      </c>
      <c r="P14" s="4" t="s">
        <v>25</v>
      </c>
      <c r="Q14" s="6">
        <v>2</v>
      </c>
    </row>
    <row r="15" spans="1:17" x14ac:dyDescent="0.3">
      <c r="L15" s="24" t="s">
        <v>21</v>
      </c>
      <c r="M15" s="27">
        <f>M14/I1</f>
        <v>123.45</v>
      </c>
      <c r="P15" s="7" t="s">
        <v>26</v>
      </c>
      <c r="Q15" s="8">
        <f>Q13+Q14</f>
        <v>601</v>
      </c>
    </row>
    <row r="27" spans="11:11" x14ac:dyDescent="0.3">
      <c r="K27" s="20"/>
    </row>
  </sheetData>
  <mergeCells count="4">
    <mergeCell ref="P10:Q10"/>
    <mergeCell ref="P11:Q11"/>
    <mergeCell ref="B2:H2"/>
    <mergeCell ref="B3:H3"/>
  </mergeCells>
  <printOptions horizontalCentered="1"/>
  <pageMargins left="0.4" right="0.4" top="1" bottom="0.5" header="0.3" footer="0.3"/>
  <pageSetup paperSize="9" scale="50"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F12CD7-10D9-438A-A120-21ED37D54072}">
  <sheetPr codeName="Sheet27">
    <tabColor theme="4" tint="-0.249977111117893"/>
    <pageSetUpPr fitToPage="1"/>
  </sheetPr>
  <dimension ref="A1:S27"/>
  <sheetViews>
    <sheetView topLeftCell="H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419</v>
      </c>
      <c r="F1" s="17" t="s">
        <v>2</v>
      </c>
      <c r="G1" s="10">
        <f>D1/B1</f>
        <v>419</v>
      </c>
      <c r="H1" s="17" t="s">
        <v>3</v>
      </c>
      <c r="I1" s="21">
        <v>20</v>
      </c>
      <c r="J1" s="1"/>
      <c r="K1" s="23" t="s">
        <v>4</v>
      </c>
    </row>
    <row r="2" spans="1:19" ht="14.25" customHeight="1" x14ac:dyDescent="0.3">
      <c r="A2" s="56"/>
      <c r="B2" s="111" t="s">
        <v>159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19" ht="14.25" customHeight="1" x14ac:dyDescent="0.3">
      <c r="A3" s="58"/>
      <c r="B3" s="114" t="s">
        <v>283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59</v>
      </c>
      <c r="C5" s="16" t="s">
        <v>18</v>
      </c>
      <c r="D5" s="15">
        <f t="shared" ref="D5:D10" si="0">O5/$O$12</f>
        <v>19.25925925925926</v>
      </c>
      <c r="E5" s="12">
        <f t="shared" ref="E5:E10" si="1">$G$1</f>
        <v>419</v>
      </c>
      <c r="F5" s="13">
        <v>1</v>
      </c>
      <c r="G5" s="12">
        <f t="shared" ref="G5:G10" si="2">E5*D5</f>
        <v>8069.6296296296296</v>
      </c>
      <c r="H5" s="86">
        <f t="shared" ref="H5:H10" si="3">G5*F5</f>
        <v>8069.6296296296296</v>
      </c>
      <c r="I5" s="11">
        <f>VLOOKUP(B5,Ordering!$A$1:$J$36,6,FALSE)</f>
        <v>0.98</v>
      </c>
      <c r="J5" s="11">
        <f>VLOOKUP(B5,Ordering!$A$1:$J$36,10,FALSE)</f>
        <v>3.5</v>
      </c>
      <c r="K5" s="11">
        <f>H5/I5</f>
        <v>8234.315948601663</v>
      </c>
      <c r="L5" s="64">
        <f>J5*K5</f>
        <v>28820.105820105819</v>
      </c>
      <c r="O5">
        <v>14300</v>
      </c>
    </row>
    <row r="6" spans="1:19" ht="14.5" x14ac:dyDescent="0.35">
      <c r="A6" s="11"/>
      <c r="B6" s="11" t="s">
        <v>95</v>
      </c>
      <c r="C6" s="16" t="s">
        <v>18</v>
      </c>
      <c r="D6" s="15">
        <f t="shared" si="0"/>
        <v>0.10909090909090909</v>
      </c>
      <c r="E6" s="12">
        <f t="shared" si="1"/>
        <v>419</v>
      </c>
      <c r="F6" s="13">
        <v>1</v>
      </c>
      <c r="G6" s="12">
        <f t="shared" si="2"/>
        <v>45.709090909090904</v>
      </c>
      <c r="H6" s="86">
        <f t="shared" si="3"/>
        <v>45.709090909090904</v>
      </c>
      <c r="I6" s="11">
        <f>VLOOKUP(B6,Ordering!$A$1:$J$36,6,FALSE)</f>
        <v>0.96</v>
      </c>
      <c r="J6" s="11">
        <f>VLOOKUP(B6,Ordering!$A$1:$J$36,10,FALSE)</f>
        <v>4</v>
      </c>
      <c r="K6" s="11">
        <f t="shared" ref="K6:K10" si="4">H6/I6</f>
        <v>47.61363636363636</v>
      </c>
      <c r="L6" s="64">
        <f t="shared" ref="L6:L10" si="5">J6*K6</f>
        <v>190.45454545454544</v>
      </c>
      <c r="O6">
        <v>81</v>
      </c>
    </row>
    <row r="7" spans="1:19" ht="14.5" x14ac:dyDescent="0.35">
      <c r="A7" s="11"/>
      <c r="B7" s="11" t="s">
        <v>209</v>
      </c>
      <c r="C7" s="16" t="s">
        <v>18</v>
      </c>
      <c r="D7" s="15">
        <f t="shared" si="0"/>
        <v>0.10774410774410774</v>
      </c>
      <c r="E7" s="12">
        <f t="shared" si="1"/>
        <v>419</v>
      </c>
      <c r="F7" s="13">
        <v>1</v>
      </c>
      <c r="G7" s="12">
        <f t="shared" si="2"/>
        <v>45.144781144781142</v>
      </c>
      <c r="H7" s="86">
        <f t="shared" si="3"/>
        <v>45.144781144781142</v>
      </c>
      <c r="I7" s="11">
        <f>VLOOKUP(B7,Ordering!$A$1:$J$36,6,FALSE)</f>
        <v>0.94</v>
      </c>
      <c r="J7" s="11">
        <f>VLOOKUP(B7,Ordering!$A$1:$J$36,10,FALSE)</f>
        <v>3.6363636363636367</v>
      </c>
      <c r="K7" s="11">
        <f t="shared" si="4"/>
        <v>48.026362919979938</v>
      </c>
      <c r="L7" s="64">
        <f t="shared" si="5"/>
        <v>174.64131970901798</v>
      </c>
      <c r="O7">
        <v>80</v>
      </c>
      <c r="R7" s="48" t="s">
        <v>177</v>
      </c>
    </row>
    <row r="8" spans="1:19" ht="14.5" x14ac:dyDescent="0.35">
      <c r="A8" s="11"/>
      <c r="B8" s="11" t="s">
        <v>224</v>
      </c>
      <c r="C8" s="16" t="s">
        <v>18</v>
      </c>
      <c r="D8" s="15">
        <f t="shared" si="0"/>
        <v>6.7340067340067344E-4</v>
      </c>
      <c r="E8" s="12">
        <f t="shared" si="1"/>
        <v>419</v>
      </c>
      <c r="F8" s="13">
        <v>1</v>
      </c>
      <c r="G8" s="12">
        <f t="shared" si="2"/>
        <v>0.28215488215488216</v>
      </c>
      <c r="H8" s="86">
        <f t="shared" si="3"/>
        <v>0.28215488215488216</v>
      </c>
      <c r="I8" s="11">
        <f>VLOOKUP(B8,Ordering!$A$1:$J$36,6,FALSE)</f>
        <v>1</v>
      </c>
      <c r="J8" s="11">
        <f>VLOOKUP(B8,Ordering!$A$1:$J$36,10,FALSE)</f>
        <v>35</v>
      </c>
      <c r="K8" s="11">
        <f t="shared" si="4"/>
        <v>0.28215488215488216</v>
      </c>
      <c r="L8" s="64">
        <f t="shared" si="5"/>
        <v>9.8754208754208754</v>
      </c>
      <c r="O8">
        <v>0.5</v>
      </c>
    </row>
    <row r="9" spans="1:19" ht="14.5" x14ac:dyDescent="0.35">
      <c r="A9" s="11"/>
      <c r="B9" s="11" t="s">
        <v>52</v>
      </c>
      <c r="C9" s="16" t="s">
        <v>18</v>
      </c>
      <c r="D9" s="15">
        <f t="shared" si="0"/>
        <v>6.0606060606060608E-2</v>
      </c>
      <c r="E9" s="12">
        <f t="shared" si="1"/>
        <v>419</v>
      </c>
      <c r="F9" s="13">
        <v>1</v>
      </c>
      <c r="G9" s="12">
        <f t="shared" si="2"/>
        <v>25.393939393939394</v>
      </c>
      <c r="H9" s="86">
        <f t="shared" si="3"/>
        <v>25.393939393939394</v>
      </c>
      <c r="I9" s="11">
        <f>VLOOKUP(B9,Ordering!$A$1:$J$36,6,FALSE)</f>
        <v>1</v>
      </c>
      <c r="J9" s="11">
        <f>VLOOKUP(B9,Ordering!$A$1:$J$36,10,FALSE)</f>
        <v>0.74</v>
      </c>
      <c r="K9" s="11">
        <f t="shared" si="4"/>
        <v>25.393939393939394</v>
      </c>
      <c r="L9" s="64">
        <f t="shared" si="5"/>
        <v>18.791515151515153</v>
      </c>
      <c r="O9">
        <v>45</v>
      </c>
    </row>
    <row r="10" spans="1:19" ht="14.5" x14ac:dyDescent="0.35">
      <c r="A10" s="11"/>
      <c r="B10" s="11" t="s">
        <v>53</v>
      </c>
      <c r="C10" s="16" t="s">
        <v>212</v>
      </c>
      <c r="D10" s="15">
        <f t="shared" si="0"/>
        <v>0.40538720538720541</v>
      </c>
      <c r="E10" s="12">
        <f t="shared" si="1"/>
        <v>419</v>
      </c>
      <c r="F10" s="13">
        <v>1</v>
      </c>
      <c r="G10" s="12">
        <f t="shared" si="2"/>
        <v>169.85723905723907</v>
      </c>
      <c r="H10" s="86">
        <f t="shared" si="3"/>
        <v>169.85723905723907</v>
      </c>
      <c r="I10" s="11">
        <f>VLOOKUP(B10,Ordering!$A$1:$J$36,6,FALSE)</f>
        <v>1</v>
      </c>
      <c r="J10" s="11">
        <f>VLOOKUP(B10,Ordering!$A$1:$J$36,10,FALSE)</f>
        <v>0</v>
      </c>
      <c r="K10" s="11">
        <f t="shared" si="4"/>
        <v>169.85723905723907</v>
      </c>
      <c r="L10" s="64">
        <f t="shared" si="5"/>
        <v>0</v>
      </c>
      <c r="O10">
        <v>301</v>
      </c>
      <c r="R10" s="108" t="s">
        <v>62</v>
      </c>
      <c r="S10" s="109"/>
    </row>
    <row r="11" spans="1:19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/>
      <c r="O12" s="22">
        <f>O11/I1</f>
        <v>742.5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417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419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22F85-3D2B-4DC6-96F1-6C0795481777}">
  <sheetPr codeName="Sheet28">
    <tabColor theme="4" tint="-0.249977111117893"/>
    <pageSetUpPr fitToPage="1"/>
  </sheetPr>
  <dimension ref="A1:S27"/>
  <sheetViews>
    <sheetView topLeftCell="J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128</v>
      </c>
      <c r="F1" s="17" t="s">
        <v>2</v>
      </c>
      <c r="G1" s="10">
        <f>D1/B1</f>
        <v>128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8"/>
      <c r="B2" s="111" t="s">
        <v>158</v>
      </c>
      <c r="C2" s="110"/>
      <c r="D2" s="110"/>
      <c r="E2" s="110"/>
      <c r="F2" s="110"/>
      <c r="G2" s="110"/>
      <c r="H2" s="112"/>
      <c r="I2" s="35"/>
      <c r="J2" s="35"/>
      <c r="K2" s="36"/>
    </row>
    <row r="3" spans="1:19" ht="14.25" customHeight="1" x14ac:dyDescent="0.3">
      <c r="A3" s="58"/>
      <c r="B3" s="114" t="s">
        <v>284</v>
      </c>
      <c r="C3" s="113"/>
      <c r="D3" s="113"/>
      <c r="E3" s="113"/>
      <c r="F3" s="113"/>
      <c r="G3" s="113"/>
      <c r="H3" s="115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59</v>
      </c>
      <c r="C5" s="16" t="s">
        <v>18</v>
      </c>
      <c r="D5" s="15">
        <f t="shared" ref="D5:D10" si="0">O5/$O$12</f>
        <v>33.703703703703702</v>
      </c>
      <c r="E5" s="12">
        <f t="shared" ref="E5:E10" si="1">$G$1</f>
        <v>128</v>
      </c>
      <c r="F5" s="13">
        <v>1</v>
      </c>
      <c r="G5" s="12">
        <f t="shared" ref="G5:G10" si="2">E5*D5</f>
        <v>4314.0740740740739</v>
      </c>
      <c r="H5" s="86">
        <f t="shared" ref="H5:H10" si="3">G5*F5</f>
        <v>4314.0740740740739</v>
      </c>
      <c r="I5" s="11">
        <f>VLOOKUP(B5,Ordering!$A$1:$J$36,6,FALSE)</f>
        <v>0.98</v>
      </c>
      <c r="J5" s="11">
        <f>VLOOKUP(B5,Ordering!$A$1:$J$36,10,FALSE)</f>
        <v>3.5</v>
      </c>
      <c r="K5" s="11">
        <f>H5/I5</f>
        <v>4402.1164021164022</v>
      </c>
      <c r="L5" s="64">
        <f>J5*K5</f>
        <v>15407.407407407409</v>
      </c>
      <c r="O5">
        <v>14300</v>
      </c>
    </row>
    <row r="6" spans="1:19" ht="14.5" x14ac:dyDescent="0.35">
      <c r="A6" s="11"/>
      <c r="B6" s="11" t="s">
        <v>95</v>
      </c>
      <c r="C6" s="16" t="s">
        <v>18</v>
      </c>
      <c r="D6" s="15">
        <f t="shared" si="0"/>
        <v>0.19090909090909092</v>
      </c>
      <c r="E6" s="12">
        <f t="shared" si="1"/>
        <v>128</v>
      </c>
      <c r="F6" s="13">
        <v>1</v>
      </c>
      <c r="G6" s="12">
        <f t="shared" si="2"/>
        <v>24.436363636363637</v>
      </c>
      <c r="H6" s="86">
        <f t="shared" si="3"/>
        <v>24.436363636363637</v>
      </c>
      <c r="I6" s="11">
        <f>VLOOKUP(B6,Ordering!$A$1:$J$36,6,FALSE)</f>
        <v>0.96</v>
      </c>
      <c r="J6" s="11">
        <f>VLOOKUP(B6,Ordering!$A$1:$J$36,10,FALSE)</f>
        <v>4</v>
      </c>
      <c r="K6" s="11">
        <f t="shared" ref="K6:K10" si="4">H6/I6</f>
        <v>25.454545454545457</v>
      </c>
      <c r="L6" s="64">
        <f t="shared" ref="L6:L10" si="5">J6*K6</f>
        <v>101.81818181818183</v>
      </c>
      <c r="O6">
        <v>81</v>
      </c>
    </row>
    <row r="7" spans="1:19" ht="14.5" x14ac:dyDescent="0.35">
      <c r="A7" s="11"/>
      <c r="B7" s="11" t="s">
        <v>209</v>
      </c>
      <c r="C7" s="16" t="s">
        <v>18</v>
      </c>
      <c r="D7" s="15">
        <f t="shared" si="0"/>
        <v>0.18855218855218855</v>
      </c>
      <c r="E7" s="12">
        <f t="shared" si="1"/>
        <v>128</v>
      </c>
      <c r="F7" s="13">
        <v>1</v>
      </c>
      <c r="G7" s="12">
        <f t="shared" si="2"/>
        <v>24.134680134680135</v>
      </c>
      <c r="H7" s="86">
        <f t="shared" si="3"/>
        <v>24.134680134680135</v>
      </c>
      <c r="I7" s="11">
        <f>VLOOKUP(B7,Ordering!$A$1:$J$36,6,FALSE)</f>
        <v>0.94</v>
      </c>
      <c r="J7" s="11">
        <f>VLOOKUP(B7,Ordering!$A$1:$J$36,10,FALSE)</f>
        <v>3.6363636363636367</v>
      </c>
      <c r="K7" s="11">
        <f t="shared" si="4"/>
        <v>25.675191632638445</v>
      </c>
      <c r="L7" s="64">
        <f t="shared" si="5"/>
        <v>93.364333209594349</v>
      </c>
      <c r="O7">
        <v>80</v>
      </c>
      <c r="R7" s="48" t="s">
        <v>175</v>
      </c>
    </row>
    <row r="8" spans="1:19" ht="14.5" x14ac:dyDescent="0.35">
      <c r="A8" s="11"/>
      <c r="B8" s="11" t="s">
        <v>224</v>
      </c>
      <c r="C8" s="16" t="s">
        <v>18</v>
      </c>
      <c r="D8" s="15">
        <f t="shared" si="0"/>
        <v>1.1784511784511784E-3</v>
      </c>
      <c r="E8" s="12">
        <f t="shared" si="1"/>
        <v>128</v>
      </c>
      <c r="F8" s="13">
        <v>1</v>
      </c>
      <c r="G8" s="12">
        <f t="shared" si="2"/>
        <v>0.15084175084175083</v>
      </c>
      <c r="H8" s="86">
        <f t="shared" si="3"/>
        <v>0.15084175084175083</v>
      </c>
      <c r="I8" s="11">
        <f>VLOOKUP(B8,Ordering!$A$1:$J$36,6,FALSE)</f>
        <v>1</v>
      </c>
      <c r="J8" s="11">
        <f>VLOOKUP(B8,Ordering!$A$1:$J$36,10,FALSE)</f>
        <v>35</v>
      </c>
      <c r="K8" s="11">
        <f t="shared" si="4"/>
        <v>0.15084175084175083</v>
      </c>
      <c r="L8" s="64">
        <f t="shared" si="5"/>
        <v>5.2794612794612794</v>
      </c>
      <c r="O8">
        <v>0.5</v>
      </c>
    </row>
    <row r="9" spans="1:19" ht="14.5" x14ac:dyDescent="0.35">
      <c r="A9" s="11"/>
      <c r="B9" s="11" t="s">
        <v>52</v>
      </c>
      <c r="C9" s="16" t="s">
        <v>18</v>
      </c>
      <c r="D9" s="15">
        <f t="shared" si="0"/>
        <v>0.10606060606060606</v>
      </c>
      <c r="E9" s="12">
        <f t="shared" si="1"/>
        <v>128</v>
      </c>
      <c r="F9" s="13">
        <v>1</v>
      </c>
      <c r="G9" s="12">
        <f t="shared" si="2"/>
        <v>13.575757575757576</v>
      </c>
      <c r="H9" s="86">
        <f t="shared" si="3"/>
        <v>13.575757575757576</v>
      </c>
      <c r="I9" s="11">
        <f>VLOOKUP(B9,Ordering!$A$1:$J$36,6,FALSE)</f>
        <v>1</v>
      </c>
      <c r="J9" s="11">
        <f>VLOOKUP(B9,Ordering!$A$1:$J$36,10,FALSE)</f>
        <v>0.74</v>
      </c>
      <c r="K9" s="11">
        <f t="shared" si="4"/>
        <v>13.575757575757576</v>
      </c>
      <c r="L9" s="64">
        <f t="shared" si="5"/>
        <v>10.046060606060607</v>
      </c>
      <c r="O9">
        <v>45</v>
      </c>
    </row>
    <row r="10" spans="1:19" ht="14.5" x14ac:dyDescent="0.35">
      <c r="A10" s="11"/>
      <c r="B10" s="11" t="s">
        <v>53</v>
      </c>
      <c r="C10" s="16" t="s">
        <v>212</v>
      </c>
      <c r="D10" s="15">
        <f t="shared" si="0"/>
        <v>0.70942760942760941</v>
      </c>
      <c r="E10" s="12">
        <f t="shared" si="1"/>
        <v>128</v>
      </c>
      <c r="F10" s="13">
        <v>1</v>
      </c>
      <c r="G10" s="12">
        <f t="shared" si="2"/>
        <v>90.806734006734004</v>
      </c>
      <c r="H10" s="86">
        <f t="shared" si="3"/>
        <v>90.806734006734004</v>
      </c>
      <c r="I10" s="11">
        <f>VLOOKUP(B10,Ordering!$A$1:$J$36,6,FALSE)</f>
        <v>1</v>
      </c>
      <c r="J10" s="11">
        <f>VLOOKUP(B10,Ordering!$A$1:$J$36,10,FALSE)</f>
        <v>0</v>
      </c>
      <c r="K10" s="11">
        <f t="shared" si="4"/>
        <v>90.806734006734004</v>
      </c>
      <c r="L10" s="64">
        <f t="shared" si="5"/>
        <v>0</v>
      </c>
      <c r="O10">
        <v>301</v>
      </c>
      <c r="R10" s="108" t="s">
        <v>62</v>
      </c>
      <c r="S10" s="109"/>
    </row>
    <row r="11" spans="1:19" x14ac:dyDescent="0.3">
      <c r="M11" s="24" t="s">
        <v>19</v>
      </c>
      <c r="N11" s="22"/>
      <c r="O11">
        <v>14850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/>
      <c r="O12" s="22">
        <f>O11/I1</f>
        <v>424.28571428571428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126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128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C5A5A-27C0-4DDB-9F6C-2C466EC6189D}">
  <sheetPr codeName="Sheet29">
    <tabColor theme="4" tint="-0.249977111117893"/>
    <pageSetUpPr fitToPage="1"/>
  </sheetPr>
  <dimension ref="A1:S27"/>
  <sheetViews>
    <sheetView topLeftCell="I1" zoomScale="85" zoomScaleNormal="85" zoomScaleSheetLayoutView="100" workbookViewId="0">
      <selection activeCell="S14" sqref="S14"/>
    </sheetView>
  </sheetViews>
  <sheetFormatPr defaultRowHeight="14" x14ac:dyDescent="0.3"/>
  <cols>
    <col min="1" max="1" width="17.6640625" bestFit="1" customWidth="1"/>
    <col min="2" max="2" width="36.33203125" bestFit="1" customWidth="1"/>
    <col min="3" max="3" width="17.4140625" customWidth="1"/>
    <col min="4" max="4" width="14.5" bestFit="1" customWidth="1"/>
    <col min="5" max="5" width="14.33203125" bestFit="1" customWidth="1"/>
    <col min="6" max="6" width="11.5" bestFit="1" customWidth="1"/>
    <col min="8" max="8" width="29.83203125" bestFit="1" customWidth="1"/>
    <col min="10" max="10" width="22.08203125" bestFit="1" customWidth="1"/>
    <col min="11" max="11" width="13.6640625" customWidth="1"/>
    <col min="12" max="13" width="11.5" bestFit="1" customWidth="1"/>
    <col min="19" max="19" width="8.5" bestFit="1" customWidth="1"/>
  </cols>
  <sheetData>
    <row r="1" spans="1:19" ht="26.25" customHeight="1" x14ac:dyDescent="0.3">
      <c r="A1" s="17" t="s">
        <v>0</v>
      </c>
      <c r="B1" s="9">
        <v>1</v>
      </c>
      <c r="C1" s="17" t="s">
        <v>1</v>
      </c>
      <c r="D1" s="10">
        <f>S15</f>
        <v>219</v>
      </c>
      <c r="F1" s="17" t="s">
        <v>2</v>
      </c>
      <c r="G1" s="10">
        <f>D1/B1</f>
        <v>219</v>
      </c>
      <c r="H1" s="17" t="s">
        <v>3</v>
      </c>
      <c r="I1" s="21">
        <v>35</v>
      </c>
      <c r="J1" s="1"/>
      <c r="K1" s="23" t="s">
        <v>4</v>
      </c>
    </row>
    <row r="2" spans="1:19" ht="14.25" customHeight="1" x14ac:dyDescent="0.3">
      <c r="A2" s="54"/>
      <c r="B2" s="110" t="s">
        <v>74</v>
      </c>
      <c r="C2" s="110"/>
      <c r="D2" s="110"/>
      <c r="E2" s="110"/>
      <c r="F2" s="110"/>
      <c r="G2" s="110"/>
      <c r="H2" s="110"/>
      <c r="I2" s="35"/>
      <c r="J2" s="35"/>
      <c r="K2" s="36"/>
    </row>
    <row r="3" spans="1:19" ht="14.25" customHeight="1" x14ac:dyDescent="0.3">
      <c r="A3" s="55"/>
      <c r="B3" s="113" t="s">
        <v>285</v>
      </c>
      <c r="C3" s="113"/>
      <c r="D3" s="113"/>
      <c r="E3" s="113"/>
      <c r="F3" s="113"/>
      <c r="G3" s="113"/>
      <c r="H3" s="113"/>
      <c r="I3" s="34"/>
      <c r="J3" s="34"/>
      <c r="K3" s="37"/>
    </row>
    <row r="4" spans="1:19" ht="39.5" customHeight="1" x14ac:dyDescent="0.3">
      <c r="A4" s="17" t="s">
        <v>6</v>
      </c>
      <c r="B4" s="17" t="s">
        <v>7</v>
      </c>
      <c r="C4" s="17" t="s">
        <v>8</v>
      </c>
      <c r="D4" s="17" t="s">
        <v>9</v>
      </c>
      <c r="E4" s="14" t="s">
        <v>10</v>
      </c>
      <c r="F4" s="14" t="s">
        <v>11</v>
      </c>
      <c r="G4" s="17" t="s">
        <v>12</v>
      </c>
      <c r="H4" s="85" t="s">
        <v>13</v>
      </c>
      <c r="I4" s="88" t="s">
        <v>250</v>
      </c>
      <c r="J4" s="88" t="s">
        <v>14</v>
      </c>
      <c r="K4" s="88" t="s">
        <v>15</v>
      </c>
      <c r="L4" s="88" t="s">
        <v>16</v>
      </c>
    </row>
    <row r="5" spans="1:19" ht="14.5" x14ac:dyDescent="0.35">
      <c r="A5" s="11"/>
      <c r="B5" s="11" t="s">
        <v>54</v>
      </c>
      <c r="C5" s="16" t="s">
        <v>18</v>
      </c>
      <c r="D5" s="15">
        <f t="shared" ref="D5:D10" si="0">N5/$N$12</f>
        <v>20.923913043478262</v>
      </c>
      <c r="E5" s="12">
        <f t="shared" ref="E5:E10" si="1">$G$1</f>
        <v>219</v>
      </c>
      <c r="F5" s="13">
        <v>1</v>
      </c>
      <c r="G5" s="12">
        <f t="shared" ref="G5:G10" si="2">E5*D5</f>
        <v>4582.336956521739</v>
      </c>
      <c r="H5" s="86">
        <f t="shared" ref="H5:H10" si="3">G5*F5</f>
        <v>4582.336956521739</v>
      </c>
      <c r="I5" s="11">
        <f>VLOOKUP(B5,Ordering!$A$1:$J$36,6,FALSE)</f>
        <v>1</v>
      </c>
      <c r="J5" s="11">
        <f>VLOOKUP(B5,Ordering!$A$1:$J$36,10,FALSE)</f>
        <v>6.6959999999999997</v>
      </c>
      <c r="K5" s="89">
        <f>H5/I5</f>
        <v>4582.336956521739</v>
      </c>
      <c r="L5" s="90">
        <f>J5*K5</f>
        <v>30683.328260869563</v>
      </c>
      <c r="N5">
        <v>5500</v>
      </c>
    </row>
    <row r="6" spans="1:19" ht="14.5" x14ac:dyDescent="0.35">
      <c r="A6" s="11"/>
      <c r="B6" s="11" t="s">
        <v>58</v>
      </c>
      <c r="C6" s="16" t="s">
        <v>18</v>
      </c>
      <c r="D6" s="15">
        <f t="shared" si="0"/>
        <v>5.6190217391304351</v>
      </c>
      <c r="E6" s="12">
        <f t="shared" si="1"/>
        <v>219</v>
      </c>
      <c r="F6" s="13">
        <v>1</v>
      </c>
      <c r="G6" s="12">
        <f t="shared" si="2"/>
        <v>1230.5657608695653</v>
      </c>
      <c r="H6" s="86">
        <f t="shared" si="3"/>
        <v>1230.5657608695653</v>
      </c>
      <c r="I6" s="11">
        <f>VLOOKUP(B6,Ordering!$A$1:$J$36,6,FALSE)</f>
        <v>0.8</v>
      </c>
      <c r="J6" s="11">
        <f>VLOOKUP(B6,Ordering!$A$1:$J$36,10,FALSE)</f>
        <v>3</v>
      </c>
      <c r="K6" s="89">
        <f t="shared" ref="K6:K10" si="4">H6/I6</f>
        <v>1538.2072010869565</v>
      </c>
      <c r="L6" s="90">
        <f t="shared" ref="L6:L10" si="5">J6*K6</f>
        <v>4614.62160326087</v>
      </c>
      <c r="N6">
        <v>1477</v>
      </c>
    </row>
    <row r="7" spans="1:19" ht="14.5" x14ac:dyDescent="0.35">
      <c r="A7" s="11"/>
      <c r="B7" s="11" t="s">
        <v>51</v>
      </c>
      <c r="C7" s="16" t="s">
        <v>18</v>
      </c>
      <c r="D7" s="15">
        <f t="shared" si="0"/>
        <v>5.744565217391305E-2</v>
      </c>
      <c r="E7" s="12">
        <f t="shared" si="1"/>
        <v>219</v>
      </c>
      <c r="F7" s="13">
        <v>1</v>
      </c>
      <c r="G7" s="12">
        <f t="shared" si="2"/>
        <v>12.580597826086958</v>
      </c>
      <c r="H7" s="86">
        <f t="shared" si="3"/>
        <v>12.580597826086958</v>
      </c>
      <c r="I7" s="11">
        <f>VLOOKUP(B7,Ordering!$A$1:$J$36,6,FALSE)</f>
        <v>1</v>
      </c>
      <c r="J7" s="11">
        <f>VLOOKUP(B7,Ordering!$A$1:$J$36,10,FALSE)</f>
        <v>8</v>
      </c>
      <c r="K7" s="89">
        <f t="shared" si="4"/>
        <v>12.580597826086958</v>
      </c>
      <c r="L7" s="90">
        <f t="shared" si="5"/>
        <v>100.64478260869566</v>
      </c>
      <c r="N7">
        <v>15.1</v>
      </c>
      <c r="R7" s="48" t="s">
        <v>32</v>
      </c>
    </row>
    <row r="8" spans="1:19" ht="14.5" x14ac:dyDescent="0.35">
      <c r="A8" s="11"/>
      <c r="B8" s="11" t="s">
        <v>211</v>
      </c>
      <c r="C8" s="16" t="s">
        <v>18</v>
      </c>
      <c r="D8" s="15">
        <f t="shared" si="0"/>
        <v>1.9402173913043479E-2</v>
      </c>
      <c r="E8" s="12">
        <f t="shared" si="1"/>
        <v>219</v>
      </c>
      <c r="F8" s="13">
        <v>1</v>
      </c>
      <c r="G8" s="12">
        <f t="shared" si="2"/>
        <v>4.2490760869565216</v>
      </c>
      <c r="H8" s="86">
        <f t="shared" si="3"/>
        <v>4.2490760869565216</v>
      </c>
      <c r="I8" s="11">
        <f>VLOOKUP(B8,Ordering!$A$1:$J$36,6,FALSE)</f>
        <v>1</v>
      </c>
      <c r="J8" s="11">
        <f>VLOOKUP(B8,Ordering!$A$1:$J$36,10,FALSE)</f>
        <v>20</v>
      </c>
      <c r="K8" s="89">
        <f t="shared" si="4"/>
        <v>4.2490760869565216</v>
      </c>
      <c r="L8" s="90">
        <f t="shared" si="5"/>
        <v>84.981521739130429</v>
      </c>
      <c r="N8">
        <v>5.0999999999999996</v>
      </c>
    </row>
    <row r="9" spans="1:19" ht="14.5" x14ac:dyDescent="0.35">
      <c r="A9" s="11"/>
      <c r="B9" s="11" t="s">
        <v>53</v>
      </c>
      <c r="C9" s="16" t="s">
        <v>212</v>
      </c>
      <c r="D9" s="15">
        <f t="shared" si="0"/>
        <v>9.5108695652173925</v>
      </c>
      <c r="E9" s="12">
        <f t="shared" si="1"/>
        <v>219</v>
      </c>
      <c r="F9" s="13">
        <v>1</v>
      </c>
      <c r="G9" s="12">
        <f t="shared" si="2"/>
        <v>2082.880434782609</v>
      </c>
      <c r="H9" s="86">
        <f t="shared" si="3"/>
        <v>2082.880434782609</v>
      </c>
      <c r="I9" s="11">
        <f>VLOOKUP(B9,Ordering!$A$1:$J$36,6,FALSE)</f>
        <v>1</v>
      </c>
      <c r="J9" s="11">
        <f>VLOOKUP(B9,Ordering!$A$1:$J$36,10,FALSE)</f>
        <v>0</v>
      </c>
      <c r="K9" s="89">
        <f t="shared" si="4"/>
        <v>2082.880434782609</v>
      </c>
      <c r="L9" s="90">
        <f t="shared" si="5"/>
        <v>0</v>
      </c>
      <c r="N9">
        <v>2500</v>
      </c>
    </row>
    <row r="10" spans="1:19" ht="14.5" x14ac:dyDescent="0.35">
      <c r="A10" s="11"/>
      <c r="B10" s="11" t="s">
        <v>52</v>
      </c>
      <c r="C10" s="16" t="s">
        <v>18</v>
      </c>
      <c r="D10" s="15">
        <f t="shared" si="0"/>
        <v>7.9891304347826098E-2</v>
      </c>
      <c r="E10" s="12">
        <f t="shared" si="1"/>
        <v>219</v>
      </c>
      <c r="F10" s="13">
        <v>1</v>
      </c>
      <c r="G10" s="12">
        <f t="shared" si="2"/>
        <v>17.496195652173917</v>
      </c>
      <c r="H10" s="86">
        <f t="shared" si="3"/>
        <v>17.496195652173917</v>
      </c>
      <c r="I10" s="11">
        <f>VLOOKUP(B10,Ordering!$A$1:$J$36,6,FALSE)</f>
        <v>1</v>
      </c>
      <c r="J10" s="11">
        <f>VLOOKUP(B10,Ordering!$A$1:$J$36,10,FALSE)</f>
        <v>0.74</v>
      </c>
      <c r="K10" s="89">
        <f t="shared" si="4"/>
        <v>17.496195652173917</v>
      </c>
      <c r="L10" s="90">
        <f t="shared" si="5"/>
        <v>12.947184782608698</v>
      </c>
      <c r="N10">
        <v>21</v>
      </c>
      <c r="R10" s="108" t="s">
        <v>62</v>
      </c>
      <c r="S10" s="109"/>
    </row>
    <row r="11" spans="1:19" x14ac:dyDescent="0.3">
      <c r="M11" s="24" t="s">
        <v>19</v>
      </c>
      <c r="N11" s="22">
        <v>9200</v>
      </c>
      <c r="R11" s="106" t="s">
        <v>63</v>
      </c>
      <c r="S11" s="107"/>
    </row>
    <row r="12" spans="1:19" ht="14.75" customHeight="1" thickBot="1" x14ac:dyDescent="0.35">
      <c r="M12" s="24" t="s">
        <v>21</v>
      </c>
      <c r="N12" s="22">
        <f>N11/I1</f>
        <v>262.85714285714283</v>
      </c>
      <c r="R12" s="2" t="s">
        <v>22</v>
      </c>
      <c r="S12" s="3" t="s">
        <v>23</v>
      </c>
    </row>
    <row r="13" spans="1:19" ht="14.75" customHeight="1" thickBot="1" x14ac:dyDescent="0.35">
      <c r="R13" s="4" t="s">
        <v>24</v>
      </c>
      <c r="S13" s="5">
        <v>217</v>
      </c>
    </row>
    <row r="14" spans="1:19" ht="14.75" customHeight="1" thickBot="1" x14ac:dyDescent="0.35">
      <c r="R14" s="4" t="s">
        <v>25</v>
      </c>
      <c r="S14" s="6">
        <v>2</v>
      </c>
    </row>
    <row r="15" spans="1:19" x14ac:dyDescent="0.3">
      <c r="R15" s="7" t="s">
        <v>26</v>
      </c>
      <c r="S15" s="8">
        <f>S13+S14</f>
        <v>219</v>
      </c>
    </row>
    <row r="27" spans="11:11" x14ac:dyDescent="0.3">
      <c r="K27" s="20"/>
    </row>
  </sheetData>
  <mergeCells count="4">
    <mergeCell ref="R10:S10"/>
    <mergeCell ref="R11:S11"/>
    <mergeCell ref="B2:H2"/>
    <mergeCell ref="B3:H3"/>
  </mergeCells>
  <printOptions horizontalCentered="1"/>
  <pageMargins left="0.4" right="0.4" top="1" bottom="0.5" header="0.3" footer="0.3"/>
  <pageSetup paperSize="9" scale="4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List of Meals</vt:lpstr>
      <vt:lpstr>Ordering</vt:lpstr>
      <vt:lpstr>Tahina Small</vt:lpstr>
      <vt:lpstr>Red sauce</vt:lpstr>
      <vt:lpstr>Cucumber yogurt sauce</vt:lpstr>
      <vt:lpstr>Herbal Sauce</vt:lpstr>
      <vt:lpstr>Coctail Sauce Dip In </vt:lpstr>
      <vt:lpstr>Red sauce Big</vt:lpstr>
      <vt:lpstr>Tahina Big</vt:lpstr>
      <vt:lpstr>Coctail Sauce Weight</vt:lpstr>
      <vt:lpstr>Coctail Sauce Dip In  (2)</vt:lpstr>
      <vt:lpstr>Coctail Sauce Weight (3)</vt:lpstr>
      <vt:lpstr>Cucumber Pickle</vt:lpstr>
      <vt:lpstr>Cucumber yogurt sauce (2)</vt:lpstr>
      <vt:lpstr>Red sauce Big (2)</vt:lpstr>
      <vt:lpstr>Tahina Big (2)</vt:lpstr>
      <vt:lpstr>Red sauce Big (3)</vt:lpstr>
      <vt:lpstr>Coctail Sauce Dip In  (3)</vt:lpstr>
      <vt:lpstr>Coctail Sauce Weight (2)</vt:lpstr>
      <vt:lpstr>Mixed Pickle</vt:lpstr>
      <vt:lpstr>Cucumber yogurt sauce (3)</vt:lpstr>
      <vt:lpstr>Shabat Sauce</vt:lpstr>
      <vt:lpstr>Biryani Yoghrt sauce</vt:lpstr>
      <vt:lpstr>Coctail Sauce Dip In  (4)</vt:lpstr>
      <vt:lpstr>Coctail Sauce Weight (5)</vt:lpstr>
      <vt:lpstr>Red sauce Big (4)</vt:lpstr>
      <vt:lpstr>Cucumber yogurt sauce (4)</vt:lpstr>
      <vt:lpstr>Coctail Sauce Weight (4)</vt:lpstr>
      <vt:lpstr>Sumak Onion</vt:lpstr>
      <vt:lpstr>Tahina Small (2)</vt:lpstr>
      <vt:lpstr>Red sauce (2)</vt:lpstr>
      <vt:lpstr>Red sauce Big (5)</vt:lpstr>
      <vt:lpstr>Cucumber yogurt sauce (5)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akmal</dc:creator>
  <cp:lastModifiedBy>Amira Fathy</cp:lastModifiedBy>
  <cp:lastPrinted>2026-06-28T16:54:17Z</cp:lastPrinted>
  <dcterms:created xsi:type="dcterms:W3CDTF">2026-01-12T00:14:28Z</dcterms:created>
  <dcterms:modified xsi:type="dcterms:W3CDTF">2026-06-28T16:58:25Z</dcterms:modified>
</cp:coreProperties>
</file>