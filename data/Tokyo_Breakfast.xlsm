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3/"/>
    </mc:Choice>
  </mc:AlternateContent>
  <xr:revisionPtr revIDLastSave="17296" documentId="13_ncr:1_{B94E496A-AD4C-41E7-AB6C-924AA1D5C76C}" xr6:coauthVersionLast="47" xr6:coauthVersionMax="47" xr10:uidLastSave="{5E53FCE8-100F-4971-9CD4-9DC2689D0428}"/>
  <bookViews>
    <workbookView xWindow="2770" yWindow="550" windowWidth="21350" windowHeight="18890" tabRatio="863" xr2:uid="{00000000-000D-0000-FFFF-FFFF00000000}"/>
  </bookViews>
  <sheets>
    <sheet name="Ordering" sheetId="1" r:id="rId1"/>
    <sheet name="Foul" sheetId="3" r:id="rId2"/>
    <sheet name="Egg and Cheese Sandwich" sheetId="4" r:id="rId3"/>
    <sheet name="Croissant Spinach and Cheese " sheetId="5" r:id="rId4"/>
    <sheet name="Club Sandwich" sheetId="6" r:id="rId5"/>
    <sheet name="Greek Yogurt with Oats" sheetId="7" r:id="rId6"/>
    <sheet name="Croissant Turkey " sheetId="32" r:id="rId7"/>
    <sheet name="Tuna Sandwich" sheetId="8" r:id="rId8"/>
    <sheet name="Ta'teema" sheetId="9" r:id="rId9"/>
    <sheet name="Oatmeal Egg Pie" sheetId="11" r:id="rId10"/>
    <sheet name="Omelette Vegetable and Mushroom" sheetId="12" r:id="rId11"/>
    <sheet name="Shakshuka Sandwich" sheetId="13" r:id="rId12"/>
    <sheet name="Masoob" sheetId="14" r:id="rId13"/>
    <sheet name="Croissant Cheddar Cheese" sheetId="15" r:id="rId14"/>
    <sheet name="Halloumi Sandwich" sheetId="16" r:id="rId15"/>
    <sheet name="Omelette Vegetable and Mush (2)" sheetId="17" r:id="rId16"/>
    <sheet name="Turkey &amp; Cranberry Sandwich" sheetId="10" r:id="rId17"/>
    <sheet name="Boiled Egg Sandwich " sheetId="19" r:id="rId18"/>
    <sheet name="Croissant Feta Cheese and Veget" sheetId="20" r:id="rId19"/>
    <sheet name="Chicken Club Sandwich" sheetId="21" r:id="rId20"/>
    <sheet name="Pancake" sheetId="22" r:id="rId21"/>
    <sheet name="Croissant Chocolate " sheetId="23" r:id="rId22"/>
    <sheet name="Halloumi Sandwich (2)" sheetId="25" r:id="rId23"/>
    <sheet name="Egg and Cheese Sandwich (2)" sheetId="26" r:id="rId24"/>
    <sheet name="Hummus" sheetId="33" r:id="rId25"/>
    <sheet name="Chicken Club Sandwich (2)" sheetId="24" r:id="rId26"/>
    <sheet name="Omelette Vegetable and Mush (3)" sheetId="27" r:id="rId27"/>
    <sheet name="Club Sandwich (2)" sheetId="28" r:id="rId28"/>
    <sheet name="Areekah" sheetId="29" r:id="rId29"/>
    <sheet name="Croissant Scrambled Egg " sheetId="30" r:id="rId30"/>
    <sheet name="Chicken Club Sandwich (3)" sheetId="31" r:id="rId31"/>
    <sheet name="Sakshuka Turkish" sheetId="34" r:id="rId32"/>
    <sheet name="NameNormalizationLog" sheetId="35" r:id="rId33"/>
  </sheets>
  <definedNames>
    <definedName name="_xlnm._FilterDatabase" localSheetId="0" hidden="1">Ordering!$A$1:$O$146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8" i="1" l="1"/>
  <c r="AC29" i="1"/>
  <c r="AC30" i="1"/>
  <c r="AC31" i="1"/>
  <c r="AC3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33" i="1"/>
  <c r="L85" i="1"/>
  <c r="S13" i="4" l="1"/>
  <c r="S13" i="5"/>
  <c r="S13" i="6"/>
  <c r="S13" i="7"/>
  <c r="S13" i="32"/>
  <c r="S13" i="8"/>
  <c r="S13" i="9"/>
  <c r="S15" i="9" s="1"/>
  <c r="S13" i="11"/>
  <c r="S13" i="12"/>
  <c r="S13" i="13"/>
  <c r="S13" i="14"/>
  <c r="S13" i="15"/>
  <c r="S13" i="16"/>
  <c r="S13" i="17"/>
  <c r="S13" i="10"/>
  <c r="S13" i="19"/>
  <c r="S13" i="20"/>
  <c r="S13" i="21"/>
  <c r="S13" i="22"/>
  <c r="S13" i="23"/>
  <c r="S13" i="25"/>
  <c r="S13" i="26"/>
  <c r="S13" i="33"/>
  <c r="S13" i="24"/>
  <c r="S13" i="27"/>
  <c r="S13" i="28"/>
  <c r="S13" i="29"/>
  <c r="S13" i="30"/>
  <c r="S13" i="31"/>
  <c r="S13" i="34"/>
  <c r="S13" i="3"/>
  <c r="L69" i="1"/>
  <c r="O69" i="1" s="1"/>
  <c r="K69" i="1"/>
  <c r="N69" i="1" s="1"/>
  <c r="J69" i="1"/>
  <c r="G52" i="1"/>
  <c r="O85" i="1"/>
  <c r="J85" i="1"/>
  <c r="K72" i="1"/>
  <c r="N72" i="1" s="1"/>
  <c r="K73" i="1"/>
  <c r="N73" i="1" s="1"/>
  <c r="K74" i="1"/>
  <c r="N74" i="1" s="1"/>
  <c r="K75" i="1"/>
  <c r="N75" i="1" s="1"/>
  <c r="K76" i="1"/>
  <c r="N76" i="1" s="1"/>
  <c r="K77" i="1"/>
  <c r="N77" i="1" s="1"/>
  <c r="K78" i="1"/>
  <c r="N78" i="1" s="1"/>
  <c r="K79" i="1"/>
  <c r="N79" i="1" s="1"/>
  <c r="K80" i="1"/>
  <c r="N80" i="1" s="1"/>
  <c r="K81" i="1"/>
  <c r="N81" i="1" s="1"/>
  <c r="K82" i="1"/>
  <c r="N82" i="1" s="1"/>
  <c r="K83" i="1"/>
  <c r="N83" i="1" s="1"/>
  <c r="L72" i="1"/>
  <c r="O72" i="1" s="1"/>
  <c r="L73" i="1"/>
  <c r="O73" i="1" s="1"/>
  <c r="L74" i="1"/>
  <c r="O74" i="1" s="1"/>
  <c r="L75" i="1"/>
  <c r="O75" i="1" s="1"/>
  <c r="L76" i="1"/>
  <c r="O76" i="1" s="1"/>
  <c r="L77" i="1"/>
  <c r="O77" i="1" s="1"/>
  <c r="L78" i="1"/>
  <c r="O78" i="1" s="1"/>
  <c r="L79" i="1"/>
  <c r="O79" i="1" s="1"/>
  <c r="L80" i="1"/>
  <c r="O80" i="1" s="1"/>
  <c r="L81" i="1"/>
  <c r="O81" i="1" s="1"/>
  <c r="L82" i="1"/>
  <c r="O82" i="1" s="1"/>
  <c r="L83" i="1"/>
  <c r="O83" i="1" s="1"/>
  <c r="I12" i="33"/>
  <c r="I15" i="3"/>
  <c r="J56" i="1"/>
  <c r="I9" i="10"/>
  <c r="L71" i="1"/>
  <c r="O71" i="1" s="1"/>
  <c r="I11" i="33"/>
  <c r="K20" i="1"/>
  <c r="N20" i="1" s="1"/>
  <c r="L20" i="1"/>
  <c r="O20" i="1" s="1"/>
  <c r="K21" i="1"/>
  <c r="N21" i="1" s="1"/>
  <c r="L21" i="1"/>
  <c r="O21" i="1" s="1"/>
  <c r="K24" i="1"/>
  <c r="N24" i="1" s="1"/>
  <c r="L24" i="1"/>
  <c r="O24" i="1" s="1"/>
  <c r="K26" i="1"/>
  <c r="N26" i="1" s="1"/>
  <c r="L26" i="1"/>
  <c r="O26" i="1" s="1"/>
  <c r="K27" i="1"/>
  <c r="N27" i="1" s="1"/>
  <c r="L27" i="1"/>
  <c r="O27" i="1" s="1"/>
  <c r="K28" i="1"/>
  <c r="N28" i="1" s="1"/>
  <c r="L28" i="1"/>
  <c r="O28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2" i="1"/>
  <c r="N32" i="1" s="1"/>
  <c r="L32" i="1"/>
  <c r="O32" i="1" s="1"/>
  <c r="K33" i="1"/>
  <c r="N33" i="1" s="1"/>
  <c r="L33" i="1"/>
  <c r="O33" i="1" s="1"/>
  <c r="K35" i="1"/>
  <c r="N35" i="1" s="1"/>
  <c r="L35" i="1"/>
  <c r="O35" i="1" s="1"/>
  <c r="K38" i="1"/>
  <c r="N38" i="1" s="1"/>
  <c r="L38" i="1"/>
  <c r="O38" i="1" s="1"/>
  <c r="K43" i="1"/>
  <c r="N43" i="1" s="1"/>
  <c r="L43" i="1"/>
  <c r="O43" i="1" s="1"/>
  <c r="K46" i="1"/>
  <c r="N46" i="1" s="1"/>
  <c r="L46" i="1"/>
  <c r="O46" i="1" s="1"/>
  <c r="K47" i="1"/>
  <c r="N47" i="1" s="1"/>
  <c r="L47" i="1"/>
  <c r="O47" i="1" s="1"/>
  <c r="K48" i="1"/>
  <c r="N48" i="1" s="1"/>
  <c r="L48" i="1"/>
  <c r="O48" i="1" s="1"/>
  <c r="K49" i="1"/>
  <c r="N49" i="1" s="1"/>
  <c r="L49" i="1"/>
  <c r="O49" i="1" s="1"/>
  <c r="K50" i="1"/>
  <c r="N50" i="1" s="1"/>
  <c r="L50" i="1"/>
  <c r="O50" i="1" s="1"/>
  <c r="K51" i="1"/>
  <c r="N51" i="1" s="1"/>
  <c r="L51" i="1"/>
  <c r="O51" i="1" s="1"/>
  <c r="K54" i="1"/>
  <c r="N54" i="1" s="1"/>
  <c r="L54" i="1"/>
  <c r="O54" i="1" s="1"/>
  <c r="K55" i="1"/>
  <c r="N55" i="1" s="1"/>
  <c r="L55" i="1"/>
  <c r="O55" i="1" s="1"/>
  <c r="K56" i="1"/>
  <c r="N56" i="1" s="1"/>
  <c r="L56" i="1"/>
  <c r="O56" i="1" s="1"/>
  <c r="K57" i="1"/>
  <c r="N57" i="1" s="1"/>
  <c r="L57" i="1"/>
  <c r="O57" i="1" s="1"/>
  <c r="K58" i="1"/>
  <c r="N58" i="1" s="1"/>
  <c r="L58" i="1"/>
  <c r="O58" i="1" s="1"/>
  <c r="K60" i="1"/>
  <c r="N60" i="1" s="1"/>
  <c r="L60" i="1"/>
  <c r="O60" i="1" s="1"/>
  <c r="K63" i="1"/>
  <c r="N63" i="1" s="1"/>
  <c r="L63" i="1"/>
  <c r="O63" i="1" s="1"/>
  <c r="K65" i="1"/>
  <c r="N65" i="1" s="1"/>
  <c r="L65" i="1"/>
  <c r="O65" i="1" s="1"/>
  <c r="K67" i="1"/>
  <c r="N67" i="1" s="1"/>
  <c r="L67" i="1"/>
  <c r="O67" i="1" s="1"/>
  <c r="K71" i="1"/>
  <c r="N71" i="1" s="1"/>
  <c r="K85" i="1"/>
  <c r="N85" i="1" s="1"/>
  <c r="K86" i="1"/>
  <c r="N86" i="1" s="1"/>
  <c r="L86" i="1"/>
  <c r="O86" i="1" s="1"/>
  <c r="L16" i="1"/>
  <c r="O16" i="1" s="1"/>
  <c r="K16" i="1"/>
  <c r="N16" i="1" s="1"/>
  <c r="K4" i="1"/>
  <c r="N4" i="1" s="1"/>
  <c r="L4" i="1"/>
  <c r="O4" i="1" s="1"/>
  <c r="K5" i="1"/>
  <c r="N5" i="1" s="1"/>
  <c r="L5" i="1"/>
  <c r="O5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0" i="1"/>
  <c r="N10" i="1" s="1"/>
  <c r="L10" i="1"/>
  <c r="O10" i="1" s="1"/>
  <c r="K11" i="1"/>
  <c r="N11" i="1" s="1"/>
  <c r="L11" i="1"/>
  <c r="O11" i="1" s="1"/>
  <c r="K13" i="1"/>
  <c r="N13" i="1" s="1"/>
  <c r="L13" i="1"/>
  <c r="O13" i="1" s="1"/>
  <c r="K14" i="1"/>
  <c r="N14" i="1" s="1"/>
  <c r="L14" i="1"/>
  <c r="O14" i="1" s="1"/>
  <c r="L3" i="1"/>
  <c r="O3" i="1" s="1"/>
  <c r="K3" i="1"/>
  <c r="N3" i="1" s="1"/>
  <c r="L52" i="1" l="1"/>
  <c r="O52" i="1" s="1"/>
  <c r="K52" i="1"/>
  <c r="N52" i="1" s="1"/>
  <c r="J52" i="1"/>
  <c r="D5" i="34"/>
  <c r="D8" i="34"/>
  <c r="D7" i="34"/>
  <c r="D6" i="34"/>
  <c r="M6" i="14" l="1"/>
  <c r="N14" i="14"/>
  <c r="J86" i="1"/>
  <c r="G12" i="1"/>
  <c r="J57" i="1"/>
  <c r="J55" i="1"/>
  <c r="J54" i="1"/>
  <c r="J9" i="10" s="1"/>
  <c r="J12" i="1" l="1"/>
  <c r="K12" i="1"/>
  <c r="N12" i="1" s="1"/>
  <c r="L12" i="1"/>
  <c r="O12" i="1" s="1"/>
  <c r="J12" i="33"/>
  <c r="J15" i="3"/>
  <c r="J14" i="3"/>
  <c r="D13" i="3"/>
  <c r="D14" i="3"/>
  <c r="D6" i="3"/>
  <c r="D7" i="3"/>
  <c r="D8" i="3"/>
  <c r="D9" i="3"/>
  <c r="D10" i="3"/>
  <c r="D11" i="3"/>
  <c r="D12" i="3"/>
  <c r="D5" i="3"/>
  <c r="N5" i="3"/>
  <c r="I7" i="5"/>
  <c r="D7" i="4"/>
  <c r="I6" i="3"/>
  <c r="I7" i="3"/>
  <c r="I8" i="3"/>
  <c r="I9" i="3"/>
  <c r="I10" i="3"/>
  <c r="I11" i="3"/>
  <c r="I12" i="3"/>
  <c r="I13" i="3"/>
  <c r="I14" i="3"/>
  <c r="I6" i="4"/>
  <c r="I7" i="4"/>
  <c r="I8" i="4"/>
  <c r="I9" i="4"/>
  <c r="I10" i="4"/>
  <c r="J10" i="4"/>
  <c r="I6" i="5"/>
  <c r="I6" i="6"/>
  <c r="I7" i="6"/>
  <c r="I8" i="6"/>
  <c r="I9" i="6"/>
  <c r="I10" i="6"/>
  <c r="J10" i="6"/>
  <c r="I6" i="7"/>
  <c r="I7" i="7"/>
  <c r="J7" i="7"/>
  <c r="I8" i="7"/>
  <c r="I9" i="7"/>
  <c r="I6" i="32"/>
  <c r="I7" i="32"/>
  <c r="I8" i="32"/>
  <c r="I6" i="8"/>
  <c r="I7" i="8"/>
  <c r="I8" i="8"/>
  <c r="I9" i="8"/>
  <c r="I10" i="8"/>
  <c r="I11" i="8"/>
  <c r="I12" i="8"/>
  <c r="J12" i="8"/>
  <c r="I6" i="9"/>
  <c r="I7" i="9"/>
  <c r="I8" i="9"/>
  <c r="I9" i="9"/>
  <c r="I10" i="9"/>
  <c r="J10" i="9"/>
  <c r="I11" i="9"/>
  <c r="I6" i="11"/>
  <c r="I7" i="11"/>
  <c r="I8" i="11"/>
  <c r="I9" i="11"/>
  <c r="I10" i="11"/>
  <c r="I11" i="11"/>
  <c r="I12" i="11"/>
  <c r="J12" i="11"/>
  <c r="I6" i="12"/>
  <c r="I7" i="12"/>
  <c r="I8" i="12"/>
  <c r="I9" i="12"/>
  <c r="I10" i="12"/>
  <c r="I11" i="12"/>
  <c r="I12" i="12"/>
  <c r="J12" i="12"/>
  <c r="I6" i="13"/>
  <c r="I7" i="13"/>
  <c r="I8" i="13"/>
  <c r="I9" i="13"/>
  <c r="I10" i="13"/>
  <c r="I11" i="13"/>
  <c r="I12" i="13"/>
  <c r="I13" i="13"/>
  <c r="J13" i="13"/>
  <c r="I7" i="14"/>
  <c r="I8" i="14"/>
  <c r="I9" i="14"/>
  <c r="I10" i="14"/>
  <c r="I11" i="14"/>
  <c r="I12" i="14"/>
  <c r="I6" i="15"/>
  <c r="I6" i="16"/>
  <c r="I7" i="16"/>
  <c r="I8" i="16"/>
  <c r="J8" i="16"/>
  <c r="I6" i="17"/>
  <c r="I7" i="17"/>
  <c r="I8" i="17"/>
  <c r="I9" i="17"/>
  <c r="I10" i="17"/>
  <c r="I11" i="17"/>
  <c r="I12" i="17"/>
  <c r="J12" i="17"/>
  <c r="I6" i="10"/>
  <c r="I7" i="10"/>
  <c r="I8" i="10"/>
  <c r="I6" i="19"/>
  <c r="I7" i="19"/>
  <c r="I8" i="19"/>
  <c r="I9" i="19"/>
  <c r="I10" i="19"/>
  <c r="J10" i="19"/>
  <c r="I11" i="19"/>
  <c r="I6" i="20"/>
  <c r="I7" i="20"/>
  <c r="I8" i="20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J18" i="21"/>
  <c r="I6" i="22"/>
  <c r="I7" i="22"/>
  <c r="I8" i="22"/>
  <c r="J8" i="22"/>
  <c r="I9" i="22"/>
  <c r="I10" i="22"/>
  <c r="I11" i="22"/>
  <c r="I12" i="22"/>
  <c r="I13" i="22"/>
  <c r="J13" i="22"/>
  <c r="I14" i="22"/>
  <c r="J14" i="22"/>
  <c r="I6" i="23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J18" i="24"/>
  <c r="I6" i="25"/>
  <c r="I7" i="25"/>
  <c r="I8" i="25"/>
  <c r="J8" i="25"/>
  <c r="I6" i="26"/>
  <c r="I7" i="26"/>
  <c r="I8" i="26"/>
  <c r="I9" i="26"/>
  <c r="I10" i="26"/>
  <c r="J10" i="26"/>
  <c r="I6" i="33"/>
  <c r="J6" i="33"/>
  <c r="I7" i="33"/>
  <c r="I8" i="33"/>
  <c r="I9" i="33"/>
  <c r="I10" i="33"/>
  <c r="J10" i="33"/>
  <c r="I6" i="27"/>
  <c r="I7" i="27"/>
  <c r="I8" i="27"/>
  <c r="I9" i="27"/>
  <c r="I10" i="27"/>
  <c r="I11" i="27"/>
  <c r="I12" i="27"/>
  <c r="J12" i="27"/>
  <c r="I6" i="28"/>
  <c r="I7" i="28"/>
  <c r="I8" i="28"/>
  <c r="I9" i="28"/>
  <c r="I10" i="28"/>
  <c r="J10" i="28"/>
  <c r="I6" i="29"/>
  <c r="I7" i="29"/>
  <c r="J7" i="29"/>
  <c r="I8" i="29"/>
  <c r="I9" i="29"/>
  <c r="I10" i="29"/>
  <c r="I11" i="29"/>
  <c r="I6" i="30"/>
  <c r="I7" i="30"/>
  <c r="I8" i="30"/>
  <c r="I9" i="30"/>
  <c r="I6" i="34"/>
  <c r="I7" i="34"/>
  <c r="I8" i="34"/>
  <c r="I9" i="34"/>
  <c r="I10" i="34"/>
  <c r="I6" i="31"/>
  <c r="I7" i="31"/>
  <c r="I8" i="31"/>
  <c r="I9" i="31"/>
  <c r="I10" i="31"/>
  <c r="I11" i="31"/>
  <c r="I12" i="31"/>
  <c r="I13" i="31"/>
  <c r="I14" i="31"/>
  <c r="I15" i="31"/>
  <c r="I16" i="31"/>
  <c r="I17" i="31"/>
  <c r="I18" i="31"/>
  <c r="J18" i="31"/>
  <c r="J5" i="14"/>
  <c r="J5" i="29"/>
  <c r="I5" i="3"/>
  <c r="I5" i="4"/>
  <c r="I5" i="5"/>
  <c r="I5" i="6"/>
  <c r="I5" i="7"/>
  <c r="I5" i="32"/>
  <c r="I5" i="8"/>
  <c r="I5" i="9"/>
  <c r="I5" i="11"/>
  <c r="I5" i="12"/>
  <c r="I5" i="13"/>
  <c r="I5" i="14"/>
  <c r="I5" i="15"/>
  <c r="I5" i="16"/>
  <c r="I5" i="17"/>
  <c r="I5" i="10"/>
  <c r="I5" i="19"/>
  <c r="I5" i="20"/>
  <c r="I5" i="21"/>
  <c r="I5" i="22"/>
  <c r="I5" i="23"/>
  <c r="I5" i="24"/>
  <c r="I5" i="25"/>
  <c r="I5" i="26"/>
  <c r="I5" i="33"/>
  <c r="I5" i="27"/>
  <c r="I5" i="28"/>
  <c r="I5" i="29"/>
  <c r="I5" i="30"/>
  <c r="I5" i="34"/>
  <c r="I5" i="31"/>
  <c r="J43" i="1"/>
  <c r="J47" i="1"/>
  <c r="J5" i="10" s="1"/>
  <c r="J63" i="1"/>
  <c r="J48" i="1"/>
  <c r="J6" i="7" s="1"/>
  <c r="J50" i="1"/>
  <c r="J11" i="9" s="1"/>
  <c r="J49" i="1"/>
  <c r="J6" i="23" s="1"/>
  <c r="J67" i="1"/>
  <c r="J5" i="28" s="1"/>
  <c r="J65" i="1"/>
  <c r="J5" i="31" s="1"/>
  <c r="G66" i="1"/>
  <c r="J66" i="1" l="1"/>
  <c r="J5" i="8" s="1"/>
  <c r="K66" i="1"/>
  <c r="N66" i="1" s="1"/>
  <c r="L66" i="1"/>
  <c r="O66" i="1" s="1"/>
  <c r="J5" i="3"/>
  <c r="J11" i="33"/>
  <c r="J10" i="29"/>
  <c r="J12" i="14"/>
  <c r="J14" i="24"/>
  <c r="J14" i="21"/>
  <c r="J5" i="6"/>
  <c r="J14" i="31"/>
  <c r="J6" i="32"/>
  <c r="J6" i="10"/>
  <c r="J5" i="21"/>
  <c r="J5" i="24"/>
  <c r="J58" i="1"/>
  <c r="J5" i="20" l="1"/>
  <c r="J5" i="5"/>
  <c r="J5" i="23"/>
  <c r="J5" i="30"/>
  <c r="J5" i="15"/>
  <c r="J5" i="32"/>
  <c r="F87" i="1" l="1"/>
  <c r="J35" i="1"/>
  <c r="J9" i="22" s="1"/>
  <c r="J87" i="1"/>
  <c r="J6" i="14" s="1"/>
  <c r="K87" i="1" l="1"/>
  <c r="N87" i="1" s="1"/>
  <c r="L87" i="1"/>
  <c r="O87" i="1" s="1"/>
  <c r="I6" i="14"/>
  <c r="I62" i="1"/>
  <c r="G62" i="1"/>
  <c r="I61" i="1"/>
  <c r="G61" i="1"/>
  <c r="J60" i="1"/>
  <c r="J12" i="22" s="1"/>
  <c r="J51" i="1"/>
  <c r="J6" i="29" s="1"/>
  <c r="J46" i="1"/>
  <c r="J10" i="22" s="1"/>
  <c r="G45" i="1"/>
  <c r="J61" i="1" l="1"/>
  <c r="J6" i="22" s="1"/>
  <c r="J62" i="1"/>
  <c r="L62" i="1"/>
  <c r="O62" i="1" s="1"/>
  <c r="K62" i="1"/>
  <c r="N62" i="1" s="1"/>
  <c r="K61" i="1"/>
  <c r="N61" i="1" s="1"/>
  <c r="L61" i="1"/>
  <c r="O61" i="1" s="1"/>
  <c r="J45" i="1"/>
  <c r="K45" i="1"/>
  <c r="N45" i="1" s="1"/>
  <c r="L45" i="1"/>
  <c r="O45" i="1" s="1"/>
  <c r="J8" i="11"/>
  <c r="J8" i="7"/>
  <c r="I40" i="1"/>
  <c r="G40" i="1"/>
  <c r="G6" i="1"/>
  <c r="J10" i="14" l="1"/>
  <c r="J9" i="7"/>
  <c r="L40" i="1"/>
  <c r="O40" i="1" s="1"/>
  <c r="K40" i="1"/>
  <c r="N40" i="1" s="1"/>
  <c r="J6" i="1"/>
  <c r="L6" i="1"/>
  <c r="O6" i="1" s="1"/>
  <c r="K6" i="1"/>
  <c r="N6" i="1" s="1"/>
  <c r="J11" i="22"/>
  <c r="J9" i="34"/>
  <c r="J5" i="11"/>
  <c r="J5" i="12"/>
  <c r="J5" i="17"/>
  <c r="J5" i="19"/>
  <c r="J8" i="9"/>
  <c r="J5" i="27"/>
  <c r="J40" i="1"/>
  <c r="J6" i="9" s="1"/>
  <c r="J5" i="4" l="1"/>
  <c r="J5" i="26"/>
  <c r="J6" i="30"/>
  <c r="J5" i="13"/>
  <c r="J16" i="1"/>
  <c r="J7" i="33" s="1"/>
  <c r="G18" i="1"/>
  <c r="G17" i="1"/>
  <c r="G19" i="1"/>
  <c r="J18" i="1" l="1"/>
  <c r="J8" i="8" s="1"/>
  <c r="L18" i="1"/>
  <c r="O18" i="1" s="1"/>
  <c r="K18" i="1"/>
  <c r="N18" i="1" s="1"/>
  <c r="J17" i="1"/>
  <c r="L17" i="1"/>
  <c r="O17" i="1" s="1"/>
  <c r="K17" i="1"/>
  <c r="N17" i="1" s="1"/>
  <c r="J19" i="1"/>
  <c r="L19" i="1"/>
  <c r="O19" i="1" s="1"/>
  <c r="K19" i="1"/>
  <c r="N19" i="1" s="1"/>
  <c r="J11" i="21"/>
  <c r="J8" i="28"/>
  <c r="J6" i="8"/>
  <c r="J8" i="6"/>
  <c r="J11" i="31"/>
  <c r="J11" i="24"/>
  <c r="J8" i="13"/>
  <c r="J9" i="3"/>
  <c r="G37" i="1"/>
  <c r="G41" i="1"/>
  <c r="G39" i="1"/>
  <c r="J38" i="1"/>
  <c r="J5" i="33" s="1"/>
  <c r="J37" i="1" l="1"/>
  <c r="J6" i="5" s="1"/>
  <c r="K37" i="1"/>
  <c r="N37" i="1" s="1"/>
  <c r="L37" i="1"/>
  <c r="O37" i="1" s="1"/>
  <c r="J41" i="1"/>
  <c r="J5" i="9" s="1"/>
  <c r="K41" i="1"/>
  <c r="N41" i="1" s="1"/>
  <c r="L41" i="1"/>
  <c r="O41" i="1" s="1"/>
  <c r="J39" i="1"/>
  <c r="J7" i="8" s="1"/>
  <c r="K39" i="1"/>
  <c r="N39" i="1" s="1"/>
  <c r="L39" i="1"/>
  <c r="O39" i="1" s="1"/>
  <c r="D5" i="25"/>
  <c r="J81" i="1"/>
  <c r="J78" i="1"/>
  <c r="J10" i="34" s="1"/>
  <c r="J76" i="1"/>
  <c r="J71" i="1"/>
  <c r="J80" i="1"/>
  <c r="J6" i="11" s="1"/>
  <c r="J83" i="1"/>
  <c r="J73" i="1"/>
  <c r="J7" i="13" s="1"/>
  <c r="J75" i="1"/>
  <c r="J72" i="1"/>
  <c r="J7" i="3" s="1"/>
  <c r="J74" i="1"/>
  <c r="J77" i="1"/>
  <c r="J6" i="3" s="1"/>
  <c r="J82" i="1"/>
  <c r="J79" i="1"/>
  <c r="J13" i="1"/>
  <c r="J14" i="1"/>
  <c r="J3" i="1"/>
  <c r="J7" i="1"/>
  <c r="J5" i="1"/>
  <c r="J9" i="1"/>
  <c r="J11" i="1"/>
  <c r="J8" i="1"/>
  <c r="J4" i="1"/>
  <c r="J10" i="1"/>
  <c r="J11" i="11" s="1"/>
  <c r="J7" i="25" l="1"/>
  <c r="J7" i="16"/>
  <c r="J7" i="20"/>
  <c r="J7" i="27"/>
  <c r="J7" i="17"/>
  <c r="J7" i="12"/>
  <c r="J6" i="21"/>
  <c r="J6" i="31"/>
  <c r="J6" i="24"/>
  <c r="J7" i="11"/>
  <c r="J6" i="17"/>
  <c r="J8" i="24"/>
  <c r="J6" i="12"/>
  <c r="J8" i="31"/>
  <c r="J6" i="27"/>
  <c r="J8" i="21"/>
  <c r="J17" i="31"/>
  <c r="J8" i="10"/>
  <c r="J11" i="19"/>
  <c r="J17" i="21"/>
  <c r="J7" i="32"/>
  <c r="J17" i="24"/>
  <c r="J7" i="28"/>
  <c r="J7" i="6"/>
  <c r="J9" i="21"/>
  <c r="J9" i="24"/>
  <c r="J9" i="31"/>
  <c r="J9" i="27"/>
  <c r="J9" i="17"/>
  <c r="J9" i="12"/>
  <c r="J7" i="10"/>
  <c r="J15" i="24"/>
  <c r="J15" i="21"/>
  <c r="J6" i="25"/>
  <c r="J15" i="31"/>
  <c r="J6" i="28"/>
  <c r="J6" i="20"/>
  <c r="J6" i="16"/>
  <c r="J6" i="19"/>
  <c r="J6" i="6"/>
  <c r="J8" i="32"/>
  <c r="J8" i="3"/>
  <c r="J8" i="27"/>
  <c r="J8" i="12"/>
  <c r="J5" i="34"/>
  <c r="J8" i="17"/>
  <c r="J6" i="13"/>
  <c r="J8" i="20"/>
  <c r="J7" i="5"/>
  <c r="J5" i="25"/>
  <c r="J5" i="16"/>
  <c r="J7" i="22"/>
  <c r="J12" i="13"/>
  <c r="J8" i="34"/>
  <c r="J10" i="3"/>
  <c r="J9" i="14"/>
  <c r="J8" i="29"/>
  <c r="J11" i="29"/>
  <c r="J8" i="14"/>
  <c r="J7" i="30"/>
  <c r="J5" i="22"/>
  <c r="J7" i="14"/>
  <c r="J5" i="7"/>
  <c r="J10" i="21"/>
  <c r="J10" i="31"/>
  <c r="J10" i="24"/>
  <c r="J7" i="4"/>
  <c r="J7" i="26"/>
  <c r="J7" i="9"/>
  <c r="J11" i="14"/>
  <c r="J6" i="4"/>
  <c r="J6" i="15"/>
  <c r="J6" i="26"/>
  <c r="J9" i="29"/>
  <c r="J16" i="31"/>
  <c r="J9" i="28"/>
  <c r="J16" i="21"/>
  <c r="J9" i="6"/>
  <c r="J16" i="24"/>
  <c r="J33" i="1"/>
  <c r="J9" i="9" s="1"/>
  <c r="J29" i="1"/>
  <c r="J11" i="8" s="1"/>
  <c r="J28" i="1"/>
  <c r="J10" i="8" s="1"/>
  <c r="J30" i="1"/>
  <c r="J27" i="1"/>
  <c r="J32" i="1"/>
  <c r="J9" i="30" s="1"/>
  <c r="J26" i="1"/>
  <c r="J31" i="1"/>
  <c r="D9" i="12"/>
  <c r="D8" i="12"/>
  <c r="D6" i="12"/>
  <c r="D7" i="12"/>
  <c r="D9" i="28"/>
  <c r="D8" i="28"/>
  <c r="D7" i="28"/>
  <c r="D6" i="28"/>
  <c r="D5" i="28"/>
  <c r="N12" i="33"/>
  <c r="D5" i="21"/>
  <c r="D6" i="21"/>
  <c r="D6" i="8"/>
  <c r="I1" i="34"/>
  <c r="S15" i="34"/>
  <c r="D1" i="34" s="1"/>
  <c r="G1" i="34" s="1"/>
  <c r="S15" i="33"/>
  <c r="D10" i="33"/>
  <c r="D9" i="33"/>
  <c r="D8" i="33"/>
  <c r="D7" i="33"/>
  <c r="D6" i="33"/>
  <c r="D5" i="33"/>
  <c r="S15" i="32"/>
  <c r="D1" i="32" s="1"/>
  <c r="G1" i="32" s="1"/>
  <c r="E5" i="32" s="1"/>
  <c r="S15" i="31"/>
  <c r="D1" i="31" s="1"/>
  <c r="F1" i="31" s="1"/>
  <c r="D13" i="31"/>
  <c r="D12" i="31"/>
  <c r="D11" i="31"/>
  <c r="D10" i="31"/>
  <c r="D9" i="31"/>
  <c r="D8" i="31"/>
  <c r="D7" i="31"/>
  <c r="D6" i="31"/>
  <c r="D5" i="31"/>
  <c r="S15" i="30"/>
  <c r="F1" i="30" s="1"/>
  <c r="I1" i="30" s="1"/>
  <c r="D9" i="30"/>
  <c r="D8" i="30"/>
  <c r="D7" i="30"/>
  <c r="S15" i="29"/>
  <c r="D1" i="29" s="1"/>
  <c r="G1" i="29" s="1"/>
  <c r="E11" i="29" s="1"/>
  <c r="G11" i="29" s="1"/>
  <c r="H11" i="29" s="1"/>
  <c r="K11" i="29" s="1"/>
  <c r="D7" i="29"/>
  <c r="D6" i="29"/>
  <c r="M1" i="29"/>
  <c r="S15" i="28"/>
  <c r="D1" i="28" s="1"/>
  <c r="G1" i="28" s="1"/>
  <c r="S15" i="27"/>
  <c r="D1" i="27" s="1"/>
  <c r="G1" i="27" s="1"/>
  <c r="D11" i="27"/>
  <c r="D10" i="27"/>
  <c r="D9" i="27"/>
  <c r="D8" i="27"/>
  <c r="D7" i="27"/>
  <c r="D6" i="27"/>
  <c r="S15" i="26"/>
  <c r="D1" i="26" s="1"/>
  <c r="G1" i="26" s="1"/>
  <c r="D9" i="26"/>
  <c r="D8" i="26"/>
  <c r="D7" i="26"/>
  <c r="D6" i="26"/>
  <c r="S15" i="25"/>
  <c r="D1" i="25" s="1"/>
  <c r="G1" i="25" s="1"/>
  <c r="I1" i="25"/>
  <c r="S15" i="24"/>
  <c r="D1" i="24" s="1"/>
  <c r="F1" i="24" s="1"/>
  <c r="D13" i="24"/>
  <c r="D12" i="24"/>
  <c r="D11" i="24"/>
  <c r="D10" i="24"/>
  <c r="D9" i="24"/>
  <c r="D8" i="24"/>
  <c r="D7" i="24"/>
  <c r="D6" i="24"/>
  <c r="D5" i="24"/>
  <c r="S15" i="23"/>
  <c r="S15" i="22"/>
  <c r="F1" i="22" s="1"/>
  <c r="I1" i="22" s="1"/>
  <c r="D14" i="22"/>
  <c r="D12" i="22"/>
  <c r="D11" i="22"/>
  <c r="D10" i="22"/>
  <c r="D9" i="22"/>
  <c r="D8" i="22"/>
  <c r="D7" i="22"/>
  <c r="D6" i="22"/>
  <c r="D5" i="22"/>
  <c r="S15" i="21"/>
  <c r="D1" i="21" s="1"/>
  <c r="F1" i="21" s="1"/>
  <c r="D13" i="21"/>
  <c r="D12" i="21"/>
  <c r="D11" i="21"/>
  <c r="D10" i="21"/>
  <c r="D9" i="21"/>
  <c r="D8" i="21"/>
  <c r="D7" i="21"/>
  <c r="S15" i="20"/>
  <c r="F1" i="20" s="1"/>
  <c r="I1" i="20" s="1"/>
  <c r="S15" i="19"/>
  <c r="D1" i="19" s="1"/>
  <c r="G1" i="19" s="1"/>
  <c r="D9" i="19"/>
  <c r="D8" i="19"/>
  <c r="D7" i="19"/>
  <c r="S15" i="17"/>
  <c r="D1" i="17" s="1"/>
  <c r="G1" i="17" s="1"/>
  <c r="D11" i="17"/>
  <c r="D10" i="17"/>
  <c r="D9" i="17"/>
  <c r="D8" i="17"/>
  <c r="D7" i="17"/>
  <c r="D6" i="17"/>
  <c r="S15" i="16"/>
  <c r="D1" i="16" s="1"/>
  <c r="G1" i="16" s="1"/>
  <c r="D5" i="16"/>
  <c r="I1" i="16"/>
  <c r="S15" i="15"/>
  <c r="D1" i="15" s="1"/>
  <c r="G1" i="15" s="1"/>
  <c r="S15" i="14"/>
  <c r="D1" i="14" s="1"/>
  <c r="G1" i="14" s="1"/>
  <c r="D10" i="14"/>
  <c r="D9" i="14"/>
  <c r="D8" i="14"/>
  <c r="D7" i="14"/>
  <c r="D6" i="14"/>
  <c r="M1" i="14"/>
  <c r="D5" i="14" s="1"/>
  <c r="I1" i="14"/>
  <c r="S15" i="13"/>
  <c r="D1" i="13" s="1"/>
  <c r="G1" i="13" s="1"/>
  <c r="D12" i="13"/>
  <c r="D11" i="13"/>
  <c r="D10" i="13"/>
  <c r="D9" i="13"/>
  <c r="D8" i="13"/>
  <c r="D7" i="13"/>
  <c r="D6" i="13"/>
  <c r="S15" i="12"/>
  <c r="D1" i="12" s="1"/>
  <c r="G1" i="12" s="1"/>
  <c r="D11" i="12"/>
  <c r="D10" i="12"/>
  <c r="S15" i="11"/>
  <c r="D1" i="11" s="1"/>
  <c r="G1" i="11" s="1"/>
  <c r="D10" i="11"/>
  <c r="D9" i="11"/>
  <c r="D8" i="11"/>
  <c r="D7" i="11"/>
  <c r="D6" i="11"/>
  <c r="D5" i="11"/>
  <c r="S15" i="10"/>
  <c r="D1" i="10" s="1"/>
  <c r="G1" i="10" s="1"/>
  <c r="E9" i="10" s="1"/>
  <c r="G9" i="10" s="1"/>
  <c r="H9" i="10" s="1"/>
  <c r="K9" i="10" s="1"/>
  <c r="L9" i="10" s="1"/>
  <c r="I1" i="10"/>
  <c r="F1" i="9"/>
  <c r="I1" i="9" s="1"/>
  <c r="S15" i="8"/>
  <c r="D1" i="8" s="1"/>
  <c r="G1" i="8" s="1"/>
  <c r="D11" i="8"/>
  <c r="D10" i="8"/>
  <c r="D9" i="8"/>
  <c r="D8" i="8"/>
  <c r="D7" i="8"/>
  <c r="D5" i="8"/>
  <c r="S15" i="7"/>
  <c r="D1" i="7" s="1"/>
  <c r="G1" i="7" s="1"/>
  <c r="M1" i="7"/>
  <c r="I1" i="7"/>
  <c r="S15" i="6"/>
  <c r="D1" i="6" s="1"/>
  <c r="G1" i="6" s="1"/>
  <c r="D9" i="6"/>
  <c r="D8" i="6"/>
  <c r="D7" i="6"/>
  <c r="D6" i="6"/>
  <c r="D5" i="6"/>
  <c r="S15" i="5"/>
  <c r="D1" i="5" s="1"/>
  <c r="G1" i="5" s="1"/>
  <c r="S15" i="4"/>
  <c r="D1" i="4" s="1"/>
  <c r="G1" i="4" s="1"/>
  <c r="D9" i="4"/>
  <c r="D8" i="4"/>
  <c r="D6" i="4"/>
  <c r="S15" i="3"/>
  <c r="D1" i="3" s="1"/>
  <c r="F1" i="3" s="1"/>
  <c r="H1" i="3" s="1"/>
  <c r="E15" i="3" s="1"/>
  <c r="G15" i="3" s="1"/>
  <c r="H15" i="3" s="1"/>
  <c r="K15" i="3" s="1"/>
  <c r="L15" i="3" s="1"/>
  <c r="F1" i="23" l="1"/>
  <c r="I1" i="23" s="1"/>
  <c r="L11" i="29"/>
  <c r="J12" i="24"/>
  <c r="J12" i="21"/>
  <c r="J9" i="13"/>
  <c r="J12" i="31"/>
  <c r="J9" i="19"/>
  <c r="J9" i="33"/>
  <c r="J13" i="3"/>
  <c r="J9" i="11"/>
  <c r="J9" i="8"/>
  <c r="J11" i="17"/>
  <c r="J10" i="13"/>
  <c r="J7" i="24"/>
  <c r="J6" i="34"/>
  <c r="J7" i="31"/>
  <c r="J11" i="12"/>
  <c r="J8" i="19"/>
  <c r="J8" i="4"/>
  <c r="J12" i="3"/>
  <c r="J8" i="26"/>
  <c r="J7" i="21"/>
  <c r="J11" i="27"/>
  <c r="J10" i="11"/>
  <c r="J13" i="21"/>
  <c r="J9" i="26"/>
  <c r="J7" i="19"/>
  <c r="J10" i="27"/>
  <c r="J13" i="24"/>
  <c r="J13" i="31"/>
  <c r="J11" i="3"/>
  <c r="J9" i="4"/>
  <c r="J8" i="33"/>
  <c r="J10" i="12"/>
  <c r="J11" i="13"/>
  <c r="J7" i="34"/>
  <c r="J8" i="30"/>
  <c r="J10" i="17"/>
  <c r="E11" i="19"/>
  <c r="G11" i="19" s="1"/>
  <c r="H11" i="19" s="1"/>
  <c r="K11" i="19" s="1"/>
  <c r="L11" i="19" s="1"/>
  <c r="D1" i="33"/>
  <c r="G1" i="33" s="1"/>
  <c r="E12" i="1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E9" i="30"/>
  <c r="G9" i="30" s="1"/>
  <c r="H9" i="30" s="1"/>
  <c r="K9" i="30" s="1"/>
  <c r="L9" i="30" s="1"/>
  <c r="E8" i="34"/>
  <c r="E9" i="34"/>
  <c r="G9" i="34" s="1"/>
  <c r="H9" i="34" s="1"/>
  <c r="K9" i="34" s="1"/>
  <c r="L9" i="34" s="1"/>
  <c r="E7" i="34"/>
  <c r="E5" i="34"/>
  <c r="G5" i="34" s="1"/>
  <c r="H5" i="34" s="1"/>
  <c r="K5" i="34" s="1"/>
  <c r="L5" i="34" s="1"/>
  <c r="E10" i="34"/>
  <c r="G10" i="34" s="1"/>
  <c r="H10" i="34" s="1"/>
  <c r="K10" i="34" s="1"/>
  <c r="L10" i="34" s="1"/>
  <c r="E6" i="34"/>
  <c r="G5" i="32"/>
  <c r="H5" i="32" s="1"/>
  <c r="K5" i="32" s="1"/>
  <c r="L5" i="32" s="1"/>
  <c r="E6" i="32"/>
  <c r="G6" i="32" s="1"/>
  <c r="H6" i="32" s="1"/>
  <c r="K6" i="32" s="1"/>
  <c r="L6" i="32" s="1"/>
  <c r="E7" i="32"/>
  <c r="G7" i="32" s="1"/>
  <c r="H7" i="32" s="1"/>
  <c r="K7" i="32" s="1"/>
  <c r="L7" i="32" s="1"/>
  <c r="E8" i="32"/>
  <c r="G8" i="32" s="1"/>
  <c r="H8" i="32" s="1"/>
  <c r="K8" i="32" s="1"/>
  <c r="L8" i="32" s="1"/>
  <c r="E9" i="31"/>
  <c r="G9" i="31" s="1"/>
  <c r="H9" i="31" s="1"/>
  <c r="K9" i="31" s="1"/>
  <c r="L9" i="31" s="1"/>
  <c r="E14" i="31"/>
  <c r="G14" i="31" s="1"/>
  <c r="H14" i="31" s="1"/>
  <c r="K14" i="31" s="1"/>
  <c r="L14" i="31" s="1"/>
  <c r="E15" i="31"/>
  <c r="G15" i="31" s="1"/>
  <c r="H15" i="31" s="1"/>
  <c r="K15" i="31" s="1"/>
  <c r="L15" i="31" s="1"/>
  <c r="E18" i="31"/>
  <c r="G18" i="31" s="1"/>
  <c r="H18" i="31" s="1"/>
  <c r="K18" i="31" s="1"/>
  <c r="L18" i="31" s="1"/>
  <c r="E5" i="31"/>
  <c r="G5" i="31" s="1"/>
  <c r="H5" i="31" s="1"/>
  <c r="K5" i="31" s="1"/>
  <c r="L5" i="31" s="1"/>
  <c r="E7" i="31"/>
  <c r="G7" i="31" s="1"/>
  <c r="H7" i="31" s="1"/>
  <c r="K7" i="31" s="1"/>
  <c r="E8" i="31"/>
  <c r="G8" i="31" s="1"/>
  <c r="H8" i="31" s="1"/>
  <c r="K8" i="31" s="1"/>
  <c r="L8" i="31" s="1"/>
  <c r="E10" i="31"/>
  <c r="G10" i="31" s="1"/>
  <c r="H10" i="31" s="1"/>
  <c r="K10" i="31" s="1"/>
  <c r="L10" i="31" s="1"/>
  <c r="E11" i="31"/>
  <c r="G11" i="31" s="1"/>
  <c r="H11" i="31" s="1"/>
  <c r="K11" i="31" s="1"/>
  <c r="L11" i="31" s="1"/>
  <c r="E12" i="31"/>
  <c r="G12" i="31" s="1"/>
  <c r="H12" i="31" s="1"/>
  <c r="K12" i="31" s="1"/>
  <c r="E17" i="31"/>
  <c r="G17" i="31" s="1"/>
  <c r="H17" i="31" s="1"/>
  <c r="K17" i="31" s="1"/>
  <c r="L17" i="31" s="1"/>
  <c r="E13" i="31"/>
  <c r="G13" i="31" s="1"/>
  <c r="H13" i="31" s="1"/>
  <c r="K13" i="31" s="1"/>
  <c r="E16" i="31"/>
  <c r="G16" i="31" s="1"/>
  <c r="H16" i="31" s="1"/>
  <c r="K16" i="31" s="1"/>
  <c r="L16" i="31" s="1"/>
  <c r="E6" i="31"/>
  <c r="G6" i="31" s="1"/>
  <c r="H6" i="31" s="1"/>
  <c r="K6" i="31" s="1"/>
  <c r="L6" i="31" s="1"/>
  <c r="D5" i="29"/>
  <c r="I1" i="29"/>
  <c r="E5" i="29"/>
  <c r="G5" i="29" s="1"/>
  <c r="H5" i="29" s="1"/>
  <c r="K5" i="29" s="1"/>
  <c r="L5" i="29" s="1"/>
  <c r="E6" i="29"/>
  <c r="G6" i="29" s="1"/>
  <c r="H6" i="29" s="1"/>
  <c r="K6" i="29" s="1"/>
  <c r="L6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9" i="29"/>
  <c r="G9" i="29" s="1"/>
  <c r="H9" i="29" s="1"/>
  <c r="K9" i="29" s="1"/>
  <c r="L9" i="29" s="1"/>
  <c r="E10" i="29"/>
  <c r="G10" i="29" s="1"/>
  <c r="H10" i="29" s="1"/>
  <c r="K10" i="29" s="1"/>
  <c r="L10" i="29" s="1"/>
  <c r="E5" i="28"/>
  <c r="G5" i="28" s="1"/>
  <c r="H5" i="28" s="1"/>
  <c r="K5" i="28" s="1"/>
  <c r="L5" i="28" s="1"/>
  <c r="E8" i="28"/>
  <c r="G8" i="28" s="1"/>
  <c r="H8" i="28" s="1"/>
  <c r="K8" i="28" s="1"/>
  <c r="L8" i="28" s="1"/>
  <c r="E9" i="28"/>
  <c r="G9" i="28" s="1"/>
  <c r="H9" i="28" s="1"/>
  <c r="K9" i="28" s="1"/>
  <c r="L9" i="28" s="1"/>
  <c r="E7" i="28"/>
  <c r="G7" i="28" s="1"/>
  <c r="H7" i="28" s="1"/>
  <c r="K7" i="28" s="1"/>
  <c r="L7" i="28" s="1"/>
  <c r="E10" i="28"/>
  <c r="G10" i="28" s="1"/>
  <c r="H10" i="28" s="1"/>
  <c r="K10" i="28" s="1"/>
  <c r="L10" i="28" s="1"/>
  <c r="E6" i="28"/>
  <c r="G6" i="28" s="1"/>
  <c r="H6" i="28" s="1"/>
  <c r="K6" i="28" s="1"/>
  <c r="L6" i="28" s="1"/>
  <c r="E5" i="27"/>
  <c r="G5" i="27" s="1"/>
  <c r="H5" i="27" s="1"/>
  <c r="K5" i="27" s="1"/>
  <c r="L5" i="27" s="1"/>
  <c r="E6" i="27"/>
  <c r="G6" i="27" s="1"/>
  <c r="H6" i="27" s="1"/>
  <c r="K6" i="27" s="1"/>
  <c r="L6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E9" i="27"/>
  <c r="G9" i="27" s="1"/>
  <c r="H9" i="27" s="1"/>
  <c r="K9" i="27" s="1"/>
  <c r="L9" i="27" s="1"/>
  <c r="E10" i="27"/>
  <c r="G10" i="27" s="1"/>
  <c r="H10" i="27" s="1"/>
  <c r="K10" i="27" s="1"/>
  <c r="E11" i="27"/>
  <c r="G11" i="27" s="1"/>
  <c r="H11" i="27" s="1"/>
  <c r="K11" i="27" s="1"/>
  <c r="E12" i="27"/>
  <c r="G12" i="27" s="1"/>
  <c r="H12" i="27" s="1"/>
  <c r="K12" i="27" s="1"/>
  <c r="L12" i="27" s="1"/>
  <c r="E5" i="26"/>
  <c r="G5" i="26" s="1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8" i="26"/>
  <c r="G8" i="26" s="1"/>
  <c r="H8" i="26" s="1"/>
  <c r="K8" i="26" s="1"/>
  <c r="E9" i="26"/>
  <c r="G9" i="26" s="1"/>
  <c r="H9" i="26" s="1"/>
  <c r="K9" i="26" s="1"/>
  <c r="E10" i="26"/>
  <c r="G10" i="26" s="1"/>
  <c r="H10" i="26" s="1"/>
  <c r="K10" i="26" s="1"/>
  <c r="L10" i="26" s="1"/>
  <c r="E5" i="25"/>
  <c r="G5" i="25" s="1"/>
  <c r="H5" i="25" s="1"/>
  <c r="K5" i="25" s="1"/>
  <c r="L5" i="25" s="1"/>
  <c r="E6" i="25"/>
  <c r="G6" i="25" s="1"/>
  <c r="H6" i="25" s="1"/>
  <c r="K6" i="25" s="1"/>
  <c r="L6" i="25" s="1"/>
  <c r="E7" i="25"/>
  <c r="G7" i="25" s="1"/>
  <c r="H7" i="25" s="1"/>
  <c r="K7" i="25" s="1"/>
  <c r="L7" i="25" s="1"/>
  <c r="E8" i="25"/>
  <c r="G8" i="25" s="1"/>
  <c r="H8" i="25" s="1"/>
  <c r="K8" i="25" s="1"/>
  <c r="L8" i="25" s="1"/>
  <c r="E5" i="24"/>
  <c r="G5" i="24" s="1"/>
  <c r="H5" i="24" s="1"/>
  <c r="K5" i="24" s="1"/>
  <c r="L5" i="24" s="1"/>
  <c r="E6" i="24"/>
  <c r="G6" i="24" s="1"/>
  <c r="H6" i="24" s="1"/>
  <c r="K6" i="24" s="1"/>
  <c r="L6" i="24" s="1"/>
  <c r="E9" i="24"/>
  <c r="G9" i="24" s="1"/>
  <c r="H9" i="24" s="1"/>
  <c r="K9" i="24" s="1"/>
  <c r="L9" i="24" s="1"/>
  <c r="E10" i="24"/>
  <c r="G10" i="24" s="1"/>
  <c r="H10" i="24" s="1"/>
  <c r="K10" i="24" s="1"/>
  <c r="L10" i="24" s="1"/>
  <c r="E11" i="24"/>
  <c r="G11" i="24" s="1"/>
  <c r="H11" i="24" s="1"/>
  <c r="K11" i="24" s="1"/>
  <c r="L11" i="24" s="1"/>
  <c r="E12" i="24"/>
  <c r="G12" i="24" s="1"/>
  <c r="H12" i="24" s="1"/>
  <c r="K12" i="24" s="1"/>
  <c r="E13" i="24"/>
  <c r="G13" i="24" s="1"/>
  <c r="H13" i="24" s="1"/>
  <c r="K13" i="24" s="1"/>
  <c r="E14" i="24"/>
  <c r="G14" i="24" s="1"/>
  <c r="H14" i="24" s="1"/>
  <c r="K14" i="24" s="1"/>
  <c r="L14" i="24" s="1"/>
  <c r="E15" i="24"/>
  <c r="G15" i="24" s="1"/>
  <c r="H15" i="24" s="1"/>
  <c r="K15" i="24" s="1"/>
  <c r="L15" i="24" s="1"/>
  <c r="E16" i="24"/>
  <c r="G16" i="24" s="1"/>
  <c r="H16" i="24" s="1"/>
  <c r="K16" i="24" s="1"/>
  <c r="L16" i="24" s="1"/>
  <c r="E17" i="24"/>
  <c r="G17" i="24" s="1"/>
  <c r="H17" i="24" s="1"/>
  <c r="K17" i="24" s="1"/>
  <c r="L17" i="24" s="1"/>
  <c r="E18" i="24"/>
  <c r="G18" i="24" s="1"/>
  <c r="H18" i="24" s="1"/>
  <c r="K18" i="24" s="1"/>
  <c r="L18" i="24" s="1"/>
  <c r="E7" i="24"/>
  <c r="G7" i="24" s="1"/>
  <c r="H7" i="24" s="1"/>
  <c r="K7" i="24" s="1"/>
  <c r="E8" i="24"/>
  <c r="G8" i="24" s="1"/>
  <c r="H8" i="24" s="1"/>
  <c r="K8" i="24" s="1"/>
  <c r="L8" i="24" s="1"/>
  <c r="E5" i="22"/>
  <c r="G5" i="22" s="1"/>
  <c r="H5" i="22" s="1"/>
  <c r="K5" i="22" s="1"/>
  <c r="L5" i="22" s="1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1" i="22"/>
  <c r="G11" i="22" s="1"/>
  <c r="H11" i="22" s="1"/>
  <c r="K11" i="22" s="1"/>
  <c r="L11" i="22" s="1"/>
  <c r="E12" i="22"/>
  <c r="G12" i="22" s="1"/>
  <c r="H12" i="22" s="1"/>
  <c r="K12" i="22" s="1"/>
  <c r="L12" i="22" s="1"/>
  <c r="E13" i="22"/>
  <c r="G13" i="22" s="1"/>
  <c r="H13" i="22" s="1"/>
  <c r="K13" i="22" s="1"/>
  <c r="L13" i="22" s="1"/>
  <c r="E14" i="22"/>
  <c r="G14" i="22" s="1"/>
  <c r="H14" i="22" s="1"/>
  <c r="K14" i="22" s="1"/>
  <c r="L14" i="2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E13" i="21"/>
  <c r="G13" i="21" s="1"/>
  <c r="H13" i="21" s="1"/>
  <c r="K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5" i="20"/>
  <c r="G5" i="20" s="1"/>
  <c r="H5" i="20" s="1"/>
  <c r="K5" i="20" s="1"/>
  <c r="L5" i="20" s="1"/>
  <c r="E6" i="20"/>
  <c r="G6" i="20" s="1"/>
  <c r="H6" i="20" s="1"/>
  <c r="K6" i="20" s="1"/>
  <c r="L6" i="20" s="1"/>
  <c r="E7" i="20"/>
  <c r="G7" i="20" s="1"/>
  <c r="H7" i="20" s="1"/>
  <c r="K7" i="20" s="1"/>
  <c r="L7" i="20" s="1"/>
  <c r="E8" i="20"/>
  <c r="G8" i="20" s="1"/>
  <c r="H8" i="20" s="1"/>
  <c r="K8" i="20" s="1"/>
  <c r="L8" i="20" s="1"/>
  <c r="E7" i="19"/>
  <c r="G7" i="19" s="1"/>
  <c r="H7" i="19" s="1"/>
  <c r="K7" i="19" s="1"/>
  <c r="E6" i="19"/>
  <c r="G6" i="19" s="1"/>
  <c r="H6" i="19" s="1"/>
  <c r="K6" i="19" s="1"/>
  <c r="L6" i="19" s="1"/>
  <c r="E8" i="19"/>
  <c r="G8" i="19" s="1"/>
  <c r="H8" i="19" s="1"/>
  <c r="K8" i="19" s="1"/>
  <c r="E5" i="19"/>
  <c r="G5" i="19" s="1"/>
  <c r="H5" i="19" s="1"/>
  <c r="K5" i="19" s="1"/>
  <c r="L5" i="19" s="1"/>
  <c r="E9" i="19"/>
  <c r="G9" i="19" s="1"/>
  <c r="H9" i="19" s="1"/>
  <c r="K9" i="19" s="1"/>
  <c r="E10" i="19"/>
  <c r="G10" i="19" s="1"/>
  <c r="H10" i="19" s="1"/>
  <c r="K10" i="19" s="1"/>
  <c r="L10" i="19" s="1"/>
  <c r="E6" i="17"/>
  <c r="G6" i="17" s="1"/>
  <c r="H6" i="17" s="1"/>
  <c r="K6" i="17" s="1"/>
  <c r="L6" i="17" s="1"/>
  <c r="E12" i="17"/>
  <c r="G12" i="17" s="1"/>
  <c r="H12" i="17" s="1"/>
  <c r="K12" i="17" s="1"/>
  <c r="L12" i="17" s="1"/>
  <c r="E9" i="17"/>
  <c r="G9" i="17" s="1"/>
  <c r="H9" i="17" s="1"/>
  <c r="K9" i="17" s="1"/>
  <c r="L9" i="17" s="1"/>
  <c r="E7" i="17"/>
  <c r="G7" i="17" s="1"/>
  <c r="H7" i="17" s="1"/>
  <c r="K7" i="17" s="1"/>
  <c r="L7" i="17" s="1"/>
  <c r="E10" i="17"/>
  <c r="G10" i="17" s="1"/>
  <c r="H10" i="17" s="1"/>
  <c r="K10" i="17" s="1"/>
  <c r="E8" i="17"/>
  <c r="G8" i="17" s="1"/>
  <c r="H8" i="17" s="1"/>
  <c r="K8" i="17" s="1"/>
  <c r="L8" i="17" s="1"/>
  <c r="E5" i="17"/>
  <c r="G5" i="17" s="1"/>
  <c r="H5" i="17" s="1"/>
  <c r="K5" i="17" s="1"/>
  <c r="L5" i="17" s="1"/>
  <c r="E11" i="17"/>
  <c r="G11" i="17" s="1"/>
  <c r="H11" i="17" s="1"/>
  <c r="K11" i="17" s="1"/>
  <c r="E5" i="16"/>
  <c r="G5" i="16" s="1"/>
  <c r="H5" i="16" s="1"/>
  <c r="K5" i="16" s="1"/>
  <c r="L5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6" i="16"/>
  <c r="G6" i="16" s="1"/>
  <c r="H6" i="16" s="1"/>
  <c r="K6" i="16" s="1"/>
  <c r="L6" i="16" s="1"/>
  <c r="E6" i="15"/>
  <c r="G6" i="15" s="1"/>
  <c r="H6" i="15" s="1"/>
  <c r="K6" i="15" s="1"/>
  <c r="L6" i="15" s="1"/>
  <c r="E5" i="15"/>
  <c r="G5" i="15" s="1"/>
  <c r="H5" i="15" s="1"/>
  <c r="K5" i="15" s="1"/>
  <c r="L5" i="15" s="1"/>
  <c r="E5" i="14"/>
  <c r="G5" i="14" s="1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10" i="14"/>
  <c r="G10" i="14" s="1"/>
  <c r="H10" i="14" s="1"/>
  <c r="K10" i="14" s="1"/>
  <c r="L10" i="14" s="1"/>
  <c r="E8" i="14"/>
  <c r="G8" i="14" s="1"/>
  <c r="H8" i="14" s="1"/>
  <c r="K8" i="14" s="1"/>
  <c r="L8" i="14" s="1"/>
  <c r="E12" i="14"/>
  <c r="G12" i="14" s="1"/>
  <c r="H12" i="14" s="1"/>
  <c r="K12" i="14" s="1"/>
  <c r="L12" i="14" s="1"/>
  <c r="E11" i="14"/>
  <c r="G11" i="14" s="1"/>
  <c r="H11" i="14" s="1"/>
  <c r="K11" i="14" s="1"/>
  <c r="L11" i="14" s="1"/>
  <c r="E9" i="14"/>
  <c r="G9" i="14" s="1"/>
  <c r="H9" i="14" s="1"/>
  <c r="K9" i="14" s="1"/>
  <c r="L9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E10" i="13"/>
  <c r="G10" i="13" s="1"/>
  <c r="H10" i="13" s="1"/>
  <c r="K10" i="13" s="1"/>
  <c r="E11" i="13"/>
  <c r="G11" i="13" s="1"/>
  <c r="H11" i="13" s="1"/>
  <c r="K11" i="13" s="1"/>
  <c r="E12" i="13"/>
  <c r="G12" i="13" s="1"/>
  <c r="H12" i="13" s="1"/>
  <c r="K12" i="13" s="1"/>
  <c r="L12" i="13" s="1"/>
  <c r="E13" i="13"/>
  <c r="G13" i="13" s="1"/>
  <c r="H13" i="13" s="1"/>
  <c r="K13" i="13" s="1"/>
  <c r="L13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8" i="12"/>
  <c r="G8" i="12" s="1"/>
  <c r="H8" i="12" s="1"/>
  <c r="K8" i="12" s="1"/>
  <c r="L8" i="12" s="1"/>
  <c r="E9" i="12"/>
  <c r="G9" i="12" s="1"/>
  <c r="H9" i="12" s="1"/>
  <c r="K9" i="12" s="1"/>
  <c r="L9" i="12" s="1"/>
  <c r="E10" i="12"/>
  <c r="G10" i="12" s="1"/>
  <c r="H10" i="12" s="1"/>
  <c r="K10" i="12" s="1"/>
  <c r="E12" i="12"/>
  <c r="G12" i="12" s="1"/>
  <c r="H12" i="12" s="1"/>
  <c r="K12" i="12" s="1"/>
  <c r="L12" i="12" s="1"/>
  <c r="E11" i="12"/>
  <c r="G11" i="12" s="1"/>
  <c r="H11" i="12" s="1"/>
  <c r="K11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E10" i="11"/>
  <c r="G10" i="11" s="1"/>
  <c r="H10" i="11" s="1"/>
  <c r="K10" i="11" s="1"/>
  <c r="E11" i="11"/>
  <c r="G11" i="11" s="1"/>
  <c r="H11" i="11" s="1"/>
  <c r="K11" i="11" s="1"/>
  <c r="L11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L8" i="10" s="1"/>
  <c r="E8" i="9"/>
  <c r="G8" i="9" s="1"/>
  <c r="H8" i="9" s="1"/>
  <c r="K8" i="9" s="1"/>
  <c r="L8" i="9" s="1"/>
  <c r="E10" i="9"/>
  <c r="G10" i="9" s="1"/>
  <c r="H10" i="9" s="1"/>
  <c r="K10" i="9" s="1"/>
  <c r="L10" i="9" s="1"/>
  <c r="E11" i="9"/>
  <c r="G11" i="9" s="1"/>
  <c r="H11" i="9" s="1"/>
  <c r="K11" i="9" s="1"/>
  <c r="L11" i="9" s="1"/>
  <c r="E6" i="9"/>
  <c r="G6" i="9" s="1"/>
  <c r="H6" i="9" s="1"/>
  <c r="K6" i="9" s="1"/>
  <c r="L6" i="9" s="1"/>
  <c r="E7" i="9"/>
  <c r="G7" i="9" s="1"/>
  <c r="H7" i="9" s="1"/>
  <c r="K7" i="9" s="1"/>
  <c r="L7" i="9" s="1"/>
  <c r="E9" i="9"/>
  <c r="G9" i="9" s="1"/>
  <c r="H9" i="9" s="1"/>
  <c r="K9" i="9" s="1"/>
  <c r="L9" i="9" s="1"/>
  <c r="E5" i="9"/>
  <c r="G5" i="9" s="1"/>
  <c r="H5" i="9" s="1"/>
  <c r="K5" i="9" s="1"/>
  <c r="L5" i="9" s="1"/>
  <c r="E5" i="8"/>
  <c r="G5" i="8" s="1"/>
  <c r="H5" i="8" s="1"/>
  <c r="K5" i="8" s="1"/>
  <c r="L5" i="8" s="1"/>
  <c r="E6" i="8"/>
  <c r="G6" i="8" s="1"/>
  <c r="H6" i="8" s="1"/>
  <c r="K6" i="8" s="1"/>
  <c r="L6" i="8" s="1"/>
  <c r="E7" i="8"/>
  <c r="G7" i="8" s="1"/>
  <c r="H7" i="8" s="1"/>
  <c r="K7" i="8" s="1"/>
  <c r="L7" i="8" s="1"/>
  <c r="E10" i="8"/>
  <c r="G10" i="8" s="1"/>
  <c r="H10" i="8" s="1"/>
  <c r="K10" i="8" s="1"/>
  <c r="L10" i="8" s="1"/>
  <c r="E12" i="8"/>
  <c r="G12" i="8" s="1"/>
  <c r="H12" i="8" s="1"/>
  <c r="K12" i="8" s="1"/>
  <c r="L12" i="8" s="1"/>
  <c r="E8" i="8"/>
  <c r="G8" i="8" s="1"/>
  <c r="H8" i="8" s="1"/>
  <c r="K8" i="8" s="1"/>
  <c r="L8" i="8" s="1"/>
  <c r="E11" i="8"/>
  <c r="G11" i="8" s="1"/>
  <c r="H11" i="8" s="1"/>
  <c r="K11" i="8" s="1"/>
  <c r="L11" i="8" s="1"/>
  <c r="E9" i="8"/>
  <c r="G9" i="8" s="1"/>
  <c r="H9" i="8" s="1"/>
  <c r="K9" i="8" s="1"/>
  <c r="D9" i="7"/>
  <c r="D8" i="7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E9" i="7"/>
  <c r="G9" i="7" s="1"/>
  <c r="H9" i="7" s="1"/>
  <c r="K9" i="7" s="1"/>
  <c r="L9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9" i="6"/>
  <c r="G9" i="6" s="1"/>
  <c r="H9" i="6" s="1"/>
  <c r="K9" i="6" s="1"/>
  <c r="L9" i="6" s="1"/>
  <c r="E10" i="6"/>
  <c r="G10" i="6" s="1"/>
  <c r="H10" i="6" s="1"/>
  <c r="K10" i="6" s="1"/>
  <c r="L10" i="6" s="1"/>
  <c r="E6" i="5"/>
  <c r="G6" i="5" s="1"/>
  <c r="H6" i="5" s="1"/>
  <c r="K6" i="5" s="1"/>
  <c r="L6" i="5" s="1"/>
  <c r="E7" i="5"/>
  <c r="G7" i="5" s="1"/>
  <c r="H7" i="5" s="1"/>
  <c r="K7" i="5" s="1"/>
  <c r="L7" i="5" s="1"/>
  <c r="E5" i="5"/>
  <c r="G5" i="5" s="1"/>
  <c r="H5" i="5" s="1"/>
  <c r="K5" i="5" s="1"/>
  <c r="L5" i="5" s="1"/>
  <c r="E9" i="4"/>
  <c r="G9" i="4" s="1"/>
  <c r="H9" i="4" s="1"/>
  <c r="K9" i="4" s="1"/>
  <c r="E10" i="4"/>
  <c r="G10" i="4" s="1"/>
  <c r="H10" i="4" s="1"/>
  <c r="K10" i="4" s="1"/>
  <c r="L10" i="4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E13" i="3"/>
  <c r="E6" i="3"/>
  <c r="E7" i="3"/>
  <c r="E8" i="3"/>
  <c r="E9" i="3"/>
  <c r="E5" i="3"/>
  <c r="E10" i="3"/>
  <c r="E11" i="3"/>
  <c r="E12" i="3"/>
  <c r="E14" i="3"/>
  <c r="E5" i="23" l="1"/>
  <c r="G5" i="23" s="1"/>
  <c r="H5" i="23" s="1"/>
  <c r="K5" i="23" s="1"/>
  <c r="L5" i="23" s="1"/>
  <c r="E6" i="23"/>
  <c r="G6" i="23" s="1"/>
  <c r="H6" i="23" s="1"/>
  <c r="K6" i="23" s="1"/>
  <c r="L6" i="23" s="1"/>
  <c r="E11" i="33"/>
  <c r="G11" i="33" s="1"/>
  <c r="H11" i="33" s="1"/>
  <c r="K11" i="33" s="1"/>
  <c r="L11" i="33" s="1"/>
  <c r="E12" i="33"/>
  <c r="G12" i="33" s="1"/>
  <c r="H12" i="33" s="1"/>
  <c r="K12" i="33" s="1"/>
  <c r="L12" i="33" s="1"/>
  <c r="Y8" i="6"/>
  <c r="Y8" i="14"/>
  <c r="S16" i="14"/>
  <c r="Y8" i="9"/>
  <c r="S16" i="9"/>
  <c r="L12" i="21"/>
  <c r="L7" i="21"/>
  <c r="L13" i="21"/>
  <c r="L7" i="19"/>
  <c r="L8" i="19"/>
  <c r="L9" i="19"/>
  <c r="Y8" i="22"/>
  <c r="S16" i="22"/>
  <c r="S16" i="20"/>
  <c r="Y8" i="20"/>
  <c r="L10" i="17"/>
  <c r="L11" i="17"/>
  <c r="S16" i="16"/>
  <c r="Y8" i="16"/>
  <c r="Y8" i="15"/>
  <c r="S16" i="15"/>
  <c r="L11" i="12"/>
  <c r="L10" i="11"/>
  <c r="L10" i="12"/>
  <c r="L9" i="11"/>
  <c r="L9" i="8"/>
  <c r="S16" i="8" s="1"/>
  <c r="Y8" i="32"/>
  <c r="S16" i="32"/>
  <c r="Y7" i="5"/>
  <c r="S16" i="5"/>
  <c r="L8" i="4"/>
  <c r="L9" i="4"/>
  <c r="L7" i="31"/>
  <c r="L12" i="31"/>
  <c r="L13" i="31"/>
  <c r="L11" i="27"/>
  <c r="L10" i="27"/>
  <c r="L8" i="30"/>
  <c r="Y8" i="30" s="1"/>
  <c r="Y8" i="29"/>
  <c r="S16" i="29"/>
  <c r="L8" i="26"/>
  <c r="L9" i="26"/>
  <c r="L12" i="24"/>
  <c r="L13" i="24"/>
  <c r="L7" i="24"/>
  <c r="L9" i="13"/>
  <c r="L11" i="13"/>
  <c r="L10" i="13"/>
  <c r="E10" i="33"/>
  <c r="G10" i="33" s="1"/>
  <c r="H10" i="33" s="1"/>
  <c r="K10" i="33" s="1"/>
  <c r="L10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Y8" i="10"/>
  <c r="S16" i="10"/>
  <c r="S16" i="6"/>
  <c r="E5" i="33"/>
  <c r="G5" i="33" s="1"/>
  <c r="H5" i="33" s="1"/>
  <c r="K5" i="33" s="1"/>
  <c r="L5" i="33" s="1"/>
  <c r="E8" i="33"/>
  <c r="G8" i="33" s="1"/>
  <c r="H8" i="33" s="1"/>
  <c r="K8" i="33" s="1"/>
  <c r="L8" i="33" s="1"/>
  <c r="E9" i="33"/>
  <c r="G9" i="33" s="1"/>
  <c r="H9" i="33" s="1"/>
  <c r="K9" i="33" s="1"/>
  <c r="L9" i="33" s="1"/>
  <c r="G12" i="11"/>
  <c r="H12" i="11" s="1"/>
  <c r="K12" i="11" s="1"/>
  <c r="L12" i="11" s="1"/>
  <c r="G8" i="7"/>
  <c r="H8" i="7" s="1"/>
  <c r="K8" i="7" s="1"/>
  <c r="L8" i="7" s="1"/>
  <c r="S16" i="7" s="1"/>
  <c r="Y8" i="23" l="1"/>
  <c r="S16" i="23"/>
  <c r="Y8" i="12"/>
  <c r="Y8" i="21"/>
  <c r="S16" i="33"/>
  <c r="Y8" i="33"/>
  <c r="S16" i="12"/>
  <c r="S16" i="21"/>
  <c r="Y8" i="19"/>
  <c r="S16" i="19"/>
  <c r="S16" i="11"/>
  <c r="Y8" i="8"/>
  <c r="S16" i="4"/>
  <c r="S16" i="13"/>
  <c r="Y8" i="4"/>
  <c r="S16" i="30"/>
  <c r="Y8" i="11"/>
  <c r="Y8" i="7"/>
  <c r="Y8" i="13"/>
  <c r="G6" i="3"/>
  <c r="H6" i="3" s="1"/>
  <c r="K6" i="3" s="1"/>
  <c r="L6" i="3" s="1"/>
  <c r="G7" i="3"/>
  <c r="H7" i="3" s="1"/>
  <c r="K7" i="3" s="1"/>
  <c r="L7" i="3" s="1"/>
  <c r="G8" i="3"/>
  <c r="H8" i="3" s="1"/>
  <c r="K8" i="3" s="1"/>
  <c r="L8" i="3" s="1"/>
  <c r="G9" i="3"/>
  <c r="H9" i="3" s="1"/>
  <c r="K9" i="3" s="1"/>
  <c r="L9" i="3" s="1"/>
  <c r="G10" i="3"/>
  <c r="H10" i="3" s="1"/>
  <c r="K10" i="3" s="1"/>
  <c r="L10" i="3" s="1"/>
  <c r="G11" i="3"/>
  <c r="H11" i="3" s="1"/>
  <c r="K11" i="3" s="1"/>
  <c r="L11" i="3" s="1"/>
  <c r="G12" i="3"/>
  <c r="H12" i="3" s="1"/>
  <c r="K12" i="3" s="1"/>
  <c r="L12" i="3" s="1"/>
  <c r="G13" i="3"/>
  <c r="H13" i="3" s="1"/>
  <c r="K13" i="3" s="1"/>
  <c r="L13" i="3" s="1"/>
  <c r="G14" i="3"/>
  <c r="H14" i="3" s="1"/>
  <c r="K14" i="3" s="1"/>
  <c r="L14" i="3" s="1"/>
  <c r="G5" i="3"/>
  <c r="H5" i="3" s="1"/>
  <c r="K5" i="3" s="1"/>
  <c r="L5" i="3" s="1"/>
  <c r="Y8" i="3" l="1"/>
  <c r="S18" i="3"/>
  <c r="G6" i="34"/>
  <c r="H6" i="34" s="1"/>
  <c r="K6" i="34" s="1"/>
  <c r="L6" i="34" s="1"/>
  <c r="G8" i="34"/>
  <c r="H8" i="34" s="1"/>
  <c r="K8" i="34" s="1"/>
  <c r="L8" i="34" s="1"/>
  <c r="G7" i="34"/>
  <c r="H7" i="34" s="1"/>
  <c r="K7" i="34" s="1"/>
  <c r="L7" i="34" s="1"/>
  <c r="S16" i="34" l="1"/>
  <c r="Y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4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7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1" authorId="0" shapeId="0" xr:uid="{00000000-0006-0000-1E00-000003000000}">
      <text>
        <r>
          <rPr>
            <sz val="11"/>
            <color theme="1"/>
            <rFont val="Arial"/>
            <family val="2"/>
            <scheme val="minor"/>
          </rPr>
          <t>HP:
thr Protine is total / 1.3</t>
        </r>
      </text>
    </comment>
  </commentList>
</comments>
</file>

<file path=xl/sharedStrings.xml><?xml version="1.0" encoding="utf-8"?>
<sst xmlns="http://schemas.openxmlformats.org/spreadsheetml/2006/main" count="2627" uniqueCount="416">
  <si>
    <t>DAY</t>
  </si>
  <si>
    <t>Sheet Name</t>
  </si>
  <si>
    <t>Day #</t>
  </si>
  <si>
    <t>Foul</t>
  </si>
  <si>
    <t>Protein</t>
  </si>
  <si>
    <t>Piece</t>
  </si>
  <si>
    <t>Egg and Cheese Sandwich</t>
  </si>
  <si>
    <t>gm</t>
  </si>
  <si>
    <t xml:space="preserve">Croissant Spinach and Cheese </t>
  </si>
  <si>
    <t>Club Sandwich</t>
  </si>
  <si>
    <t>Greek Yogurt with Oats</t>
  </si>
  <si>
    <t>Tuna Sandwich</t>
  </si>
  <si>
    <t>Dairy</t>
  </si>
  <si>
    <t>Ta'teema</t>
  </si>
  <si>
    <t>Turkey &amp; Cranberry Sandwich</t>
  </si>
  <si>
    <t>Oatmeal Egg Pie</t>
  </si>
  <si>
    <t>Omelette Vegetable and Mushroom</t>
  </si>
  <si>
    <t>Shakshuka Sandwich</t>
  </si>
  <si>
    <t>Masoob</t>
  </si>
  <si>
    <t>Croissant Cheddar Cheese</t>
  </si>
  <si>
    <t>Halloumi Sandwich</t>
  </si>
  <si>
    <t>Omelette Vegetable and Mush (2)</t>
  </si>
  <si>
    <t xml:space="preserve">Boiled Egg Sandwich </t>
  </si>
  <si>
    <t>Croissant Feta Cheese and Veget</t>
  </si>
  <si>
    <t>Chicken Club Sandwich</t>
  </si>
  <si>
    <t>Pancake</t>
  </si>
  <si>
    <t>Vegetables</t>
  </si>
  <si>
    <t xml:space="preserve">Croissant Chocolate </t>
  </si>
  <si>
    <t>Chicken Club Sandwich (2)</t>
  </si>
  <si>
    <t>Halloumi Sandwich (2)</t>
  </si>
  <si>
    <t>Egg and Cheese Sandwich (2)</t>
  </si>
  <si>
    <t>Omelette Vegetable and Mush (3)</t>
  </si>
  <si>
    <t>Club Sandwich (2)</t>
  </si>
  <si>
    <t>Areekah</t>
  </si>
  <si>
    <t xml:space="preserve">Croissant Scrambled Egg </t>
  </si>
  <si>
    <t>Chicken Club Sandwich (3)</t>
  </si>
  <si>
    <t xml:space="preserve">Croissant Turkey </t>
  </si>
  <si>
    <t>Fruits</t>
  </si>
  <si>
    <t>Bread &amp; Bakery</t>
  </si>
  <si>
    <t>Grains &amp; Starches</t>
  </si>
  <si>
    <t>Spices &amp; Seasonings</t>
  </si>
  <si>
    <t>Sauces &amp; Condiments</t>
  </si>
  <si>
    <t>Sweeteners &amp; Spreads</t>
  </si>
  <si>
    <t>Other</t>
  </si>
  <si>
    <t>Base Recipe (1 KG)</t>
  </si>
  <si>
    <t xml:space="preserve">Required Quantity </t>
  </si>
  <si>
    <t>Conversion Factor</t>
  </si>
  <si>
    <t>Corrected Conversion Factor</t>
  </si>
  <si>
    <t>Weight Correction</t>
  </si>
  <si>
    <t>Protine Cooking Method</t>
  </si>
  <si>
    <t xml:space="preserve">Boiling </t>
  </si>
  <si>
    <t>Protine Cooking Yield</t>
  </si>
  <si>
    <t>Total Filling</t>
  </si>
  <si>
    <t>Foul - فول</t>
  </si>
  <si>
    <t>Category</t>
  </si>
  <si>
    <t>Ingredient - الأصناف</t>
  </si>
  <si>
    <t>Unit  الوحدة</t>
  </si>
  <si>
    <t>Base Recipe
 (1 Portion)</t>
  </si>
  <si>
    <t>Corrected Conversion Factor — معامل التحويل المصحح</t>
  </si>
  <si>
    <t>Scaling Factor — معامل القياس</t>
  </si>
  <si>
    <t>Linear Scaled Amount — الكمية المعدلة حسابياً</t>
  </si>
  <si>
    <t>Scaled Amount Post Conversion Factor — الكمية المعدلة بعد معامل التحويل</t>
  </si>
  <si>
    <t>BreakFast</t>
  </si>
  <si>
    <t xml:space="preserve">Actuals </t>
  </si>
  <si>
    <t>Total Count</t>
  </si>
  <si>
    <t>Required - المطلوب</t>
  </si>
  <si>
    <t>Safty - حماية</t>
  </si>
  <si>
    <t>Total - المجموع</t>
  </si>
  <si>
    <t>Actuals (To be Filled automatically)</t>
  </si>
  <si>
    <t>Extra Quantity vs Actuals</t>
  </si>
  <si>
    <t>Base Recipe (1 Portion)</t>
  </si>
  <si>
    <t xml:space="preserve">Filling </t>
  </si>
  <si>
    <t>125gm</t>
  </si>
  <si>
    <t>Egg and Cheese Sandwich - ساندوتش بيض وجبنة</t>
  </si>
  <si>
    <t xml:space="preserve">Unit 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</si>
  <si>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</si>
  <si>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</si>
  <si>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</si>
  <si>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</si>
  <si>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</si>
  <si>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</si>
  <si>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 xml:space="preserve">Quantity </t>
  </si>
  <si>
    <t>Required</t>
  </si>
  <si>
    <t xml:space="preserve">Safety </t>
  </si>
  <si>
    <t xml:space="preserve">Total </t>
  </si>
  <si>
    <t>Filling</t>
  </si>
  <si>
    <t>No Cooking</t>
  </si>
  <si>
    <t>Croissant Spinach and Cheese - كروسوان سبانخ وجبنة</t>
  </si>
  <si>
    <t>NA</t>
  </si>
  <si>
    <t>Club Sandwich - ساندوتش كلوب</t>
  </si>
  <si>
    <t>Requirered P</t>
  </si>
  <si>
    <t>Out &amp; Honey Mix Cooking Method</t>
  </si>
  <si>
    <t>Oven</t>
  </si>
  <si>
    <t>Out &amp; Honey Mix Cooking Yield</t>
  </si>
  <si>
    <t>Greek Yogurt with Oats - زبادي يوناني بالشوفان</t>
  </si>
  <si>
    <t xml:space="preserve">Piece </t>
  </si>
  <si>
    <t>Tuna Sandwich - ساندوتش تونة</t>
  </si>
  <si>
    <t xml:space="preserve">gm </t>
  </si>
  <si>
    <t>Boiling</t>
  </si>
  <si>
    <t>Turkey &amp; Cranberry Sandwich - ساندوتش ديك رومي وتوت أحمر</t>
  </si>
  <si>
    <t>Oatmeal Egg Pie - فطيرة بيض بالشوفان</t>
  </si>
  <si>
    <t>100gm</t>
  </si>
  <si>
    <t>Omelette Vegetable and Mushroom - أومليت خضار ومشروم</t>
  </si>
  <si>
    <t xml:space="preserve">100gm </t>
  </si>
  <si>
    <t>Shakshuka Sandwich - ساندوتش شكشوكة</t>
  </si>
  <si>
    <t>Toast Cooking Method</t>
  </si>
  <si>
    <t>Masoob - معصوب</t>
  </si>
  <si>
    <t>50gm</t>
  </si>
  <si>
    <t>Croissant Cheddar Cheese - كروسوان جبنة شيدر</t>
  </si>
  <si>
    <t>Halloumi Cooking Method</t>
  </si>
  <si>
    <t>Grill</t>
  </si>
  <si>
    <t>Halloumi Cooking Yield</t>
  </si>
  <si>
    <t>Halloumi Sandwich - ساندوتش حلوم</t>
  </si>
  <si>
    <t xml:space="preserve">134gm </t>
  </si>
  <si>
    <t>Boiled Egg Sandwich - ساندوتش بيض مسلوق</t>
  </si>
  <si>
    <t>Croissant Feta Cheese and Vegetables - كروسوان جبنة فيتا وخضار</t>
  </si>
  <si>
    <t>Boiling &amp; Trimming</t>
  </si>
  <si>
    <t>Chicken Club Sandwich - ساندوتش كلوب دجاج</t>
  </si>
  <si>
    <t>Pancake - بان كيك</t>
  </si>
  <si>
    <t>30gm</t>
  </si>
  <si>
    <t>Croissant Chocolate - كروسوان شوكولاتة</t>
  </si>
  <si>
    <t>Areekah - عريكة</t>
  </si>
  <si>
    <t>80gm</t>
  </si>
  <si>
    <t>Croissant Scrambled Egg - كروسوان بيض مخفوق</t>
  </si>
  <si>
    <t>ml</t>
  </si>
  <si>
    <t>Croissant Turkey - كروسوان ديك رومي</t>
  </si>
  <si>
    <t>Daily Order</t>
  </si>
  <si>
    <t>Iceberg Lettuce  - خس مدور أمريكى</t>
  </si>
  <si>
    <t>Frozen Baby Spinach - سبانخ صغيرة مجمدة</t>
  </si>
  <si>
    <t>day -1</t>
  </si>
  <si>
    <t>يحتاج يخمر قبلها</t>
  </si>
  <si>
    <t>Gm</t>
  </si>
  <si>
    <t>Base Recipe (1 Portion) (150gm)</t>
  </si>
  <si>
    <t>Serving gm per portion</t>
  </si>
  <si>
    <t>Soaking and Boiling</t>
  </si>
  <si>
    <t>Hummus</t>
  </si>
  <si>
    <t>Ingredient</t>
  </si>
  <si>
    <t xml:space="preserve">Count </t>
  </si>
  <si>
    <t>Hummus - حمص</t>
  </si>
  <si>
    <t>Sakshuka Turkish</t>
  </si>
  <si>
    <t>Fire Flame</t>
  </si>
  <si>
    <t>Tomato Cooking Method</t>
  </si>
  <si>
    <t>Sakshuka Turkish - شكشوكة تركية</t>
  </si>
  <si>
    <t>Ta'teema - تعتيمة</t>
  </si>
  <si>
    <t>Egg - بيضة</t>
  </si>
  <si>
    <t>Chicken - دجاج</t>
  </si>
  <si>
    <t>ديك رومي - Turkey</t>
  </si>
  <si>
    <t>تونة - Tuna</t>
  </si>
  <si>
    <t>جبنة فيتا - Feta cheese</t>
  </si>
  <si>
    <t>جبنة شرائح - Sliced cheese</t>
  </si>
  <si>
    <t>حلوم - Halloumi cheese</t>
  </si>
  <si>
    <t>كرواسون - Croissant</t>
  </si>
  <si>
    <t>فول مجروش - Crushed fava beans</t>
  </si>
  <si>
    <t>سماق - Sumac</t>
  </si>
  <si>
    <t>فانيليا - Vanilla</t>
  </si>
  <si>
    <t>بيكنج باودر - Baking powder</t>
  </si>
  <si>
    <t>طحينة السمسم - Sesame Paste</t>
  </si>
  <si>
    <t>مربى فراولة - Strawberry jam</t>
  </si>
  <si>
    <t>معجون تمر - Date Paste</t>
  </si>
  <si>
    <t>زيتون أسود شرائح - Sliced black olives</t>
  </si>
  <si>
    <t>زيتون أخضر شرائح - Sliced green olives</t>
  </si>
  <si>
    <t>طماطم شرائح - Sliced tomato</t>
  </si>
  <si>
    <t>جرجير - Arugula</t>
  </si>
  <si>
    <t>فلفل رومي ألوان - Mixed bell pepper</t>
  </si>
  <si>
    <t>فراولة - Strawberry</t>
  </si>
  <si>
    <t>توت أزرق - Blueberry</t>
  </si>
  <si>
    <t>Hummus Peas - حمص</t>
  </si>
  <si>
    <t>Yogurt - زبادي</t>
  </si>
  <si>
    <t>Milk - حليب</t>
  </si>
  <si>
    <t>Labneh - لبنة</t>
  </si>
  <si>
    <t>Cooking Cream - كريمة طبخ</t>
  </si>
  <si>
    <t>Fresh Cream (Qishta)- قشطة</t>
  </si>
  <si>
    <t>Butter - زبدة</t>
  </si>
  <si>
    <t>Corn Starch - نشا ذرة</t>
  </si>
  <si>
    <t>Flour - دقيق</t>
  </si>
  <si>
    <t>Salt - ملح</t>
  </si>
  <si>
    <t>Black Pepper Powder - فلفل أسود مطحون</t>
  </si>
  <si>
    <t>White Pepper - فلفل أبيض</t>
  </si>
  <si>
    <t>Cumin Powder - كمون مطحون</t>
  </si>
  <si>
    <t>Paprika Powder - بابريكا مطحون</t>
  </si>
  <si>
    <t>Garlic Powder - ثوم بودرة</t>
  </si>
  <si>
    <t>Onion Powder - بصل بودرة</t>
  </si>
  <si>
    <t>Nigella Seeds - حبة البركة</t>
  </si>
  <si>
    <t>Tomato Paste - صلصة طماطم</t>
  </si>
  <si>
    <t>Mustard - خردل</t>
  </si>
  <si>
    <t>Mayonnaise - مايونيز</t>
  </si>
  <si>
    <t>Lemon Juice - عصير ليمون</t>
  </si>
  <si>
    <t>Honey - عسل</t>
  </si>
  <si>
    <t>Sugar - سكر</t>
  </si>
  <si>
    <t>Water - ماء</t>
  </si>
  <si>
    <t>Sweet Corn - ذرة حلوة</t>
  </si>
  <si>
    <t>Tomato - طماطم</t>
  </si>
  <si>
    <t>Onion - بصل</t>
  </si>
  <si>
    <t>Green Onion - بصل أخضر</t>
  </si>
  <si>
    <t>Garlic - ثوم</t>
  </si>
  <si>
    <t>Green Bell Pepper - فلفل أخضر رومى</t>
  </si>
  <si>
    <t>Zucchini - كوسة</t>
  </si>
  <si>
    <t>Carrot - جزر</t>
  </si>
  <si>
    <t>Mushroom - مشروم</t>
  </si>
  <si>
    <t>Parsley - بقدونس</t>
  </si>
  <si>
    <t>Cheddar Cheese - جبنة شيدر</t>
  </si>
  <si>
    <t>Mozzarella Cheese - جبنة موتزاريلا</t>
  </si>
  <si>
    <t>موز - Banana</t>
  </si>
  <si>
    <t>ITEMS</t>
  </si>
  <si>
    <t>Unit</t>
  </si>
  <si>
    <t>Daily Weight</t>
  </si>
  <si>
    <t>Weekly Weight</t>
  </si>
  <si>
    <t>Day</t>
  </si>
  <si>
    <t>شوفان كامل - Whole oats</t>
  </si>
  <si>
    <t>بروتين</t>
  </si>
  <si>
    <t>معلبات و مجمدات</t>
  </si>
  <si>
    <t>منتجات ألبان</t>
  </si>
  <si>
    <t>مخبوزات</t>
  </si>
  <si>
    <t>حبوب ودقيق</t>
  </si>
  <si>
    <t>توابل</t>
  </si>
  <si>
    <t>صوصات ومنكهات</t>
  </si>
  <si>
    <t>محليات</t>
  </si>
  <si>
    <t>سوائل ومرق</t>
  </si>
  <si>
    <t>خضروات</t>
  </si>
  <si>
    <t>فاكهة</t>
  </si>
  <si>
    <t>Yield</t>
  </si>
  <si>
    <t>Order Base Unit وحدة الطلب الأساسية</t>
  </si>
  <si>
    <t>Order Unit وحدة الطلب</t>
  </si>
  <si>
    <t>Price of ordering unit سعر وحدة الطلب</t>
  </si>
  <si>
    <t>Weekly Order</t>
  </si>
  <si>
    <t>Order Unit</t>
  </si>
  <si>
    <t>Weekly Price</t>
  </si>
  <si>
    <t>Daily Price</t>
  </si>
  <si>
    <t>50 Kg</t>
  </si>
  <si>
    <t>Kg</t>
  </si>
  <si>
    <t>2724 gram/Carton</t>
  </si>
  <si>
    <t>KG</t>
  </si>
  <si>
    <t>9.2 Kg / Carton</t>
  </si>
  <si>
    <t>10.8 KG/Carton</t>
  </si>
  <si>
    <t>11 Kg / Carton</t>
  </si>
  <si>
    <t>10 Kg</t>
  </si>
  <si>
    <t>12 L / Carton</t>
  </si>
  <si>
    <t>kg</t>
  </si>
  <si>
    <t>25 Kg</t>
  </si>
  <si>
    <t>10 KG / Cartoon</t>
  </si>
  <si>
    <t>7200gm / Carton</t>
  </si>
  <si>
    <t>1350 g / Pack</t>
  </si>
  <si>
    <t>250 g / Box</t>
  </si>
  <si>
    <t>مكسرات</t>
  </si>
  <si>
    <t>12.75 Kg / Carton</t>
  </si>
  <si>
    <t>12,000 KG/Carton</t>
  </si>
  <si>
    <t>8,000 KG/Carton</t>
  </si>
  <si>
    <t>9.6 Kg / Carton</t>
  </si>
  <si>
    <t>14800 L/Carton</t>
  </si>
  <si>
    <t>15.12 L / Carton</t>
  </si>
  <si>
    <t>12000 ML/Cartoon</t>
  </si>
  <si>
    <t>16000 KG/Can</t>
  </si>
  <si>
    <t>ألوان وإضافات</t>
  </si>
  <si>
    <t>360 Egg/Carton</t>
  </si>
  <si>
    <t>Cost Per KG or L السعر للكيلو او للتر أو الحبة</t>
  </si>
  <si>
    <t>19800 KG/Carton</t>
  </si>
  <si>
    <t>8000 KG/Carton</t>
  </si>
  <si>
    <t>10,000 KG/Bag</t>
  </si>
  <si>
    <t>15,000 KG/Carton</t>
  </si>
  <si>
    <t>10,000 KG/Bundle</t>
  </si>
  <si>
    <t>10,800 KG/Carton</t>
  </si>
  <si>
    <t>2880gm Per Carton</t>
  </si>
  <si>
    <t>10,000 KG/Carton</t>
  </si>
  <si>
    <t>125gm / Box</t>
  </si>
  <si>
    <t>1070 g/Pack</t>
  </si>
  <si>
    <t>905 g / Pack</t>
  </si>
  <si>
    <t>1 Piece</t>
  </si>
  <si>
    <t>10 Kg / Carton</t>
  </si>
  <si>
    <t>شوكولاتة داكنة - Dark chocolate</t>
  </si>
  <si>
    <t>20,000 KG per Bag</t>
  </si>
  <si>
    <t>10500 KG/Carton</t>
  </si>
  <si>
    <t xml:space="preserve">100 Piece Carton </t>
  </si>
  <si>
    <t>6000 KG/Pail</t>
  </si>
  <si>
    <t>18000 KG/Bag</t>
  </si>
  <si>
    <t>حشوة توت أزرق - Blueberry filling</t>
  </si>
  <si>
    <t>حشوة توت العليق - Raspberry filling</t>
  </si>
  <si>
    <t>PreCooking Yield</t>
  </si>
  <si>
    <t>Size</t>
  </si>
  <si>
    <t>120 Piece / Carton</t>
  </si>
  <si>
    <t>Honey Packet - عسل شرائح</t>
  </si>
  <si>
    <t>Carton</t>
  </si>
  <si>
    <t>Can</t>
  </si>
  <si>
    <t>Bag</t>
  </si>
  <si>
    <t>Pail</t>
  </si>
  <si>
    <t>Bundle</t>
  </si>
  <si>
    <t>Pack</t>
  </si>
  <si>
    <t>Box</t>
  </si>
  <si>
    <t>96 Piece/Carton</t>
  </si>
  <si>
    <t>صامولي اسمر شوفان 16 سم - Whole Wheat Oat Sub Roll</t>
  </si>
  <si>
    <t>توست اسمر شوفان - Whole Wheat Oat Toast</t>
  </si>
  <si>
    <t>توست أسمر لوزين - Whole wheat toast</t>
  </si>
  <si>
    <t>20 Piece/Bag</t>
  </si>
  <si>
    <t>خبز شامي بر - Whole wheat bread</t>
  </si>
  <si>
    <t>4 Piece/Bag</t>
  </si>
  <si>
    <t>أعشاب مجففة</t>
  </si>
  <si>
    <t>Dry Thyme - زعتر مجفف</t>
  </si>
  <si>
    <t>Meal name</t>
  </si>
  <si>
    <t>كلوب ساندوتش بالدجاج</t>
  </si>
  <si>
    <t>فول</t>
  </si>
  <si>
    <t>ساندوتش بيض بالجبن</t>
  </si>
  <si>
    <t>كرواسون جبنة بالسبانخ</t>
  </si>
  <si>
    <t>كلوب ساندوتش</t>
  </si>
  <si>
    <t>زبادي يوناني بالشوفان والتوت الأزرق</t>
  </si>
  <si>
    <t>تونة ساندوتش</t>
  </si>
  <si>
    <t>تعتيمة</t>
  </si>
  <si>
    <t>كرواسون الديك الرومي</t>
  </si>
  <si>
    <t>فطيرة البيض والشوفان</t>
  </si>
  <si>
    <t>أومليت خضار</t>
  </si>
  <si>
    <t>ساندوتش شكشوكة</t>
  </si>
  <si>
    <t>معصوب</t>
  </si>
  <si>
    <t>كرواسون جبنة تشيدر</t>
  </si>
  <si>
    <t>حلوم ساندوتش</t>
  </si>
  <si>
    <t>ساندوتش الديك الرومي بالتوت</t>
  </si>
  <si>
    <t>ساندوتش البيض المسلوق</t>
  </si>
  <si>
    <t>كرواسون جبنة الفيتا والخضار</t>
  </si>
  <si>
    <t>بانكيك</t>
  </si>
  <si>
    <t>كرواسون الشوكولاته</t>
  </si>
  <si>
    <t>حمص</t>
  </si>
  <si>
    <t>عريكة</t>
  </si>
  <si>
    <t>كرواسون سكرمبل بيض</t>
  </si>
  <si>
    <t>شكشوكة تركية</t>
  </si>
  <si>
    <t>Count</t>
  </si>
  <si>
    <t>Sheet</t>
  </si>
  <si>
    <t>Cell</t>
  </si>
  <si>
    <t>Original Value</t>
  </si>
  <si>
    <t>Normalized Value</t>
  </si>
  <si>
    <t>Status</t>
  </si>
  <si>
    <t>Fresh Cream (Qishta) - قشطة</t>
  </si>
  <si>
    <t>Ordering</t>
  </si>
  <si>
    <t>A7</t>
  </si>
  <si>
    <t>APPLIED</t>
  </si>
  <si>
    <t>Sliced cheese - جبنة شرائح</t>
  </si>
  <si>
    <t>A12</t>
  </si>
  <si>
    <t>Feta cheese - جبنة فيتا</t>
  </si>
  <si>
    <t>A13</t>
  </si>
  <si>
    <t>Halloumi cheese - حلوم</t>
  </si>
  <si>
    <t>A14</t>
  </si>
  <si>
    <t>Sesame Paste - طحينة السمسم</t>
  </si>
  <si>
    <t>A20</t>
  </si>
  <si>
    <t>Vanilla - فانيليا</t>
  </si>
  <si>
    <t>A21</t>
  </si>
  <si>
    <t>Sumac - سماق</t>
  </si>
  <si>
    <t>A33</t>
  </si>
  <si>
    <t>Baking powder - بيكنج باودر</t>
  </si>
  <si>
    <t>A35</t>
  </si>
  <si>
    <t>Sliced green olives - زيتون أخضر شرائح</t>
  </si>
  <si>
    <t>A40</t>
  </si>
  <si>
    <t>Sliced black olives - زيتون أسود شرائح</t>
  </si>
  <si>
    <t>A41</t>
  </si>
  <si>
    <t>Raspberry filling - حشوة توت العليق</t>
  </si>
  <si>
    <t>A47</t>
  </si>
  <si>
    <t>Blueberry filling - حشوة توت أزرق</t>
  </si>
  <si>
    <t>A48</t>
  </si>
  <si>
    <t>Dark chocolate - شوكولاتة داكنة</t>
  </si>
  <si>
    <t>A49</t>
  </si>
  <si>
    <t>Strawberry jam - مربى فراولة</t>
  </si>
  <si>
    <t>A50</t>
  </si>
  <si>
    <t>Date Paste - معجون تمر</t>
  </si>
  <si>
    <t>A51</t>
  </si>
  <si>
    <t>Whole Wheat Oat Sub Roll - صامولي اسمر شوفان 16 سم</t>
  </si>
  <si>
    <t>A54</t>
  </si>
  <si>
    <t>Whole wheat toast - توست أسمر لوزين</t>
  </si>
  <si>
    <t>A55</t>
  </si>
  <si>
    <t>Whole Wheat Oat Toast - توست اسمر شوفان</t>
  </si>
  <si>
    <t>A56</t>
  </si>
  <si>
    <t>Whole wheat bread - خبز شامي بر</t>
  </si>
  <si>
    <t>A57</t>
  </si>
  <si>
    <t>Croissant - كرواسون</t>
  </si>
  <si>
    <t>A58</t>
  </si>
  <si>
    <t>Whole oats - شوفان كامل</t>
  </si>
  <si>
    <t>A62</t>
  </si>
  <si>
    <t>Crushed fava beans - فول مجروش</t>
  </si>
  <si>
    <t>A63</t>
  </si>
  <si>
    <t>Tuna - تونة</t>
  </si>
  <si>
    <t>A66</t>
  </si>
  <si>
    <t>Turkey - ديك رومي</t>
  </si>
  <si>
    <t>A67</t>
  </si>
  <si>
    <t>Iceberg Lettuce - خس مدور أمريكى</t>
  </si>
  <si>
    <t>A75</t>
  </si>
  <si>
    <t>Arugula - جرجير</t>
  </si>
  <si>
    <t>A81</t>
  </si>
  <si>
    <t>Sliced tomato - طماطم شرائح</t>
  </si>
  <si>
    <t>A82</t>
  </si>
  <si>
    <t>Mixed bell pepper - فلفل رومي ألوان</t>
  </si>
  <si>
    <t>A83</t>
  </si>
  <si>
    <t>Blueberry - توت أزرق</t>
  </si>
  <si>
    <t>A85</t>
  </si>
  <si>
    <t>Strawberry - فراولة</t>
  </si>
  <si>
    <t>A86</t>
  </si>
  <si>
    <t>Banana - موز</t>
  </si>
  <si>
    <t>A87</t>
  </si>
  <si>
    <t>Unit - الوحدة</t>
  </si>
  <si>
    <t>C4</t>
  </si>
  <si>
    <t>E4</t>
  </si>
  <si>
    <t>Corrected Conversion Factor - معامل التحويل المصحح</t>
  </si>
  <si>
    <t>SKIPPED</t>
  </si>
  <si>
    <t>F4</t>
  </si>
  <si>
    <t>Scaling Factor - معامل القياس</t>
  </si>
  <si>
    <t>G4</t>
  </si>
  <si>
    <t>Linear Scaled Amount - الكمية المعدلة حسابياً</t>
  </si>
  <si>
    <t>H4</t>
  </si>
  <si>
    <t>Scaled Amount Post Conversion Factor - الكمية المعدلة بعد معامل التحويل</t>
  </si>
  <si>
    <t>B5</t>
  </si>
  <si>
    <t>B15</t>
  </si>
  <si>
    <t>B10</t>
  </si>
  <si>
    <t>B7</t>
  </si>
  <si>
    <t>B6</t>
  </si>
  <si>
    <t>B9</t>
  </si>
  <si>
    <t>B8</t>
  </si>
  <si>
    <t>B12</t>
  </si>
  <si>
    <t>B11</t>
  </si>
  <si>
    <t>B13</t>
  </si>
  <si>
    <t>B14</t>
  </si>
  <si>
    <t>B16</t>
  </si>
  <si>
    <t>B17</t>
  </si>
  <si>
    <t>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</si>
</sst>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(* #,##0.00_);_(* \(#,##0.00\);_(* &quot;-&quot;??_);_(@_)"/>
    <numFmt numFmtId="165" formatCode="_ * #,##0_ ;_ * \-#,##0_ ;_ * &quot;-&quot;??_ ;_ @_ "/>
    <numFmt numFmtId="166" formatCode="_ * #,##0.00_ ;_ * \-#,##0.00_ ;_ * &quot;-&quot;??_ ;_ @_ "/>
    <numFmt numFmtId="167" formatCode="_ * #,##0.000_ ;_ * \-#,##0.000_ ;_ * &quot;-&quot;??_ ;_ @_ "/>
    <numFmt numFmtId="168" formatCode="_ * #,##0.0_ ;_ * \-#,##0.0_ ;_ * &quot;-&quot;??_ ;_ @_ "/>
    <numFmt numFmtId="169" formatCode="0.0"/>
    <numFmt numFmtId="170" formatCode="_ * #,##0_ ;_ * \-#,##0_ ;_ * \-??_ ;_ @_ "/>
    <numFmt numFmtId="171" formatCode="_ * #,##0.00_ ;_ * \-#,##0.00_ ;_ * \-??_ ;_ @_ "/>
    <numFmt numFmtId="172" formatCode="0.000"/>
    <numFmt numFmtId="173" formatCode="_ * #,##0.000_ ;_ * \-#,##0.000_ ;_ * \-??_ ;_ @_ "/>
    <numFmt numFmtId="174" formatCode="0.0000"/>
  </numFmts>
  <fonts count="34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Arial"/>
      <family val="2"/>
      <scheme val="minor"/>
    </font>
    <font>
      <b/>
      <sz val="11"/>
      <color theme="9" tint="-0.499984740745262"/>
      <name val="Arial"/>
      <family val="2"/>
      <scheme val="minor"/>
    </font>
    <font>
      <b/>
      <sz val="12"/>
      <color rgb="FFFFFFFF"/>
      <name val="Arial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8"/>
      <color rgb="FF1B2B4B"/>
      <name val="Calibri"/>
      <family val="2"/>
    </font>
    <font>
      <sz val="10"/>
      <color rgb="FF0D1B35"/>
      <name val="Calibri"/>
      <family val="2"/>
    </font>
    <font>
      <b/>
      <sz val="10"/>
      <color rgb="FF1D5C2A"/>
      <name val="Calibri"/>
      <family val="2"/>
    </font>
    <font>
      <sz val="9"/>
      <color rgb="FF0D1B35"/>
      <name val="Calibri"/>
      <family val="2"/>
    </font>
    <font>
      <b/>
      <sz val="11"/>
      <color rgb="FF1B2B4B"/>
      <name val="Calibri"/>
      <family val="2"/>
    </font>
    <font>
      <b/>
      <sz val="10"/>
      <color theme="7" tint="-0.499984740745262"/>
      <name val="Calibri"/>
      <family val="2"/>
    </font>
    <font>
      <b/>
      <sz val="11"/>
      <color theme="7" tint="-0.499984740745262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6"/>
      <color rgb="FFC9A84C"/>
      <name val="Calibri"/>
      <family val="2"/>
    </font>
    <font>
      <b/>
      <sz val="11"/>
      <color theme="1"/>
      <name val="Arial"/>
      <family val="2"/>
    </font>
    <font>
      <sz val="10"/>
      <color rgb="FF0D1B35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C00000"/>
      <name val="Arial"/>
      <family val="2"/>
    </font>
    <font>
      <sz val="10"/>
      <color rgb="FFC00000"/>
      <name val="Calibri"/>
      <family val="2"/>
    </font>
    <font>
      <sz val="11"/>
      <color rgb="FF000000"/>
      <name val="Arial"/>
      <family val="2"/>
      <scheme val="minor"/>
    </font>
    <font>
      <sz val="11"/>
      <color rgb="FFFFFFFF"/>
      <name val="Arial"/>
      <family val="2"/>
      <scheme val="minor"/>
    </font>
    <font>
      <b/>
      <sz val="16"/>
      <color theme="1"/>
      <name val="Times New Roman"/>
      <family val="1"/>
      <scheme val="major"/>
    </font>
    <font>
      <b/>
      <sz val="10"/>
      <color indexed="8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1B2B4B"/>
        <bgColor rgb="FF1B2B4B"/>
      </patternFill>
    </fill>
    <fill>
      <patternFill patternType="solid">
        <fgColor rgb="FF2A4172"/>
        <bgColor rgb="FF2A4172"/>
      </patternFill>
    </fill>
    <fill>
      <patternFill patternType="solid">
        <fgColor rgb="FFFBF5E6"/>
        <bgColor rgb="FFFBF5E6"/>
      </patternFill>
    </fill>
    <fill>
      <patternFill patternType="solid">
        <fgColor rgb="FF627AAA"/>
        <bgColor rgb="FF627AAA"/>
      </patternFill>
    </fill>
    <fill>
      <patternFill patternType="solid">
        <fgColor rgb="FFEBF5EB"/>
        <bgColor rgb="FFEBF5EB"/>
      </patternFill>
    </fill>
    <fill>
      <patternFill patternType="solid">
        <fgColor rgb="FFD6DCE8"/>
        <bgColor rgb="FFD6DCE8"/>
      </patternFill>
    </fill>
    <fill>
      <patternFill patternType="solid">
        <fgColor rgb="FFF2F4F8"/>
        <bgColor rgb="FFF2F4F8"/>
      </patternFill>
    </fill>
    <fill>
      <patternFill patternType="solid">
        <fgColor theme="5"/>
        <bgColor rgb="FFDEEBF7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C9A84C"/>
      </bottom>
      <diagonal/>
    </border>
    <border>
      <left style="thin">
        <color rgb="FF2A4172"/>
      </left>
      <right style="thin">
        <color rgb="FF2A4172"/>
      </right>
      <top style="thin">
        <color rgb="FF2A4172"/>
      </top>
      <bottom style="thin">
        <color rgb="FF2A4172"/>
      </bottom>
      <diagonal/>
    </border>
    <border>
      <left style="thin">
        <color rgb="FF3D5A8A"/>
      </left>
      <right style="thin">
        <color rgb="FF3D5A8A"/>
      </right>
      <top style="thin">
        <color rgb="FF3D5A8A"/>
      </top>
      <bottom style="medium">
        <color rgb="FFD6DCE8"/>
      </bottom>
      <diagonal/>
    </border>
    <border>
      <left style="medium">
        <color rgb="FFC9A84C"/>
      </left>
      <right style="medium">
        <color rgb="FFC9A84C"/>
      </right>
      <top style="medium">
        <color rgb="FFC9A84C"/>
      </top>
      <bottom style="medium">
        <color rgb="FFC9A84C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medium">
        <color rgb="FF627AAA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CBD2E0"/>
      </left>
      <right style="thin">
        <color rgb="FFCBD2E0"/>
      </right>
      <top style="thin">
        <color rgb="FFCBD2E0"/>
      </top>
      <bottom style="thin">
        <color rgb="FFCBD2E0"/>
      </bottom>
      <diagonal/>
    </border>
    <border>
      <left style="thin">
        <color rgb="FFE5D5A0"/>
      </left>
      <right style="thin">
        <color rgb="FFE5D5A0"/>
      </right>
      <top style="thin">
        <color rgb="FFE5D5A0"/>
      </top>
      <bottom style="thin">
        <color rgb="FFE5D5A0"/>
      </bottom>
      <diagonal/>
    </border>
    <border>
      <left style="thin">
        <color rgb="FFB0D4B0"/>
      </left>
      <right style="thin">
        <color rgb="FFB0D4B0"/>
      </right>
      <top style="thin">
        <color rgb="FFB0D4B0"/>
      </top>
      <bottom style="thin">
        <color rgb="FFB0D4B0"/>
      </bottom>
      <diagonal/>
    </border>
    <border>
      <left/>
      <right/>
      <top/>
      <bottom/>
      <diagonal/>
    </border>
    <border>
      <left style="thin">
        <color rgb="FFC9A84C"/>
      </left>
      <right style="thin">
        <color rgb="FFC9A84C"/>
      </right>
      <top style="thin">
        <color rgb="FFE5D5A0"/>
      </top>
      <bottom style="thin">
        <color rgb="FFE5D5A0"/>
      </bottom>
      <diagonal/>
    </border>
    <border>
      <left/>
      <right/>
      <top style="thin">
        <color rgb="FF8899BB"/>
      </top>
      <bottom style="thin">
        <color rgb="FF8899BB"/>
      </bottom>
      <diagonal/>
    </border>
    <border>
      <left style="thin">
        <color rgb="FFE5D5A0"/>
      </left>
      <right/>
      <top style="thin">
        <color rgb="FFE5D5A0"/>
      </top>
      <bottom style="thin">
        <color rgb="FFE5D5A0"/>
      </bottom>
      <diagonal/>
    </border>
    <border>
      <left/>
      <right style="thin">
        <color indexed="64"/>
      </right>
      <top/>
      <bottom/>
      <diagonal/>
    </border>
    <border>
      <left/>
      <right style="double">
        <color rgb="FF505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3" fontId="2" fillId="0" borderId="0"/>
    <xf numFmtId="0" fontId="4" fillId="0" borderId="0"/>
    <xf numFmtId="166" fontId="2" fillId="0" borderId="0"/>
    <xf numFmtId="0" fontId="4" fillId="0" borderId="0"/>
    <xf numFmtId="0" fontId="4" fillId="0" borderId="29"/>
    <xf numFmtId="0" fontId="2" fillId="0" borderId="29"/>
    <xf numFmtId="164" fontId="2" fillId="0" borderId="29" applyFont="0" applyFill="0" applyBorder="0" applyAlignment="0" applyProtection="0"/>
    <xf numFmtId="0" fontId="2" fillId="0" borderId="29"/>
    <xf numFmtId="0" fontId="2" fillId="0" borderId="29"/>
  </cellStyleXfs>
  <cellXfs count="255">
    <xf numFmtId="0" fontId="0" fillId="0" borderId="0" xfId="0"/>
    <xf numFmtId="0" fontId="1" fillId="0" borderId="1" xfId="0" applyFont="1" applyBorder="1"/>
    <xf numFmtId="0" fontId="5" fillId="0" borderId="2" xfId="2" applyFont="1" applyBorder="1" applyAlignment="1">
      <alignment horizontal="center" vertical="center" wrapText="1"/>
    </xf>
    <xf numFmtId="165" fontId="5" fillId="0" borderId="2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2" borderId="2" xfId="0" applyFont="1" applyFill="1" applyBorder="1"/>
    <xf numFmtId="0" fontId="3" fillId="2" borderId="6" xfId="0" applyFont="1" applyFill="1" applyBorder="1"/>
    <xf numFmtId="0" fontId="3" fillId="2" borderId="3" xfId="0" applyFont="1" applyFill="1" applyBorder="1"/>
    <xf numFmtId="165" fontId="0" fillId="0" borderId="7" xfId="1" applyNumberFormat="1" applyFont="1" applyBorder="1"/>
    <xf numFmtId="0" fontId="0" fillId="0" borderId="7" xfId="0" applyBorder="1"/>
    <xf numFmtId="0" fontId="3" fillId="2" borderId="8" xfId="0" applyFont="1" applyFill="1" applyBorder="1"/>
    <xf numFmtId="165" fontId="0" fillId="0" borderId="0" xfId="0" applyNumberFormat="1"/>
    <xf numFmtId="0" fontId="5" fillId="0" borderId="6" xfId="2" applyFont="1" applyBorder="1" applyAlignment="1">
      <alignment horizontal="center" vertical="center" wrapText="1"/>
    </xf>
    <xf numFmtId="165" fontId="5" fillId="0" borderId="6" xfId="2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7" fillId="3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/>
    </xf>
    <xf numFmtId="0" fontId="9" fillId="0" borderId="2" xfId="0" applyFont="1" applyBorder="1" applyAlignment="1">
      <alignment horizontal="center" wrapText="1"/>
    </xf>
    <xf numFmtId="0" fontId="1" fillId="0" borderId="0" xfId="0" applyFont="1"/>
    <xf numFmtId="0" fontId="1" fillId="0" borderId="14" xfId="0" applyFont="1" applyBorder="1"/>
    <xf numFmtId="0" fontId="5" fillId="0" borderId="0" xfId="2" applyFont="1" applyAlignment="1">
      <alignment horizontal="center" vertical="center" wrapText="1"/>
    </xf>
    <xf numFmtId="0" fontId="10" fillId="4" borderId="2" xfId="2" applyFont="1" applyFill="1" applyBorder="1" applyAlignment="1">
      <alignment horizontal="center" vertical="center" wrapText="1"/>
    </xf>
    <xf numFmtId="165" fontId="5" fillId="0" borderId="2" xfId="2" applyNumberFormat="1" applyFont="1" applyBorder="1" applyAlignment="1">
      <alignment wrapText="1"/>
    </xf>
    <xf numFmtId="166" fontId="4" fillId="0" borderId="0" xfId="2" applyNumberFormat="1" applyAlignment="1">
      <alignment horizontal="center" vertical="center"/>
    </xf>
    <xf numFmtId="167" fontId="5" fillId="0" borderId="2" xfId="2" applyNumberFormat="1" applyFont="1" applyBorder="1" applyAlignment="1">
      <alignment horizontal="center" vertical="center" wrapText="1"/>
    </xf>
    <xf numFmtId="0" fontId="4" fillId="0" borderId="0" xfId="2" applyAlignment="1">
      <alignment horizontal="center" vertical="center"/>
    </xf>
    <xf numFmtId="0" fontId="10" fillId="5" borderId="2" xfId="2" applyFont="1" applyFill="1" applyBorder="1" applyAlignment="1">
      <alignment horizontal="center" vertical="center" wrapText="1"/>
    </xf>
    <xf numFmtId="0" fontId="7" fillId="5" borderId="2" xfId="2" applyFont="1" applyFill="1" applyBorder="1" applyAlignment="1">
      <alignment horizontal="center" vertical="center" wrapText="1"/>
    </xf>
    <xf numFmtId="0" fontId="4" fillId="0" borderId="2" xfId="2" applyBorder="1" applyAlignment="1">
      <alignment horizontal="center" vertical="center"/>
    </xf>
    <xf numFmtId="2" fontId="5" fillId="0" borderId="2" xfId="2" applyNumberFormat="1" applyFont="1" applyBorder="1" applyAlignment="1">
      <alignment horizontal="center" vertical="center"/>
    </xf>
    <xf numFmtId="9" fontId="4" fillId="0" borderId="2" xfId="2" applyNumberFormat="1" applyBorder="1" applyAlignment="1">
      <alignment horizontal="center" vertical="center"/>
    </xf>
    <xf numFmtId="165" fontId="5" fillId="0" borderId="2" xfId="3" applyNumberFormat="1" applyFont="1" applyBorder="1" applyAlignment="1">
      <alignment horizontal="center" vertical="center" wrapText="1"/>
    </xf>
    <xf numFmtId="1" fontId="11" fillId="0" borderId="2" xfId="2" applyNumberFormat="1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6" xfId="2" applyFont="1" applyFill="1" applyBorder="1" applyAlignment="1">
      <alignment horizontal="center" vertical="center" wrapText="1"/>
    </xf>
    <xf numFmtId="0" fontId="3" fillId="10" borderId="0" xfId="0" applyFont="1" applyFill="1"/>
    <xf numFmtId="0" fontId="3" fillId="10" borderId="0" xfId="0" applyFont="1" applyFill="1" applyAlignment="1">
      <alignment vertical="center"/>
    </xf>
    <xf numFmtId="2" fontId="5" fillId="0" borderId="0" xfId="2" applyNumberFormat="1" applyFont="1" applyAlignment="1">
      <alignment horizontal="center" vertical="center" wrapText="1"/>
    </xf>
    <xf numFmtId="169" fontId="9" fillId="0" borderId="2" xfId="0" applyNumberFormat="1" applyFont="1" applyBorder="1" applyAlignment="1">
      <alignment horizontal="center" wrapText="1"/>
    </xf>
    <xf numFmtId="1" fontId="0" fillId="0" borderId="2" xfId="0" applyNumberFormat="1" applyBorder="1" applyAlignment="1">
      <alignment horizontal="center"/>
    </xf>
    <xf numFmtId="0" fontId="3" fillId="2" borderId="0" xfId="0" applyFont="1" applyFill="1"/>
    <xf numFmtId="0" fontId="9" fillId="6" borderId="2" xfId="0" applyFont="1" applyFill="1" applyBorder="1" applyAlignment="1">
      <alignment horizontal="center" wrapText="1"/>
    </xf>
    <xf numFmtId="0" fontId="0" fillId="11" borderId="2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8" fillId="9" borderId="9" xfId="2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6" fillId="9" borderId="9" xfId="2" applyFont="1" applyFill="1" applyBorder="1" applyAlignment="1">
      <alignment horizontal="center" vertical="center" wrapText="1"/>
    </xf>
    <xf numFmtId="0" fontId="6" fillId="9" borderId="10" xfId="2" applyFont="1" applyFill="1" applyBorder="1" applyAlignment="1">
      <alignment horizontal="center" vertical="center" wrapText="1"/>
    </xf>
    <xf numFmtId="0" fontId="6" fillId="9" borderId="11" xfId="2" applyFont="1" applyFill="1" applyBorder="1" applyAlignment="1">
      <alignment horizontal="center" vertical="center" wrapText="1"/>
    </xf>
    <xf numFmtId="0" fontId="6" fillId="9" borderId="4" xfId="2" applyFont="1" applyFill="1" applyBorder="1" applyAlignment="1">
      <alignment horizontal="center" vertical="center" wrapText="1"/>
    </xf>
    <xf numFmtId="0" fontId="6" fillId="9" borderId="5" xfId="2" applyFont="1" applyFill="1" applyBorder="1" applyAlignment="1">
      <alignment horizontal="center" vertical="center" wrapText="1"/>
    </xf>
    <xf numFmtId="1" fontId="5" fillId="0" borderId="2" xfId="2" applyNumberFormat="1" applyFont="1" applyBorder="1" applyAlignment="1">
      <alignment horizontal="center" vertical="center"/>
    </xf>
    <xf numFmtId="0" fontId="6" fillId="9" borderId="9" xfId="2" applyFont="1" applyFill="1" applyBorder="1" applyAlignment="1">
      <alignment vertical="center" wrapText="1"/>
    </xf>
    <xf numFmtId="0" fontId="6" fillId="9" borderId="10" xfId="2" applyFont="1" applyFill="1" applyBorder="1" applyAlignment="1">
      <alignment vertical="center" wrapText="1"/>
    </xf>
    <xf numFmtId="0" fontId="6" fillId="9" borderId="11" xfId="2" applyFont="1" applyFill="1" applyBorder="1" applyAlignment="1">
      <alignment vertical="center" wrapText="1"/>
    </xf>
    <xf numFmtId="0" fontId="6" fillId="9" borderId="4" xfId="2" applyFont="1" applyFill="1" applyBorder="1" applyAlignment="1">
      <alignment vertical="center" wrapText="1"/>
    </xf>
    <xf numFmtId="0" fontId="6" fillId="9" borderId="0" xfId="2" applyFont="1" applyFill="1" applyAlignment="1">
      <alignment vertical="center" wrapText="1"/>
    </xf>
    <xf numFmtId="0" fontId="6" fillId="9" borderId="18" xfId="2" applyFont="1" applyFill="1" applyBorder="1" applyAlignment="1">
      <alignment vertical="center" wrapText="1"/>
    </xf>
    <xf numFmtId="0" fontId="6" fillId="9" borderId="19" xfId="2" applyFont="1" applyFill="1" applyBorder="1" applyAlignment="1">
      <alignment vertical="center" wrapText="1"/>
    </xf>
    <xf numFmtId="0" fontId="6" fillId="9" borderId="18" xfId="2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/>
    </xf>
    <xf numFmtId="0" fontId="14" fillId="17" borderId="22" xfId="0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14" fillId="17" borderId="21" xfId="0" applyFont="1" applyFill="1" applyBorder="1" applyAlignment="1">
      <alignment horizontal="center" vertical="center"/>
    </xf>
    <xf numFmtId="0" fontId="0" fillId="19" borderId="24" xfId="0" applyFill="1" applyBorder="1"/>
    <xf numFmtId="0" fontId="18" fillId="22" borderId="26" xfId="0" applyFont="1" applyFill="1" applyBorder="1" applyAlignment="1">
      <alignment horizontal="left" vertical="center" indent="1"/>
    </xf>
    <xf numFmtId="0" fontId="16" fillId="15" borderId="25" xfId="0" applyFont="1" applyFill="1" applyBorder="1" applyAlignment="1">
      <alignment horizontal="left" vertical="center" indent="1"/>
    </xf>
    <xf numFmtId="4" fontId="17" fillId="20" borderId="28" xfId="0" applyNumberFormat="1" applyFont="1" applyFill="1" applyBorder="1" applyAlignment="1">
      <alignment horizontal="center" vertical="center"/>
    </xf>
    <xf numFmtId="0" fontId="16" fillId="21" borderId="25" xfId="0" applyFont="1" applyFill="1" applyBorder="1" applyAlignment="1">
      <alignment horizontal="left" vertical="center" indent="1"/>
    </xf>
    <xf numFmtId="0" fontId="19" fillId="18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9" xfId="0" applyBorder="1"/>
    <xf numFmtId="0" fontId="14" fillId="19" borderId="29" xfId="0" applyFont="1" applyFill="1" applyBorder="1" applyAlignment="1">
      <alignment vertical="center"/>
    </xf>
    <xf numFmtId="0" fontId="0" fillId="19" borderId="29" xfId="0" applyFill="1" applyBorder="1"/>
    <xf numFmtId="3" fontId="20" fillId="18" borderId="27" xfId="0" applyNumberFormat="1" applyFont="1" applyFill="1" applyBorder="1" applyAlignment="1">
      <alignment horizontal="center" vertical="center"/>
    </xf>
    <xf numFmtId="3" fontId="21" fillId="19" borderId="24" xfId="0" applyNumberFormat="1" applyFont="1" applyFill="1" applyBorder="1"/>
    <xf numFmtId="0" fontId="22" fillId="0" borderId="0" xfId="0" applyFont="1"/>
    <xf numFmtId="0" fontId="0" fillId="0" borderId="6" xfId="0" applyBorder="1" applyAlignment="1">
      <alignment horizontal="center"/>
    </xf>
    <xf numFmtId="0" fontId="9" fillId="0" borderId="6" xfId="0" applyFont="1" applyBorder="1" applyAlignment="1">
      <alignment horizontal="center" wrapText="1"/>
    </xf>
    <xf numFmtId="165" fontId="0" fillId="0" borderId="6" xfId="0" applyNumberFormat="1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9" fillId="0" borderId="29" xfId="0" applyFont="1" applyBorder="1" applyAlignment="1">
      <alignment horizontal="center" wrapText="1"/>
    </xf>
    <xf numFmtId="2" fontId="0" fillId="0" borderId="29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9" fontId="0" fillId="0" borderId="2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10" xfId="0" applyFont="1" applyBorder="1" applyAlignment="1">
      <alignment horizontal="center" wrapText="1"/>
    </xf>
    <xf numFmtId="2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8" fillId="9" borderId="6" xfId="5" applyFont="1" applyFill="1" applyBorder="1" applyAlignment="1">
      <alignment horizontal="center" vertical="center" wrapText="1"/>
    </xf>
    <xf numFmtId="0" fontId="5" fillId="0" borderId="6" xfId="5" applyFont="1" applyBorder="1" applyAlignment="1">
      <alignment horizontal="center" vertical="center" wrapText="1"/>
    </xf>
    <xf numFmtId="165" fontId="5" fillId="0" borderId="6" xfId="5" applyNumberFormat="1" applyFont="1" applyBorder="1" applyAlignment="1">
      <alignment horizontal="center" vertical="center" wrapText="1"/>
    </xf>
    <xf numFmtId="0" fontId="2" fillId="0" borderId="29" xfId="6"/>
    <xf numFmtId="165" fontId="5" fillId="0" borderId="2" xfId="5" applyNumberFormat="1" applyFont="1" applyBorder="1" applyAlignment="1">
      <alignment vertical="center" wrapText="1"/>
    </xf>
    <xf numFmtId="0" fontId="5" fillId="0" borderId="29" xfId="5" applyFont="1" applyAlignment="1">
      <alignment horizontal="center" vertical="center" wrapText="1"/>
    </xf>
    <xf numFmtId="0" fontId="10" fillId="4" borderId="2" xfId="5" applyFont="1" applyFill="1" applyBorder="1" applyAlignment="1">
      <alignment horizontal="center" vertical="center" wrapText="1"/>
    </xf>
    <xf numFmtId="0" fontId="7" fillId="3" borderId="2" xfId="6" applyFont="1" applyFill="1" applyBorder="1" applyAlignment="1">
      <alignment horizontal="center" vertical="center" wrapText="1"/>
    </xf>
    <xf numFmtId="0" fontId="2" fillId="0" borderId="2" xfId="6" applyBorder="1" applyAlignment="1">
      <alignment horizontal="center"/>
    </xf>
    <xf numFmtId="164" fontId="9" fillId="0" borderId="2" xfId="6" applyNumberFormat="1" applyFont="1" applyBorder="1" applyAlignment="1">
      <alignment horizontal="center" wrapText="1"/>
    </xf>
    <xf numFmtId="1" fontId="2" fillId="0" borderId="2" xfId="6" applyNumberFormat="1" applyBorder="1" applyAlignment="1">
      <alignment horizontal="center"/>
    </xf>
    <xf numFmtId="165" fontId="2" fillId="0" borderId="2" xfId="6" applyNumberFormat="1" applyBorder="1" applyAlignment="1">
      <alignment horizontal="center"/>
    </xf>
    <xf numFmtId="9" fontId="2" fillId="0" borderId="2" xfId="6" applyNumberFormat="1" applyBorder="1" applyAlignment="1">
      <alignment horizontal="center"/>
    </xf>
    <xf numFmtId="164" fontId="2" fillId="0" borderId="29" xfId="6" applyNumberFormat="1"/>
    <xf numFmtId="0" fontId="3" fillId="2" borderId="2" xfId="6" applyFont="1" applyFill="1" applyBorder="1"/>
    <xf numFmtId="0" fontId="3" fillId="2" borderId="6" xfId="6" applyFont="1" applyFill="1" applyBorder="1"/>
    <xf numFmtId="0" fontId="3" fillId="2" borderId="3" xfId="6" applyFont="1" applyFill="1" applyBorder="1"/>
    <xf numFmtId="165" fontId="0" fillId="0" borderId="7" xfId="7" applyNumberFormat="1" applyFont="1" applyBorder="1"/>
    <xf numFmtId="0" fontId="2" fillId="0" borderId="7" xfId="6" applyBorder="1"/>
    <xf numFmtId="0" fontId="3" fillId="2" borderId="8" xfId="6" applyFont="1" applyFill="1" applyBorder="1"/>
    <xf numFmtId="165" fontId="2" fillId="0" borderId="29" xfId="6" applyNumberFormat="1"/>
    <xf numFmtId="0" fontId="6" fillId="9" borderId="9" xfId="5" applyFont="1" applyFill="1" applyBorder="1" applyAlignment="1">
      <alignment vertical="center" wrapText="1"/>
    </xf>
    <xf numFmtId="0" fontId="6" fillId="9" borderId="10" xfId="5" applyFont="1" applyFill="1" applyBorder="1" applyAlignment="1">
      <alignment vertical="center" wrapText="1"/>
    </xf>
    <xf numFmtId="0" fontId="6" fillId="9" borderId="11" xfId="5" applyFont="1" applyFill="1" applyBorder="1" applyAlignment="1">
      <alignment vertical="center" wrapText="1"/>
    </xf>
    <xf numFmtId="0" fontId="6" fillId="9" borderId="12" xfId="5" applyFont="1" applyFill="1" applyBorder="1" applyAlignment="1">
      <alignment vertical="center" wrapText="1"/>
    </xf>
    <xf numFmtId="0" fontId="6" fillId="9" borderId="4" xfId="5" applyFont="1" applyFill="1" applyBorder="1" applyAlignment="1">
      <alignment vertical="center" wrapText="1"/>
    </xf>
    <xf numFmtId="0" fontId="6" fillId="9" borderId="5" xfId="5" applyFont="1" applyFill="1" applyBorder="1" applyAlignment="1">
      <alignment vertical="center" wrapText="1"/>
    </xf>
    <xf numFmtId="2" fontId="2" fillId="0" borderId="2" xfId="6" applyNumberFormat="1" applyBorder="1" applyAlignment="1">
      <alignment horizontal="center"/>
    </xf>
    <xf numFmtId="0" fontId="9" fillId="0" borderId="2" xfId="6" applyFont="1" applyBorder="1" applyAlignment="1">
      <alignment horizontal="center" wrapText="1"/>
    </xf>
    <xf numFmtId="165" fontId="5" fillId="0" borderId="2" xfId="5" applyNumberFormat="1" applyFont="1" applyBorder="1" applyAlignment="1">
      <alignment wrapText="1"/>
    </xf>
    <xf numFmtId="0" fontId="1" fillId="7" borderId="1" xfId="0" applyFont="1" applyFill="1" applyBorder="1"/>
    <xf numFmtId="166" fontId="0" fillId="0" borderId="2" xfId="0" applyNumberFormat="1" applyBorder="1" applyAlignment="1">
      <alignment horizontal="center"/>
    </xf>
    <xf numFmtId="0" fontId="23" fillId="16" borderId="20" xfId="0" applyFont="1" applyFill="1" applyBorder="1" applyAlignment="1">
      <alignment horizontal="center" vertical="center"/>
    </xf>
    <xf numFmtId="0" fontId="24" fillId="23" borderId="0" xfId="0" applyFont="1" applyFill="1" applyAlignment="1">
      <alignment horizontal="center" vertical="center" wrapText="1"/>
    </xf>
    <xf numFmtId="0" fontId="24" fillId="23" borderId="0" xfId="0" applyFont="1" applyFill="1" applyAlignment="1">
      <alignment horizontal="center" vertical="center"/>
    </xf>
    <xf numFmtId="170" fontId="24" fillId="24" borderId="0" xfId="0" applyNumberFormat="1" applyFont="1" applyFill="1" applyAlignment="1">
      <alignment horizontal="center"/>
    </xf>
    <xf numFmtId="171" fontId="24" fillId="24" borderId="0" xfId="0" applyNumberFormat="1" applyFont="1" applyFill="1" applyAlignment="1">
      <alignment horizontal="center"/>
    </xf>
    <xf numFmtId="4" fontId="20" fillId="18" borderId="27" xfId="0" applyNumberFormat="1" applyFont="1" applyFill="1" applyBorder="1" applyAlignment="1">
      <alignment horizontal="center" vertical="center"/>
    </xf>
    <xf numFmtId="0" fontId="0" fillId="19" borderId="31" xfId="0" applyFill="1" applyBorder="1"/>
    <xf numFmtId="3" fontId="21" fillId="19" borderId="31" xfId="0" applyNumberFormat="1" applyFont="1" applyFill="1" applyBorder="1"/>
    <xf numFmtId="0" fontId="25" fillId="21" borderId="25" xfId="0" applyFont="1" applyFill="1" applyBorder="1" applyAlignment="1">
      <alignment horizontal="left" vertical="center" indent="1"/>
    </xf>
    <xf numFmtId="0" fontId="25" fillId="15" borderId="25" xfId="0" applyFont="1" applyFill="1" applyBorder="1" applyAlignment="1">
      <alignment horizontal="left" vertical="center" indent="1"/>
    </xf>
    <xf numFmtId="4" fontId="20" fillId="18" borderId="32" xfId="0" applyNumberFormat="1" applyFont="1" applyFill="1" applyBorder="1" applyAlignment="1">
      <alignment horizontal="center" vertical="center"/>
    </xf>
    <xf numFmtId="3" fontId="17" fillId="20" borderId="28" xfId="0" applyNumberFormat="1" applyFon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/>
    </xf>
    <xf numFmtId="0" fontId="4" fillId="0" borderId="29" xfId="2" applyBorder="1" applyAlignment="1">
      <alignment horizontal="center" vertical="center"/>
    </xf>
    <xf numFmtId="0" fontId="5" fillId="0" borderId="29" xfId="2" applyFont="1" applyBorder="1" applyAlignment="1">
      <alignment horizontal="center" vertical="center" wrapText="1"/>
    </xf>
    <xf numFmtId="0" fontId="8" fillId="9" borderId="2" xfId="2" applyFont="1" applyFill="1" applyBorder="1" applyAlignment="1">
      <alignment horizontal="center" vertical="center" wrapText="1"/>
    </xf>
    <xf numFmtId="0" fontId="2" fillId="0" borderId="29" xfId="6" applyAlignment="1">
      <alignment horizontal="center"/>
    </xf>
    <xf numFmtId="0" fontId="8" fillId="9" borderId="2" xfId="5" applyFont="1" applyFill="1" applyBorder="1" applyAlignment="1">
      <alignment horizontal="center" vertical="center" wrapText="1"/>
    </xf>
    <xf numFmtId="43" fontId="0" fillId="0" borderId="2" xfId="0" applyNumberFormat="1" applyBorder="1"/>
    <xf numFmtId="165" fontId="0" fillId="0" borderId="3" xfId="0" applyNumberFormat="1" applyBorder="1" applyAlignment="1">
      <alignment horizontal="center"/>
    </xf>
    <xf numFmtId="0" fontId="0" fillId="0" borderId="2" xfId="0" applyBorder="1"/>
    <xf numFmtId="0" fontId="6" fillId="9" borderId="29" xfId="5" applyFont="1" applyFill="1" applyAlignment="1">
      <alignment vertical="center" wrapText="1"/>
    </xf>
    <xf numFmtId="0" fontId="6" fillId="9" borderId="33" xfId="5" applyFont="1" applyFill="1" applyBorder="1" applyAlignment="1">
      <alignment vertical="center" wrapText="1"/>
    </xf>
    <xf numFmtId="0" fontId="6" fillId="9" borderId="29" xfId="2" applyFont="1" applyFill="1" applyBorder="1" applyAlignment="1">
      <alignment horizontal="center" vertical="center" wrapText="1"/>
    </xf>
    <xf numFmtId="0" fontId="6" fillId="9" borderId="33" xfId="2" applyFont="1" applyFill="1" applyBorder="1" applyAlignment="1">
      <alignment horizontal="center" vertical="center" wrapText="1"/>
    </xf>
    <xf numFmtId="0" fontId="1" fillId="0" borderId="34" xfId="0" applyFont="1" applyBorder="1"/>
    <xf numFmtId="0" fontId="6" fillId="9" borderId="29" xfId="2" applyFont="1" applyFill="1" applyBorder="1" applyAlignment="1">
      <alignment vertical="center" wrapText="1"/>
    </xf>
    <xf numFmtId="0" fontId="6" fillId="9" borderId="33" xfId="2" applyFont="1" applyFill="1" applyBorder="1" applyAlignment="1">
      <alignment vertical="center" wrapText="1"/>
    </xf>
    <xf numFmtId="0" fontId="4" fillId="0" borderId="29" xfId="5" applyAlignment="1">
      <alignment horizontal="center" vertical="center"/>
    </xf>
    <xf numFmtId="172" fontId="5" fillId="0" borderId="2" xfId="2" applyNumberFormat="1" applyFont="1" applyBorder="1" applyAlignment="1">
      <alignment horizontal="center" vertical="center"/>
    </xf>
    <xf numFmtId="172" fontId="0" fillId="0" borderId="2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2" fontId="0" fillId="0" borderId="2" xfId="0" applyNumberFormat="1" applyBorder="1"/>
    <xf numFmtId="169" fontId="0" fillId="0" borderId="2" xfId="0" applyNumberFormat="1" applyBorder="1"/>
    <xf numFmtId="1" fontId="0" fillId="0" borderId="2" xfId="0" applyNumberFormat="1" applyBorder="1"/>
    <xf numFmtId="0" fontId="26" fillId="25" borderId="0" xfId="0" applyFont="1" applyFill="1"/>
    <xf numFmtId="0" fontId="26" fillId="26" borderId="0" xfId="0" applyFont="1" applyFill="1"/>
    <xf numFmtId="172" fontId="26" fillId="26" borderId="0" xfId="0" applyNumberFormat="1" applyFont="1" applyFill="1"/>
    <xf numFmtId="0" fontId="27" fillId="0" borderId="0" xfId="0" applyFont="1"/>
    <xf numFmtId="170" fontId="28" fillId="24" borderId="0" xfId="0" applyNumberFormat="1" applyFont="1" applyFill="1" applyAlignment="1">
      <alignment horizontal="center"/>
    </xf>
    <xf numFmtId="171" fontId="28" fillId="24" borderId="0" xfId="0" applyNumberFormat="1" applyFont="1" applyFill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65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2" fontId="26" fillId="26" borderId="0" xfId="0" applyNumberFormat="1" applyFont="1" applyFill="1"/>
    <xf numFmtId="169" fontId="26" fillId="26" borderId="0" xfId="0" applyNumberFormat="1" applyFont="1" applyFill="1"/>
    <xf numFmtId="0" fontId="29" fillId="15" borderId="25" xfId="0" applyFont="1" applyFill="1" applyBorder="1" applyAlignment="1">
      <alignment horizontal="left" vertical="center" indent="1"/>
    </xf>
    <xf numFmtId="0" fontId="3" fillId="2" borderId="15" xfId="0" applyFont="1" applyFill="1" applyBorder="1" applyAlignment="1">
      <alignment horizontal="left" vertical="center"/>
    </xf>
    <xf numFmtId="165" fontId="0" fillId="0" borderId="6" xfId="0" applyNumberFormat="1" applyBorder="1" applyAlignment="1">
      <alignment horizontal="left" vertical="center"/>
    </xf>
    <xf numFmtId="165" fontId="0" fillId="0" borderId="2" xfId="1" applyNumberFormat="1" applyFont="1" applyBorder="1"/>
    <xf numFmtId="165" fontId="0" fillId="0" borderId="2" xfId="0" applyNumberFormat="1" applyBorder="1"/>
    <xf numFmtId="0" fontId="3" fillId="2" borderId="2" xfId="0" applyFont="1" applyFill="1" applyBorder="1" applyAlignment="1">
      <alignment horizontal="left" vertical="center"/>
    </xf>
    <xf numFmtId="165" fontId="0" fillId="0" borderId="2" xfId="0" applyNumberFormat="1" applyBorder="1" applyAlignment="1">
      <alignment horizontal="left" vertical="center"/>
    </xf>
    <xf numFmtId="165" fontId="0" fillId="0" borderId="35" xfId="1" applyNumberFormat="1" applyFont="1" applyBorder="1"/>
    <xf numFmtId="168" fontId="0" fillId="0" borderId="2" xfId="0" applyNumberFormat="1" applyBorder="1"/>
    <xf numFmtId="0" fontId="31" fillId="27" borderId="2" xfId="0" applyFont="1" applyFill="1" applyBorder="1" applyAlignment="1">
      <alignment horizontal="left" vertical="center"/>
    </xf>
    <xf numFmtId="165" fontId="30" fillId="0" borderId="36" xfId="0" applyNumberFormat="1" applyFont="1" applyBorder="1" applyAlignment="1">
      <alignment horizontal="left" vertical="center"/>
    </xf>
    <xf numFmtId="169" fontId="2" fillId="0" borderId="2" xfId="6" applyNumberFormat="1" applyBorder="1" applyAlignment="1">
      <alignment horizontal="center"/>
    </xf>
    <xf numFmtId="169" fontId="2" fillId="0" borderId="2" xfId="6" applyNumberFormat="1" applyBorder="1"/>
    <xf numFmtId="170" fontId="24" fillId="28" borderId="0" xfId="0" applyNumberFormat="1" applyFont="1" applyFill="1"/>
    <xf numFmtId="173" fontId="24" fillId="28" borderId="0" xfId="0" applyNumberFormat="1" applyFont="1" applyFill="1"/>
    <xf numFmtId="0" fontId="0" fillId="0" borderId="0" xfId="0" applyAlignment="1">
      <alignment horizontal="left" vertical="center"/>
    </xf>
    <xf numFmtId="169" fontId="4" fillId="0" borderId="2" xfId="2" applyNumberFormat="1" applyBorder="1" applyAlignment="1">
      <alignment horizontal="center" vertical="center"/>
    </xf>
    <xf numFmtId="169" fontId="4" fillId="0" borderId="6" xfId="2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74" fontId="26" fillId="26" borderId="0" xfId="0" applyNumberFormat="1" applyFont="1" applyFill="1"/>
    <xf numFmtId="167" fontId="0" fillId="7" borderId="2" xfId="3" applyNumberFormat="1" applyFont="1" applyFill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0" fontId="4" fillId="5" borderId="0" xfId="2" applyFill="1" applyAlignment="1">
      <alignment horizontal="center" vertical="center"/>
    </xf>
    <xf numFmtId="172" fontId="0" fillId="0" borderId="2" xfId="0" applyNumberFormat="1" applyBorder="1"/>
    <xf numFmtId="0" fontId="0" fillId="5" borderId="0" xfId="0" applyFill="1"/>
    <xf numFmtId="166" fontId="30" fillId="0" borderId="36" xfId="0" applyNumberFormat="1" applyFont="1" applyBorder="1" applyAlignment="1">
      <alignment horizontal="left" vertical="center"/>
    </xf>
    <xf numFmtId="0" fontId="2" fillId="5" borderId="29" xfId="6" applyFill="1"/>
    <xf numFmtId="166" fontId="0" fillId="0" borderId="6" xfId="0" applyNumberFormat="1" applyBorder="1" applyAlignment="1">
      <alignment horizontal="left" vertical="center"/>
    </xf>
    <xf numFmtId="169" fontId="0" fillId="0" borderId="3" xfId="0" applyNumberFormat="1" applyBorder="1" applyAlignment="1">
      <alignment horizontal="center"/>
    </xf>
    <xf numFmtId="169" fontId="0" fillId="0" borderId="29" xfId="0" applyNumberFormat="1" applyBorder="1" applyAlignment="1">
      <alignment horizontal="center"/>
    </xf>
    <xf numFmtId="169" fontId="0" fillId="0" borderId="0" xfId="0" applyNumberFormat="1"/>
    <xf numFmtId="169" fontId="0" fillId="0" borderId="29" xfId="0" applyNumberFormat="1" applyBorder="1"/>
    <xf numFmtId="169" fontId="0" fillId="0" borderId="6" xfId="0" applyNumberFormat="1" applyBorder="1" applyAlignment="1">
      <alignment horizontal="center"/>
    </xf>
    <xf numFmtId="169" fontId="11" fillId="0" borderId="2" xfId="2" applyNumberFormat="1" applyFont="1" applyBorder="1" applyAlignment="1">
      <alignment horizontal="center" vertical="center"/>
    </xf>
    <xf numFmtId="169" fontId="5" fillId="0" borderId="2" xfId="2" applyNumberFormat="1" applyFont="1" applyBorder="1" applyAlignment="1">
      <alignment horizontal="center" vertical="center" wrapText="1"/>
    </xf>
    <xf numFmtId="0" fontId="32" fillId="29" borderId="0" xfId="0" applyFont="1" applyFill="1" applyAlignment="1">
      <alignment horizontal="center" vertical="center" wrapText="1"/>
    </xf>
    <xf numFmtId="0" fontId="0" fillId="11" borderId="0" xfId="0" applyFill="1"/>
    <xf numFmtId="0" fontId="0" fillId="30" borderId="0" xfId="0" applyFill="1"/>
    <xf numFmtId="0" fontId="0" fillId="12" borderId="0" xfId="0" applyFill="1"/>
    <xf numFmtId="0" fontId="0" fillId="13" borderId="0" xfId="0" applyFill="1"/>
    <xf numFmtId="0" fontId="0" fillId="31" borderId="0" xfId="0" applyFill="1"/>
    <xf numFmtId="0" fontId="0" fillId="32" borderId="0" xfId="0" applyFill="1"/>
    <xf numFmtId="0" fontId="7" fillId="7" borderId="0" xfId="2" applyFont="1" applyFill="1" applyAlignment="1">
      <alignment horizontal="center" vertical="center"/>
    </xf>
    <xf numFmtId="0" fontId="33" fillId="7" borderId="29" xfId="6" applyFont="1" applyFill="1"/>
    <xf numFmtId="0" fontId="33" fillId="7" borderId="0" xfId="0" applyFont="1" applyFill="1"/>
    <xf numFmtId="0" fontId="7" fillId="33" borderId="0" xfId="2" applyFont="1" applyFill="1" applyAlignment="1">
      <alignment horizontal="center" vertical="center"/>
    </xf>
    <xf numFmtId="0" fontId="33" fillId="33" borderId="29" xfId="6" applyFont="1" applyFill="1"/>
    <xf numFmtId="0" fontId="33" fillId="33" borderId="0" xfId="0" applyFont="1" applyFill="1"/>
    <xf numFmtId="0" fontId="8" fillId="2" borderId="13" xfId="2" applyFont="1" applyFill="1" applyBorder="1" applyAlignment="1">
      <alignment horizontal="center"/>
    </xf>
    <xf numFmtId="0" fontId="0" fillId="0" borderId="13" xfId="0" applyBorder="1"/>
    <xf numFmtId="0" fontId="3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0" borderId="4" xfId="0" applyBorder="1"/>
    <xf numFmtId="0" fontId="12" fillId="14" borderId="19" xfId="0" applyFont="1" applyFill="1" applyBorder="1" applyAlignment="1">
      <alignment horizontal="center" vertical="center"/>
    </xf>
    <xf numFmtId="0" fontId="0" fillId="0" borderId="19" xfId="0" applyBorder="1"/>
    <xf numFmtId="0" fontId="8" fillId="2" borderId="4" xfId="2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/>
    <xf numFmtId="0" fontId="0" fillId="0" borderId="29" xfId="0" applyBorder="1"/>
    <xf numFmtId="0" fontId="8" fillId="2" borderId="2" xfId="2" applyFont="1" applyFill="1" applyBorder="1" applyAlignment="1">
      <alignment horizontal="center"/>
    </xf>
    <xf numFmtId="0" fontId="0" fillId="0" borderId="2" xfId="0" applyBorder="1"/>
    <xf numFmtId="0" fontId="8" fillId="2" borderId="4" xfId="5" applyFont="1" applyFill="1" applyBorder="1" applyAlignment="1">
      <alignment horizontal="center"/>
    </xf>
    <xf numFmtId="0" fontId="8" fillId="2" borderId="13" xfId="5" applyFont="1" applyFill="1" applyBorder="1" applyAlignment="1">
      <alignment horizontal="center"/>
    </xf>
    <xf numFmtId="0" fontId="6" fillId="9" borderId="10" xfId="5" applyFont="1" applyFill="1" applyBorder="1" applyAlignment="1">
      <alignment horizontal="center" vertical="center" wrapText="1"/>
    </xf>
    <xf numFmtId="0" fontId="6" fillId="9" borderId="4" xfId="5" applyFont="1" applyFill="1" applyBorder="1" applyAlignment="1">
      <alignment horizontal="center" vertical="center" wrapText="1"/>
    </xf>
  </cellXfs>
  <cellStyles count="10">
    <cellStyle name="Comma" xfId="1" builtinId="3"/>
    <cellStyle name="Comma 2" xfId="3" xr:uid="{00000000-0005-0000-0000-000003000000}"/>
    <cellStyle name="Comma 3" xfId="7" xr:uid="{B383CCDD-EAB9-4685-8439-CEA519C0A79C}"/>
    <cellStyle name="Normal" xfId="0" builtinId="0"/>
    <cellStyle name="Normal 2" xfId="4" xr:uid="{00000000-0005-0000-0000-000004000000}"/>
    <cellStyle name="Normal 2 2 2" xfId="2" xr:uid="{00000000-0005-0000-0000-000002000000}"/>
    <cellStyle name="Normal 2 2 2 2" xfId="5" xr:uid="{037672E5-57CB-4876-A3A1-3E014DD47B6A}"/>
    <cellStyle name="Normal 3" xfId="6" xr:uid="{9172D19B-5E0C-4508-BCE9-06071534FDC6}"/>
    <cellStyle name="Normal 4" xfId="8" xr:uid="{DEE1C851-E699-4F6C-9937-B0ECC57B7057}"/>
    <cellStyle name="Normal 5" xfId="9" xr:uid="{DA4A8751-4D1C-47B4-BA1B-F1D8F92210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441278</xdr:colOff>
      <xdr:row>1</xdr:row>
      <xdr:rowOff>247631</xdr:rowOff>
    </xdr:from>
    <xdr:to>
      <xdr:col>25</xdr:col>
      <xdr:colOff>3863</xdr:colOff>
      <xdr:row>7</xdr:row>
      <xdr:rowOff>44380</xdr:rowOff>
    </xdr:to>
    <xdr:pic macro="[0]!RecalcWeights">
      <xdr:nvPicPr>
        <xdr:cNvPr id="9" name="Picture 8">
          <a:extLst>
            <a:ext uri="{FF2B5EF4-FFF2-40B4-BE49-F238E27FC236}">
              <a16:creationId xmlns:a16="http://schemas.microsoft.com/office/drawing/2014/main" id="{D403C85B-9641-515B-2D10-8D80CAB8D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78883" y="730495"/>
          <a:ext cx="1117011" cy="1165968"/>
        </a:xfrm>
        <a:prstGeom prst="rect">
          <a:avLst/>
        </a:prstGeom>
      </xdr:spPr>
    </xdr:pic>
    <xdr:clientData/>
  </xdr:twoCellAnchor>
  <xdr:twoCellAnchor>
    <xdr:from>
      <xdr:col>18</xdr:col>
      <xdr:colOff>79809</xdr:colOff>
      <xdr:row>8</xdr:row>
      <xdr:rowOff>31228</xdr:rowOff>
    </xdr:from>
    <xdr:to>
      <xdr:col>23</xdr:col>
      <xdr:colOff>135763</xdr:colOff>
      <xdr:row>9</xdr:row>
      <xdr:rowOff>94727</xdr:rowOff>
    </xdr:to>
    <xdr:sp macro="[0]!ExportBreakfas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35173E-58B9-FC8F-5D02-4B1FD8F22D2F}"/>
            </a:ext>
          </a:extLst>
        </xdr:cNvPr>
        <xdr:cNvSpPr/>
      </xdr:nvSpPr>
      <xdr:spPr>
        <a:xfrm>
          <a:off x="17853195" y="2101592"/>
          <a:ext cx="783557" cy="28178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/>
            <a:t>Day Tables</a:t>
          </a:r>
          <a:endParaRPr lang="ar-EG" sz="1100"/>
        </a:p>
      </xdr:txBody>
    </xdr:sp>
    <xdr:clientData/>
  </xdr:twoCellAnchor>
  <xdr:twoCellAnchor>
    <xdr:from>
      <xdr:col>29</xdr:col>
      <xdr:colOff>381000</xdr:colOff>
      <xdr:row>5</xdr:row>
      <xdr:rowOff>119530</xdr:rowOff>
    </xdr:from>
    <xdr:to>
      <xdr:col>30</xdr:col>
      <xdr:colOff>313765</xdr:colOff>
      <xdr:row>9</xdr:row>
      <xdr:rowOff>112059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EBE36D8-0989-F862-375F-4F46B8C7B90D}"/>
            </a:ext>
          </a:extLst>
        </xdr:cNvPr>
        <xdr:cNvSpPr/>
      </xdr:nvSpPr>
      <xdr:spPr>
        <a:xfrm>
          <a:off x="25646529" y="1531471"/>
          <a:ext cx="590177" cy="85911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355D5-C58B-41E2-8E1D-38165D44C41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f995636a-c246-44ab-8832-e8e23f192e6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H146"/>
  <sheetViews>
    <sheetView tabSelected="1" zoomScale="70" zoomScaleNormal="85" workbookViewId="0">
      <pane ySplit="2" topLeftCell="A3" activePane="bottomLeft" state="frozen"/>
      <selection pane="bottomLeft" activeCell="F26" sqref="F26"/>
    </sheetView>
  </sheetViews>
  <sheetFormatPr defaultRowHeight="14" x14ac:dyDescent="0.3"/>
  <cols>
    <col min="1" max="1" width="41.4140625" customWidth="1"/>
    <col min="2" max="2" width="13.5" bestFit="1" customWidth="1"/>
    <col min="3" max="3" width="8.6640625" customWidth="1"/>
    <col min="4" max="4" width="14.08203125" customWidth="1"/>
    <col min="5" max="5" width="15.83203125" customWidth="1"/>
    <col min="6" max="6" width="8.08203125" customWidth="1"/>
    <col min="7" max="7" width="18.4140625" customWidth="1"/>
    <col min="8" max="8" width="19.6640625" customWidth="1"/>
    <col min="9" max="9" width="23.9140625" customWidth="1"/>
    <col min="10" max="10" width="18.9140625" customWidth="1"/>
    <col min="11" max="11" width="15.5" customWidth="1"/>
    <col min="12" max="12" width="13.5" bestFit="1" customWidth="1"/>
    <col min="13" max="13" width="11.33203125" bestFit="1" customWidth="1"/>
    <col min="14" max="14" width="10.5" bestFit="1" customWidth="1"/>
    <col min="15" max="15" width="12.9140625" bestFit="1" customWidth="1"/>
    <col min="16" max="16" width="3.9140625" customWidth="1"/>
    <col min="17" max="17" width="9.33203125" customWidth="1"/>
    <col min="18" max="18" width="7.4140625" customWidth="1"/>
    <col min="19" max="26" width="2" customWidth="1"/>
    <col min="27" max="27" width="30.9140625" customWidth="1"/>
    <col min="28" max="28" width="4.4140625" bestFit="1" customWidth="1"/>
    <col min="29" max="29" width="13.5" customWidth="1"/>
    <col min="30" max="31" width="8.33203125" customWidth="1"/>
    <col min="32" max="32" width="25.5" customWidth="1"/>
    <col min="33" max="33" width="8.83203125"/>
    <col min="34" max="34" width="2.83203125" customWidth="1"/>
  </cols>
  <sheetData>
    <row r="1" spans="1:33" ht="38" customHeight="1" thickBot="1" x14ac:dyDescent="0.35">
      <c r="A1" s="74" t="s">
        <v>203</v>
      </c>
      <c r="B1" s="74" t="s">
        <v>54</v>
      </c>
      <c r="C1" s="74" t="s">
        <v>204</v>
      </c>
      <c r="D1" s="74" t="s">
        <v>205</v>
      </c>
      <c r="E1" s="74" t="s">
        <v>206</v>
      </c>
      <c r="F1" s="74" t="s">
        <v>220</v>
      </c>
      <c r="G1" s="137" t="s">
        <v>221</v>
      </c>
      <c r="H1" s="138" t="s">
        <v>222</v>
      </c>
      <c r="I1" s="137" t="s">
        <v>223</v>
      </c>
      <c r="J1" s="137" t="s">
        <v>254</v>
      </c>
      <c r="K1" s="74" t="s">
        <v>224</v>
      </c>
      <c r="L1" s="74" t="s">
        <v>126</v>
      </c>
      <c r="M1" s="74" t="s">
        <v>225</v>
      </c>
      <c r="N1" s="74" t="s">
        <v>226</v>
      </c>
      <c r="O1" s="74" t="s">
        <v>227</v>
      </c>
      <c r="Q1" s="136" t="s">
        <v>207</v>
      </c>
      <c r="R1" s="75">
        <v>6</v>
      </c>
      <c r="AA1" s="73" t="s">
        <v>1</v>
      </c>
      <c r="AB1" s="73" t="s">
        <v>0</v>
      </c>
      <c r="AC1" s="73" t="s">
        <v>321</v>
      </c>
      <c r="AF1" s="223" t="s">
        <v>296</v>
      </c>
      <c r="AG1" s="223" t="s">
        <v>64</v>
      </c>
    </row>
    <row r="2" spans="1:33" ht="22.25" customHeight="1" x14ac:dyDescent="0.3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AA2" s="76" t="s">
        <v>1</v>
      </c>
      <c r="AB2" s="76" t="s">
        <v>2</v>
      </c>
      <c r="AC2" s="76"/>
      <c r="AF2" s="224"/>
      <c r="AG2" s="224"/>
    </row>
    <row r="3" spans="1:33" ht="17" customHeight="1" x14ac:dyDescent="0.3">
      <c r="A3" s="81" t="s">
        <v>172</v>
      </c>
      <c r="B3" s="144" t="s">
        <v>211</v>
      </c>
      <c r="C3" s="144" t="s">
        <v>7</v>
      </c>
      <c r="D3" s="87">
        <v>100</v>
      </c>
      <c r="E3" s="80">
        <v>1054.7916666666665</v>
      </c>
      <c r="F3" s="141">
        <v>1</v>
      </c>
      <c r="G3" s="139">
        <v>25000</v>
      </c>
      <c r="H3" s="139" t="s">
        <v>238</v>
      </c>
      <c r="I3" s="140">
        <v>750</v>
      </c>
      <c r="J3" s="140">
        <f>I3/(G3/1000)</f>
        <v>30</v>
      </c>
      <c r="K3" s="200">
        <f t="shared" ref="K3" si="0">(E3/F3)/G3</f>
        <v>4.2191666666666662E-2</v>
      </c>
      <c r="L3" s="200">
        <f>(D3/F3)/G3</f>
        <v>4.0000000000000001E-3</v>
      </c>
      <c r="M3" s="199" t="s">
        <v>229</v>
      </c>
      <c r="N3" s="199">
        <f t="shared" ref="N3" si="1">K3*I3</f>
        <v>31.643749999999997</v>
      </c>
      <c r="O3" s="199">
        <f t="shared" ref="O3" si="2">L3*I3</f>
        <v>3</v>
      </c>
      <c r="AA3" s="78" t="s">
        <v>3</v>
      </c>
      <c r="AB3" s="82">
        <v>1</v>
      </c>
      <c r="AC3" s="82">
        <f>AG3</f>
        <v>48</v>
      </c>
      <c r="AF3" s="224" t="s">
        <v>298</v>
      </c>
      <c r="AG3" s="224">
        <v>48</v>
      </c>
    </row>
    <row r="4" spans="1:33" ht="17" customHeight="1" x14ac:dyDescent="0.3">
      <c r="A4" s="145" t="s">
        <v>200</v>
      </c>
      <c r="B4" s="145" t="s">
        <v>211</v>
      </c>
      <c r="C4" s="145" t="s">
        <v>7</v>
      </c>
      <c r="D4" s="87">
        <v>1160</v>
      </c>
      <c r="E4" s="80">
        <v>13914.175824175825</v>
      </c>
      <c r="F4" s="141">
        <v>1</v>
      </c>
      <c r="G4" s="139">
        <v>10800</v>
      </c>
      <c r="H4" s="139" t="s">
        <v>233</v>
      </c>
      <c r="I4" s="140">
        <v>162</v>
      </c>
      <c r="J4" s="140">
        <f>I4/(G4/1000)</f>
        <v>14.999999999999998</v>
      </c>
      <c r="K4" s="200">
        <f t="shared" ref="K4:K14" si="3">(E4/F4)/G4</f>
        <v>1.2883496133496135</v>
      </c>
      <c r="L4" s="200">
        <f t="shared" ref="L4:L14" si="4">(D4/F4)/G4</f>
        <v>0.10740740740740741</v>
      </c>
      <c r="M4" s="199" t="s">
        <v>280</v>
      </c>
      <c r="N4" s="199">
        <f t="shared" ref="N4:N14" si="5">K4*I4</f>
        <v>208.71263736263739</v>
      </c>
      <c r="O4" s="199">
        <f t="shared" ref="O4:O14" si="6">L4*I4</f>
        <v>17.400000000000002</v>
      </c>
      <c r="AA4" s="78" t="s">
        <v>6</v>
      </c>
      <c r="AB4" s="82">
        <v>1</v>
      </c>
      <c r="AC4" s="82">
        <f>AG4</f>
        <v>239</v>
      </c>
      <c r="AF4" s="224" t="s">
        <v>299</v>
      </c>
      <c r="AG4" s="224">
        <v>239</v>
      </c>
    </row>
    <row r="5" spans="1:33" ht="17" customHeight="1" x14ac:dyDescent="0.3">
      <c r="A5" s="144" t="s">
        <v>170</v>
      </c>
      <c r="B5" s="144" t="s">
        <v>211</v>
      </c>
      <c r="C5" s="144" t="s">
        <v>124</v>
      </c>
      <c r="D5" s="87">
        <v>870</v>
      </c>
      <c r="E5" s="80">
        <v>1823.4883720930231</v>
      </c>
      <c r="F5" s="141">
        <v>1</v>
      </c>
      <c r="G5" s="139">
        <v>12000</v>
      </c>
      <c r="H5" s="139" t="s">
        <v>236</v>
      </c>
      <c r="I5" s="140">
        <v>152</v>
      </c>
      <c r="J5" s="140">
        <f>I5/(G5/1000)</f>
        <v>12.666666666666666</v>
      </c>
      <c r="K5" s="200">
        <f t="shared" si="3"/>
        <v>0.15195736434108525</v>
      </c>
      <c r="L5" s="200">
        <f t="shared" si="4"/>
        <v>7.2499999999999995E-2</v>
      </c>
      <c r="M5" s="199" t="s">
        <v>280</v>
      </c>
      <c r="N5" s="199">
        <f t="shared" si="5"/>
        <v>23.097519379844957</v>
      </c>
      <c r="O5" s="199">
        <f t="shared" si="6"/>
        <v>11.02</v>
      </c>
      <c r="AA5" s="78" t="s">
        <v>8</v>
      </c>
      <c r="AB5" s="82">
        <v>1</v>
      </c>
      <c r="AC5" s="82">
        <f>AG5</f>
        <v>103</v>
      </c>
      <c r="AF5" s="224" t="s">
        <v>300</v>
      </c>
      <c r="AG5" s="224">
        <v>103</v>
      </c>
    </row>
    <row r="6" spans="1:33" ht="17" customHeight="1" x14ac:dyDescent="0.3">
      <c r="A6" s="145" t="s">
        <v>144</v>
      </c>
      <c r="B6" s="145" t="s">
        <v>211</v>
      </c>
      <c r="C6" s="145" t="s">
        <v>5</v>
      </c>
      <c r="D6" s="87">
        <v>634</v>
      </c>
      <c r="E6" s="80">
        <v>2114.333333333333</v>
      </c>
      <c r="F6" s="146">
        <v>0.96</v>
      </c>
      <c r="G6" s="139">
        <f>360</f>
        <v>360</v>
      </c>
      <c r="H6" s="139" t="s">
        <v>253</v>
      </c>
      <c r="I6" s="140">
        <v>156</v>
      </c>
      <c r="J6" s="140">
        <f>I6/(G6)</f>
        <v>0.43333333333333335</v>
      </c>
      <c r="K6" s="200">
        <f t="shared" si="3"/>
        <v>6.1178626543209864</v>
      </c>
      <c r="L6" s="200">
        <f t="shared" si="4"/>
        <v>1.8344907407407409</v>
      </c>
      <c r="M6" s="199" t="s">
        <v>280</v>
      </c>
      <c r="N6" s="199">
        <f t="shared" si="5"/>
        <v>954.38657407407391</v>
      </c>
      <c r="O6" s="199">
        <f t="shared" si="6"/>
        <v>286.1805555555556</v>
      </c>
      <c r="AA6" s="78" t="s">
        <v>9</v>
      </c>
      <c r="AB6" s="82">
        <v>1</v>
      </c>
      <c r="AC6" s="82">
        <f>AG6</f>
        <v>14</v>
      </c>
      <c r="AF6" s="224" t="s">
        <v>301</v>
      </c>
      <c r="AG6" s="224">
        <v>14</v>
      </c>
    </row>
    <row r="7" spans="1:33" ht="17" customHeight="1" x14ac:dyDescent="0.3">
      <c r="A7" s="81" t="s">
        <v>327</v>
      </c>
      <c r="B7" s="144" t="s">
        <v>211</v>
      </c>
      <c r="C7" s="144" t="s">
        <v>7</v>
      </c>
      <c r="D7" s="87">
        <v>2320</v>
      </c>
      <c r="E7" s="80">
        <v>2806.2790697674418</v>
      </c>
      <c r="F7" s="141">
        <v>1</v>
      </c>
      <c r="G7" s="139">
        <v>5000</v>
      </c>
      <c r="H7" s="139" t="s">
        <v>237</v>
      </c>
      <c r="I7" s="140">
        <v>56.52</v>
      </c>
      <c r="J7" s="140">
        <f t="shared" ref="J7:J14" si="7">I7/(G7/1000)</f>
        <v>11.304</v>
      </c>
      <c r="K7" s="200">
        <f t="shared" si="3"/>
        <v>0.56125581395348834</v>
      </c>
      <c r="L7" s="200">
        <f t="shared" si="4"/>
        <v>0.46400000000000002</v>
      </c>
      <c r="M7" s="199" t="s">
        <v>229</v>
      </c>
      <c r="N7" s="199">
        <f t="shared" si="5"/>
        <v>31.722178604651162</v>
      </c>
      <c r="O7" s="199">
        <f t="shared" si="6"/>
        <v>26.225280000000001</v>
      </c>
      <c r="AA7" s="78" t="s">
        <v>10</v>
      </c>
      <c r="AB7" s="82">
        <v>2</v>
      </c>
      <c r="AC7" s="82">
        <f>AG8</f>
        <v>62</v>
      </c>
    </row>
    <row r="8" spans="1:33" ht="17" customHeight="1" x14ac:dyDescent="0.3">
      <c r="A8" s="145" t="s">
        <v>169</v>
      </c>
      <c r="B8" s="145" t="s">
        <v>211</v>
      </c>
      <c r="C8" s="145" t="s">
        <v>7</v>
      </c>
      <c r="D8" s="87">
        <v>0</v>
      </c>
      <c r="E8" s="80">
        <v>2466.8131868131868</v>
      </c>
      <c r="F8" s="141">
        <v>1</v>
      </c>
      <c r="G8" s="139">
        <v>11000</v>
      </c>
      <c r="H8" s="139" t="s">
        <v>234</v>
      </c>
      <c r="I8" s="140">
        <v>149</v>
      </c>
      <c r="J8" s="140">
        <f t="shared" si="7"/>
        <v>13.545454545454545</v>
      </c>
      <c r="K8" s="200">
        <f t="shared" si="3"/>
        <v>0.22425574425574427</v>
      </c>
      <c r="L8" s="200">
        <f t="shared" si="4"/>
        <v>0</v>
      </c>
      <c r="M8" s="199" t="s">
        <v>280</v>
      </c>
      <c r="N8" s="199">
        <f t="shared" si="5"/>
        <v>33.414105894105894</v>
      </c>
      <c r="O8" s="199">
        <f t="shared" si="6"/>
        <v>0</v>
      </c>
      <c r="AA8" s="78" t="s">
        <v>36</v>
      </c>
      <c r="AB8" s="82">
        <v>2</v>
      </c>
      <c r="AC8" s="82">
        <f>AG11</f>
        <v>199</v>
      </c>
      <c r="AF8" s="226" t="s">
        <v>302</v>
      </c>
      <c r="AG8" s="226">
        <v>62</v>
      </c>
    </row>
    <row r="9" spans="1:33" ht="17" customHeight="1" x14ac:dyDescent="0.3">
      <c r="A9" s="81" t="s">
        <v>168</v>
      </c>
      <c r="B9" s="144" t="s">
        <v>211</v>
      </c>
      <c r="C9" s="144" t="s">
        <v>124</v>
      </c>
      <c r="D9" s="87">
        <v>2579.8816568047337</v>
      </c>
      <c r="E9" s="80">
        <v>9450.0366955644222</v>
      </c>
      <c r="F9" s="141">
        <v>1</v>
      </c>
      <c r="G9" s="139">
        <v>12000</v>
      </c>
      <c r="H9" s="139" t="s">
        <v>236</v>
      </c>
      <c r="I9" s="140">
        <v>50.44</v>
      </c>
      <c r="J9" s="140">
        <f t="shared" si="7"/>
        <v>4.2033333333333331</v>
      </c>
      <c r="K9" s="200">
        <f t="shared" si="3"/>
        <v>0.7875030579637019</v>
      </c>
      <c r="L9" s="200">
        <f t="shared" si="4"/>
        <v>0.21499013806706113</v>
      </c>
      <c r="M9" s="199" t="s">
        <v>280</v>
      </c>
      <c r="N9" s="199">
        <f t="shared" si="5"/>
        <v>39.721654243689123</v>
      </c>
      <c r="O9" s="199">
        <f t="shared" si="6"/>
        <v>10.844102564102563</v>
      </c>
      <c r="AA9" s="78" t="s">
        <v>11</v>
      </c>
      <c r="AB9" s="82">
        <v>2</v>
      </c>
      <c r="AC9" s="82">
        <f>AG9</f>
        <v>321</v>
      </c>
      <c r="AF9" s="226" t="s">
        <v>303</v>
      </c>
      <c r="AG9" s="226">
        <v>321</v>
      </c>
    </row>
    <row r="10" spans="1:33" ht="17" customHeight="1" x14ac:dyDescent="0.3">
      <c r="A10" s="79" t="s">
        <v>201</v>
      </c>
      <c r="B10" s="79" t="s">
        <v>211</v>
      </c>
      <c r="C10" s="145" t="s">
        <v>7</v>
      </c>
      <c r="D10" s="87">
        <v>0</v>
      </c>
      <c r="E10" s="80">
        <v>2580</v>
      </c>
      <c r="F10" s="141">
        <v>1</v>
      </c>
      <c r="G10" s="139">
        <v>9200</v>
      </c>
      <c r="H10" s="139" t="s">
        <v>232</v>
      </c>
      <c r="I10" s="140">
        <v>165</v>
      </c>
      <c r="J10" s="140">
        <f t="shared" si="7"/>
        <v>17.934782608695652</v>
      </c>
      <c r="K10" s="200">
        <f t="shared" si="3"/>
        <v>0.28043478260869564</v>
      </c>
      <c r="L10" s="200">
        <f t="shared" si="4"/>
        <v>0</v>
      </c>
      <c r="M10" s="199" t="s">
        <v>280</v>
      </c>
      <c r="N10" s="199">
        <f t="shared" si="5"/>
        <v>46.271739130434781</v>
      </c>
      <c r="O10" s="199">
        <f t="shared" si="6"/>
        <v>0</v>
      </c>
      <c r="AA10" s="78" t="s">
        <v>13</v>
      </c>
      <c r="AB10" s="82">
        <v>2</v>
      </c>
      <c r="AC10" s="82">
        <f>AG10</f>
        <v>26</v>
      </c>
      <c r="AF10" s="226" t="s">
        <v>304</v>
      </c>
      <c r="AG10" s="226">
        <v>26</v>
      </c>
    </row>
    <row r="11" spans="1:33" ht="17" customHeight="1" x14ac:dyDescent="0.3">
      <c r="A11" s="144" t="s">
        <v>167</v>
      </c>
      <c r="B11" s="144" t="s">
        <v>211</v>
      </c>
      <c r="C11" s="144" t="s">
        <v>7</v>
      </c>
      <c r="D11" s="87">
        <v>1918.096551724138</v>
      </c>
      <c r="E11" s="80">
        <v>15732.731034482758</v>
      </c>
      <c r="F11" s="141">
        <v>1</v>
      </c>
      <c r="G11" s="139">
        <v>10000</v>
      </c>
      <c r="H11" s="139" t="s">
        <v>235</v>
      </c>
      <c r="I11" s="140">
        <v>66.959999999999994</v>
      </c>
      <c r="J11" s="140">
        <f t="shared" si="7"/>
        <v>6.6959999999999997</v>
      </c>
      <c r="K11" s="200">
        <f t="shared" si="3"/>
        <v>1.5732731034482759</v>
      </c>
      <c r="L11" s="200">
        <f t="shared" si="4"/>
        <v>0.1918096551724138</v>
      </c>
      <c r="M11" s="199" t="s">
        <v>229</v>
      </c>
      <c r="N11" s="199">
        <f t="shared" si="5"/>
        <v>105.34636700689654</v>
      </c>
      <c r="O11" s="199">
        <f t="shared" si="6"/>
        <v>12.843574510344826</v>
      </c>
      <c r="AA11" s="78" t="s">
        <v>15</v>
      </c>
      <c r="AB11" s="82">
        <v>2</v>
      </c>
      <c r="AC11" s="82">
        <f>AG12</f>
        <v>84</v>
      </c>
      <c r="AF11" s="226" t="s">
        <v>305</v>
      </c>
      <c r="AG11" s="226">
        <v>199</v>
      </c>
    </row>
    <row r="12" spans="1:33" ht="17" customHeight="1" x14ac:dyDescent="0.3">
      <c r="A12" s="145" t="s">
        <v>331</v>
      </c>
      <c r="B12" s="145" t="s">
        <v>211</v>
      </c>
      <c r="C12" s="145" t="s">
        <v>5</v>
      </c>
      <c r="D12" s="87">
        <v>238</v>
      </c>
      <c r="E12" s="80">
        <v>537</v>
      </c>
      <c r="F12" s="141">
        <v>1</v>
      </c>
      <c r="G12" s="139">
        <f>(12*10)</f>
        <v>120</v>
      </c>
      <c r="H12" s="139" t="s">
        <v>278</v>
      </c>
      <c r="I12" s="140">
        <v>70</v>
      </c>
      <c r="J12" s="140">
        <f>I12/(G12)</f>
        <v>0.58333333333333337</v>
      </c>
      <c r="K12" s="200">
        <f t="shared" si="3"/>
        <v>4.4749999999999996</v>
      </c>
      <c r="L12" s="200">
        <f t="shared" si="4"/>
        <v>1.9833333333333334</v>
      </c>
      <c r="M12" s="199" t="s">
        <v>280</v>
      </c>
      <c r="N12" s="199">
        <f t="shared" si="5"/>
        <v>313.25</v>
      </c>
      <c r="O12" s="199">
        <f t="shared" si="6"/>
        <v>138.83333333333334</v>
      </c>
      <c r="AA12" s="78" t="s">
        <v>16</v>
      </c>
      <c r="AB12" s="82">
        <v>2</v>
      </c>
      <c r="AC12" s="82">
        <f>AG13</f>
        <v>40</v>
      </c>
      <c r="AF12" s="226" t="s">
        <v>306</v>
      </c>
      <c r="AG12" s="226">
        <v>84</v>
      </c>
    </row>
    <row r="13" spans="1:33" ht="17" customHeight="1" x14ac:dyDescent="0.3">
      <c r="A13" s="144" t="s">
        <v>333</v>
      </c>
      <c r="B13" s="144" t="s">
        <v>211</v>
      </c>
      <c r="C13" s="144" t="s">
        <v>7</v>
      </c>
      <c r="D13" s="87">
        <v>0</v>
      </c>
      <c r="E13" s="80">
        <v>12603</v>
      </c>
      <c r="F13" s="141">
        <v>1</v>
      </c>
      <c r="G13" s="139">
        <v>7200</v>
      </c>
      <c r="H13" s="139" t="s">
        <v>240</v>
      </c>
      <c r="I13" s="140">
        <v>155</v>
      </c>
      <c r="J13" s="140">
        <f t="shared" si="7"/>
        <v>21.527777777777779</v>
      </c>
      <c r="K13" s="200">
        <f t="shared" si="3"/>
        <v>1.7504166666666667</v>
      </c>
      <c r="L13" s="200">
        <f t="shared" si="4"/>
        <v>0</v>
      </c>
      <c r="M13" s="199" t="s">
        <v>280</v>
      </c>
      <c r="N13" s="199">
        <f t="shared" si="5"/>
        <v>271.31458333333336</v>
      </c>
      <c r="O13" s="199">
        <f t="shared" si="6"/>
        <v>0</v>
      </c>
      <c r="AA13" s="78" t="s">
        <v>17</v>
      </c>
      <c r="AB13" s="82">
        <v>3</v>
      </c>
      <c r="AC13" s="82">
        <f>AG15</f>
        <v>140</v>
      </c>
      <c r="AF13" s="226" t="s">
        <v>307</v>
      </c>
      <c r="AG13" s="226">
        <v>40</v>
      </c>
    </row>
    <row r="14" spans="1:33" ht="17" customHeight="1" x14ac:dyDescent="0.3">
      <c r="A14" s="79" t="s">
        <v>335</v>
      </c>
      <c r="B14" s="79" t="s">
        <v>211</v>
      </c>
      <c r="C14" s="145" t="s">
        <v>7</v>
      </c>
      <c r="D14" s="87">
        <v>0</v>
      </c>
      <c r="E14" s="80">
        <v>37663.043478260865</v>
      </c>
      <c r="F14" s="141">
        <v>1</v>
      </c>
      <c r="G14" s="139">
        <v>10000</v>
      </c>
      <c r="H14" s="139" t="s">
        <v>239</v>
      </c>
      <c r="I14" s="140">
        <v>243.48</v>
      </c>
      <c r="J14" s="140">
        <f t="shared" si="7"/>
        <v>24.347999999999999</v>
      </c>
      <c r="K14" s="200">
        <f t="shared" si="3"/>
        <v>3.7663043478260865</v>
      </c>
      <c r="L14" s="200">
        <f t="shared" si="4"/>
        <v>0</v>
      </c>
      <c r="M14" s="199" t="s">
        <v>280</v>
      </c>
      <c r="N14" s="199">
        <f t="shared" si="5"/>
        <v>917.01978260869555</v>
      </c>
      <c r="O14" s="199">
        <f t="shared" si="6"/>
        <v>0</v>
      </c>
      <c r="AA14" s="78" t="s">
        <v>18</v>
      </c>
      <c r="AB14" s="82">
        <v>3</v>
      </c>
      <c r="AC14" s="82">
        <f>AG16</f>
        <v>39</v>
      </c>
    </row>
    <row r="15" spans="1:33" ht="17" customHeight="1" x14ac:dyDescent="0.3">
      <c r="A15" s="143"/>
      <c r="B15" s="142"/>
      <c r="C15" s="142"/>
      <c r="D15" s="143"/>
      <c r="E15" s="142"/>
      <c r="F15" s="142"/>
      <c r="G15" s="142"/>
      <c r="H15" s="142"/>
      <c r="I15" s="142"/>
      <c r="J15" s="142"/>
      <c r="K15" s="200"/>
      <c r="L15" s="200"/>
      <c r="M15" s="199"/>
      <c r="N15" s="199"/>
      <c r="O15" s="199"/>
      <c r="AA15" s="78" t="s">
        <v>19</v>
      </c>
      <c r="AB15" s="82">
        <v>3</v>
      </c>
      <c r="AC15" s="82">
        <f>AG17</f>
        <v>100</v>
      </c>
      <c r="AF15" s="228" t="s">
        <v>308</v>
      </c>
      <c r="AG15" s="228">
        <v>140</v>
      </c>
    </row>
    <row r="16" spans="1:33" ht="17" customHeight="1" x14ac:dyDescent="0.3">
      <c r="A16" s="144" t="s">
        <v>186</v>
      </c>
      <c r="B16" s="144" t="s">
        <v>215</v>
      </c>
      <c r="C16" s="144" t="s">
        <v>124</v>
      </c>
      <c r="D16" s="87">
        <v>0</v>
      </c>
      <c r="E16" s="80">
        <v>102.06976744186046</v>
      </c>
      <c r="F16" s="141">
        <v>1</v>
      </c>
      <c r="G16" s="139">
        <v>12000</v>
      </c>
      <c r="H16" s="139" t="s">
        <v>250</v>
      </c>
      <c r="I16" s="140">
        <v>60</v>
      </c>
      <c r="J16" s="140">
        <f>I16/(G16/1000)</f>
        <v>5</v>
      </c>
      <c r="K16" s="200">
        <f t="shared" ref="K16" si="8">(E16/F16)/G16</f>
        <v>8.5058139534883725E-3</v>
      </c>
      <c r="L16" s="200">
        <f t="shared" ref="L16" si="9">(D16/F16)/G16</f>
        <v>0</v>
      </c>
      <c r="M16" s="199" t="s">
        <v>280</v>
      </c>
      <c r="N16" s="199">
        <f t="shared" ref="N16" si="10">K16*I16</f>
        <v>0.51034883720930235</v>
      </c>
      <c r="O16" s="199">
        <f t="shared" ref="O16" si="11">L16*I16</f>
        <v>0</v>
      </c>
      <c r="AA16" s="78" t="s">
        <v>20</v>
      </c>
      <c r="AB16" s="82">
        <v>3</v>
      </c>
      <c r="AC16" s="82">
        <f>AG18</f>
        <v>245</v>
      </c>
      <c r="AF16" s="228" t="s">
        <v>309</v>
      </c>
      <c r="AG16" s="228">
        <v>39</v>
      </c>
    </row>
    <row r="17" spans="1:33" ht="17" customHeight="1" x14ac:dyDescent="0.3">
      <c r="A17" s="145" t="s">
        <v>185</v>
      </c>
      <c r="B17" s="79" t="s">
        <v>215</v>
      </c>
      <c r="C17" s="145" t="s">
        <v>7</v>
      </c>
      <c r="D17" s="87">
        <v>2232.2758620689656</v>
      </c>
      <c r="E17" s="80">
        <v>8849.8199936728888</v>
      </c>
      <c r="F17" s="141">
        <v>1</v>
      </c>
      <c r="G17" s="139">
        <f>4*3700</f>
        <v>14800</v>
      </c>
      <c r="H17" s="139" t="s">
        <v>248</v>
      </c>
      <c r="I17" s="140">
        <v>95</v>
      </c>
      <c r="J17" s="140">
        <f>I17/(G17/1000)</f>
        <v>6.4189189189189184</v>
      </c>
      <c r="K17" s="200">
        <f t="shared" ref="K17:K71" si="12">(E17/F17)/G17</f>
        <v>0.59796081038330329</v>
      </c>
      <c r="L17" s="200">
        <f t="shared" ref="L17:L67" si="13">(D17/F17)/G17</f>
        <v>0.15082945013979498</v>
      </c>
      <c r="M17" s="199" t="s">
        <v>280</v>
      </c>
      <c r="N17" s="199">
        <f t="shared" ref="N17:N71" si="14">K17*I17</f>
        <v>56.806276986413813</v>
      </c>
      <c r="O17" s="199">
        <f t="shared" ref="O17:O71" si="15">L17*I17</f>
        <v>14.328797763280523</v>
      </c>
      <c r="AA17" s="78" t="s">
        <v>21</v>
      </c>
      <c r="AB17" s="82">
        <v>3</v>
      </c>
      <c r="AC17" s="82">
        <f>AG19</f>
        <v>13</v>
      </c>
      <c r="AF17" s="228" t="s">
        <v>310</v>
      </c>
      <c r="AG17" s="228">
        <v>100</v>
      </c>
    </row>
    <row r="18" spans="1:33" ht="17" customHeight="1" x14ac:dyDescent="0.3">
      <c r="A18" s="144" t="s">
        <v>184</v>
      </c>
      <c r="B18" s="144" t="s">
        <v>215</v>
      </c>
      <c r="C18" s="144" t="s">
        <v>7</v>
      </c>
      <c r="D18" s="87">
        <v>0</v>
      </c>
      <c r="E18" s="80">
        <v>407.45412844036701</v>
      </c>
      <c r="F18" s="141">
        <v>1</v>
      </c>
      <c r="G18" s="139">
        <f>3780*4</f>
        <v>15120</v>
      </c>
      <c r="H18" s="139" t="s">
        <v>249</v>
      </c>
      <c r="I18" s="140">
        <v>170</v>
      </c>
      <c r="J18" s="140">
        <f>I18/(G18/1000)</f>
        <v>11.243386243386244</v>
      </c>
      <c r="K18" s="200">
        <f t="shared" si="12"/>
        <v>2.6948024367749141E-2</v>
      </c>
      <c r="L18" s="200">
        <f t="shared" si="13"/>
        <v>0</v>
      </c>
      <c r="M18" s="199" t="s">
        <v>280</v>
      </c>
      <c r="N18" s="199">
        <f t="shared" si="14"/>
        <v>4.5811641425173537</v>
      </c>
      <c r="O18" s="199">
        <f t="shared" si="15"/>
        <v>0</v>
      </c>
      <c r="AA18" s="78" t="s">
        <v>14</v>
      </c>
      <c r="AB18" s="82">
        <v>4</v>
      </c>
      <c r="AC18" s="82">
        <f>AG21</f>
        <v>140</v>
      </c>
      <c r="AF18" s="228" t="s">
        <v>311</v>
      </c>
      <c r="AG18" s="228">
        <v>245</v>
      </c>
    </row>
    <row r="19" spans="1:33" ht="17" customHeight="1" x14ac:dyDescent="0.3">
      <c r="A19" s="145" t="s">
        <v>183</v>
      </c>
      <c r="B19" s="79" t="s">
        <v>215</v>
      </c>
      <c r="C19" s="145" t="s">
        <v>7</v>
      </c>
      <c r="D19" s="87">
        <v>0</v>
      </c>
      <c r="E19" s="80">
        <v>703.07291666666663</v>
      </c>
      <c r="F19" s="141">
        <v>1</v>
      </c>
      <c r="G19" s="139">
        <f>24*400</f>
        <v>9600</v>
      </c>
      <c r="H19" s="139" t="s">
        <v>247</v>
      </c>
      <c r="I19" s="140">
        <v>78.260000000000005</v>
      </c>
      <c r="J19" s="140">
        <f>I19/(G19/1000)</f>
        <v>8.1520833333333336</v>
      </c>
      <c r="K19" s="200">
        <f t="shared" si="12"/>
        <v>7.3236762152777773E-2</v>
      </c>
      <c r="L19" s="200">
        <f t="shared" si="13"/>
        <v>0</v>
      </c>
      <c r="M19" s="199" t="s">
        <v>280</v>
      </c>
      <c r="N19" s="199">
        <f t="shared" si="14"/>
        <v>5.7315090060763891</v>
      </c>
      <c r="O19" s="199">
        <f t="shared" si="15"/>
        <v>0</v>
      </c>
      <c r="AA19" s="78" t="s">
        <v>22</v>
      </c>
      <c r="AB19" s="82">
        <v>4</v>
      </c>
      <c r="AC19" s="82">
        <f>AG22</f>
        <v>153</v>
      </c>
      <c r="AF19" s="228" t="s">
        <v>307</v>
      </c>
      <c r="AG19" s="228">
        <v>13</v>
      </c>
    </row>
    <row r="20" spans="1:33" ht="17" customHeight="1" x14ac:dyDescent="0.3">
      <c r="A20" s="144" t="s">
        <v>337</v>
      </c>
      <c r="B20" s="144" t="s">
        <v>215</v>
      </c>
      <c r="C20" s="144" t="s">
        <v>7</v>
      </c>
      <c r="D20" s="87">
        <v>0</v>
      </c>
      <c r="E20" s="80">
        <v>242.05116279069767</v>
      </c>
      <c r="F20" s="141">
        <v>1</v>
      </c>
      <c r="G20" s="139">
        <v>16000</v>
      </c>
      <c r="H20" s="139" t="s">
        <v>251</v>
      </c>
      <c r="I20" s="140">
        <v>160</v>
      </c>
      <c r="J20" s="140">
        <v>10</v>
      </c>
      <c r="K20" s="200">
        <f t="shared" si="12"/>
        <v>1.5128197674418604E-2</v>
      </c>
      <c r="L20" s="200">
        <f t="shared" si="13"/>
        <v>0</v>
      </c>
      <c r="M20" s="199" t="s">
        <v>281</v>
      </c>
      <c r="N20" s="199">
        <f t="shared" si="14"/>
        <v>2.4205116279069765</v>
      </c>
      <c r="O20" s="199">
        <f t="shared" si="15"/>
        <v>0</v>
      </c>
      <c r="AA20" s="78" t="s">
        <v>23</v>
      </c>
      <c r="AB20" s="82">
        <v>4</v>
      </c>
      <c r="AC20" s="82">
        <f>AG23</f>
        <v>246</v>
      </c>
    </row>
    <row r="21" spans="1:33" ht="17" customHeight="1" x14ac:dyDescent="0.3">
      <c r="A21" s="145" t="s">
        <v>339</v>
      </c>
      <c r="B21" s="79" t="s">
        <v>215</v>
      </c>
      <c r="C21" s="145" t="s">
        <v>7</v>
      </c>
      <c r="D21" s="87">
        <v>0</v>
      </c>
      <c r="E21" s="80">
        <v>177.5</v>
      </c>
      <c r="F21" s="141">
        <v>1</v>
      </c>
      <c r="G21" s="139">
        <v>2880</v>
      </c>
      <c r="H21" s="139" t="s">
        <v>261</v>
      </c>
      <c r="I21" s="140">
        <v>70</v>
      </c>
      <c r="J21" s="140">
        <v>24.305555555555557</v>
      </c>
      <c r="K21" s="200">
        <f t="shared" si="12"/>
        <v>6.1631944444444448E-2</v>
      </c>
      <c r="L21" s="200">
        <f t="shared" si="13"/>
        <v>0</v>
      </c>
      <c r="M21" s="199" t="s">
        <v>280</v>
      </c>
      <c r="N21" s="199">
        <f t="shared" si="14"/>
        <v>4.3142361111111116</v>
      </c>
      <c r="O21" s="199">
        <f t="shared" si="15"/>
        <v>0</v>
      </c>
      <c r="AA21" s="78" t="s">
        <v>24</v>
      </c>
      <c r="AB21" s="82">
        <v>4</v>
      </c>
      <c r="AC21" s="82">
        <f>AG24</f>
        <v>144</v>
      </c>
      <c r="AF21" s="225" t="s">
        <v>312</v>
      </c>
      <c r="AG21" s="225">
        <v>140</v>
      </c>
    </row>
    <row r="22" spans="1:33" ht="17" customHeight="1" x14ac:dyDescent="0.3">
      <c r="A22" s="145"/>
      <c r="B22" s="79"/>
      <c r="C22" s="145"/>
      <c r="D22" s="87"/>
      <c r="E22" s="80"/>
      <c r="F22" s="141">
        <v>1</v>
      </c>
      <c r="G22" s="139"/>
      <c r="H22" s="139"/>
      <c r="I22" s="140"/>
      <c r="J22" s="140"/>
      <c r="K22" s="200"/>
      <c r="L22" s="200"/>
      <c r="M22" s="199"/>
      <c r="N22" s="199"/>
      <c r="O22" s="199"/>
      <c r="AA22" s="78" t="s">
        <v>25</v>
      </c>
      <c r="AB22" s="82">
        <v>4</v>
      </c>
      <c r="AC22" s="82">
        <f t="shared" ref="AC22:AC27" si="16">AG26</f>
        <v>69</v>
      </c>
      <c r="AF22" s="225" t="s">
        <v>313</v>
      </c>
      <c r="AG22" s="225">
        <v>153</v>
      </c>
    </row>
    <row r="23" spans="1:33" ht="17" customHeight="1" x14ac:dyDescent="0.3">
      <c r="A23" s="143"/>
      <c r="B23" s="142"/>
      <c r="C23" s="142"/>
      <c r="D23" s="142"/>
      <c r="E23" s="142"/>
      <c r="F23" s="77"/>
      <c r="G23" s="142"/>
      <c r="H23" s="142"/>
      <c r="I23" s="142"/>
      <c r="J23" s="142"/>
      <c r="K23" s="200"/>
      <c r="L23" s="200"/>
      <c r="M23" s="199"/>
      <c r="N23" s="199"/>
      <c r="O23" s="199"/>
      <c r="AA23" s="78" t="s">
        <v>27</v>
      </c>
      <c r="AB23" s="82">
        <v>5</v>
      </c>
      <c r="AC23" s="82">
        <f t="shared" si="16"/>
        <v>88</v>
      </c>
      <c r="AF23" s="225" t="s">
        <v>314</v>
      </c>
      <c r="AG23" s="225">
        <v>246</v>
      </c>
    </row>
    <row r="24" spans="1:33" ht="17" customHeight="1" x14ac:dyDescent="0.3">
      <c r="A24" s="144" t="s">
        <v>189</v>
      </c>
      <c r="B24" s="144" t="s">
        <v>217</v>
      </c>
      <c r="C24" s="144" t="s">
        <v>124</v>
      </c>
      <c r="D24" s="87">
        <v>6628.5714285714294</v>
      </c>
      <c r="E24" s="80">
        <v>15494.487126245847</v>
      </c>
      <c r="F24" s="141">
        <v>1</v>
      </c>
      <c r="G24" s="139">
        <v>1000</v>
      </c>
      <c r="H24" s="139" t="s">
        <v>229</v>
      </c>
      <c r="I24" s="140">
        <v>0</v>
      </c>
      <c r="J24" s="140">
        <v>0</v>
      </c>
      <c r="K24" s="200">
        <f t="shared" si="12"/>
        <v>15.494487126245847</v>
      </c>
      <c r="L24" s="200">
        <f t="shared" si="13"/>
        <v>6.628571428571429</v>
      </c>
      <c r="M24" s="199" t="s">
        <v>229</v>
      </c>
      <c r="N24" s="199">
        <f t="shared" si="14"/>
        <v>0</v>
      </c>
      <c r="O24" s="199">
        <f t="shared" si="15"/>
        <v>0</v>
      </c>
      <c r="AA24" s="78" t="s">
        <v>29</v>
      </c>
      <c r="AB24" s="82">
        <v>5</v>
      </c>
      <c r="AC24" s="82">
        <f t="shared" si="16"/>
        <v>213</v>
      </c>
      <c r="AF24" s="225" t="s">
        <v>297</v>
      </c>
      <c r="AG24" s="225">
        <v>144</v>
      </c>
    </row>
    <row r="25" spans="1:33" ht="17" customHeight="1" x14ac:dyDescent="0.3">
      <c r="A25" s="143"/>
      <c r="B25" s="142"/>
      <c r="C25" s="142"/>
      <c r="D25" s="142"/>
      <c r="E25" s="142"/>
      <c r="F25" s="77"/>
      <c r="G25" s="142"/>
      <c r="H25" s="142"/>
      <c r="I25" s="142"/>
      <c r="J25" s="142"/>
      <c r="K25" s="200"/>
      <c r="L25" s="200"/>
      <c r="M25" s="199"/>
      <c r="N25" s="199"/>
      <c r="O25" s="199"/>
      <c r="AA25" s="78" t="s">
        <v>30</v>
      </c>
      <c r="AB25" s="82">
        <v>5</v>
      </c>
      <c r="AC25" s="82">
        <f t="shared" si="16"/>
        <v>73</v>
      </c>
    </row>
    <row r="26" spans="1:33" ht="17" customHeight="1" x14ac:dyDescent="0.3">
      <c r="A26" s="144" t="s">
        <v>176</v>
      </c>
      <c r="B26" s="144" t="s">
        <v>214</v>
      </c>
      <c r="C26" s="144" t="s">
        <v>7</v>
      </c>
      <c r="D26" s="87">
        <v>58.370229885057469</v>
      </c>
      <c r="E26" s="80">
        <v>294.74105013251011</v>
      </c>
      <c r="F26" s="141">
        <v>1</v>
      </c>
      <c r="G26" s="139">
        <v>1000</v>
      </c>
      <c r="H26" s="139" t="s">
        <v>229</v>
      </c>
      <c r="I26" s="140">
        <v>31</v>
      </c>
      <c r="J26" s="140">
        <f t="shared" ref="J26:J33" si="17">I26/(G26/1000)</f>
        <v>31</v>
      </c>
      <c r="K26" s="200">
        <f t="shared" si="12"/>
        <v>0.29474105013251012</v>
      </c>
      <c r="L26" s="200">
        <f t="shared" si="13"/>
        <v>5.8370229885057467E-2</v>
      </c>
      <c r="M26" s="199" t="s">
        <v>229</v>
      </c>
      <c r="N26" s="199">
        <f t="shared" si="14"/>
        <v>9.1369725541078139</v>
      </c>
      <c r="O26" s="199">
        <f t="shared" si="15"/>
        <v>1.8094771264367815</v>
      </c>
      <c r="AA26" s="78" t="s">
        <v>135</v>
      </c>
      <c r="AB26" s="82">
        <v>5</v>
      </c>
      <c r="AC26" s="82">
        <f t="shared" si="16"/>
        <v>17</v>
      </c>
      <c r="AF26" s="227" t="s">
        <v>315</v>
      </c>
      <c r="AG26" s="227">
        <v>69</v>
      </c>
    </row>
    <row r="27" spans="1:33" ht="17" customHeight="1" x14ac:dyDescent="0.3">
      <c r="A27" s="145" t="s">
        <v>178</v>
      </c>
      <c r="B27" s="79" t="s">
        <v>214</v>
      </c>
      <c r="C27" s="145" t="s">
        <v>7</v>
      </c>
      <c r="D27" s="87">
        <v>0</v>
      </c>
      <c r="E27" s="80">
        <v>29.049973225214195</v>
      </c>
      <c r="F27" s="141">
        <v>1</v>
      </c>
      <c r="G27" s="139">
        <v>1000</v>
      </c>
      <c r="H27" s="139" t="s">
        <v>229</v>
      </c>
      <c r="I27" s="140">
        <v>15</v>
      </c>
      <c r="J27" s="140">
        <f t="shared" si="17"/>
        <v>15</v>
      </c>
      <c r="K27" s="200">
        <f t="shared" si="12"/>
        <v>2.9049973225214194E-2</v>
      </c>
      <c r="L27" s="200">
        <f t="shared" si="13"/>
        <v>0</v>
      </c>
      <c r="M27" s="199" t="s">
        <v>229</v>
      </c>
      <c r="N27" s="199">
        <f t="shared" si="14"/>
        <v>0.43574959837821292</v>
      </c>
      <c r="O27" s="199">
        <f t="shared" si="15"/>
        <v>0</v>
      </c>
      <c r="AA27" s="78" t="s">
        <v>28</v>
      </c>
      <c r="AB27" s="82">
        <v>5</v>
      </c>
      <c r="AC27" s="82">
        <f t="shared" si="16"/>
        <v>139</v>
      </c>
      <c r="AF27" s="227" t="s">
        <v>316</v>
      </c>
      <c r="AG27" s="227">
        <v>88</v>
      </c>
    </row>
    <row r="28" spans="1:33" ht="17" customHeight="1" x14ac:dyDescent="0.3">
      <c r="A28" s="144" t="s">
        <v>180</v>
      </c>
      <c r="B28" s="144" t="s">
        <v>214</v>
      </c>
      <c r="C28" s="144" t="s">
        <v>7</v>
      </c>
      <c r="D28" s="87">
        <v>0</v>
      </c>
      <c r="E28" s="80">
        <v>44.449541284403672</v>
      </c>
      <c r="F28" s="141">
        <v>1</v>
      </c>
      <c r="G28" s="139">
        <v>1000</v>
      </c>
      <c r="H28" s="139" t="s">
        <v>229</v>
      </c>
      <c r="I28" s="140">
        <v>10</v>
      </c>
      <c r="J28" s="140">
        <f t="shared" si="17"/>
        <v>10</v>
      </c>
      <c r="K28" s="200">
        <f t="shared" si="12"/>
        <v>4.4449541284403669E-2</v>
      </c>
      <c r="L28" s="200">
        <f t="shared" si="13"/>
        <v>0</v>
      </c>
      <c r="M28" s="199" t="s">
        <v>229</v>
      </c>
      <c r="N28" s="199">
        <f t="shared" si="14"/>
        <v>0.44449541284403671</v>
      </c>
      <c r="O28" s="199">
        <f t="shared" si="15"/>
        <v>0</v>
      </c>
      <c r="AA28" s="78" t="s">
        <v>31</v>
      </c>
      <c r="AB28" s="82">
        <v>6</v>
      </c>
      <c r="AC28" s="82">
        <f>AG33</f>
        <v>89</v>
      </c>
      <c r="AF28" s="227" t="s">
        <v>311</v>
      </c>
      <c r="AG28" s="227">
        <v>213</v>
      </c>
    </row>
    <row r="29" spans="1:33" ht="17" customHeight="1" x14ac:dyDescent="0.3">
      <c r="A29" s="145" t="s">
        <v>181</v>
      </c>
      <c r="B29" s="79" t="s">
        <v>214</v>
      </c>
      <c r="C29" s="145" t="s">
        <v>7</v>
      </c>
      <c r="D29" s="87">
        <v>0</v>
      </c>
      <c r="E29" s="80">
        <v>44.449541284403672</v>
      </c>
      <c r="F29" s="141">
        <v>1</v>
      </c>
      <c r="G29" s="139">
        <v>1000</v>
      </c>
      <c r="H29" s="139" t="s">
        <v>229</v>
      </c>
      <c r="I29" s="140">
        <v>12</v>
      </c>
      <c r="J29" s="140">
        <f t="shared" si="17"/>
        <v>12</v>
      </c>
      <c r="K29" s="200">
        <f t="shared" si="12"/>
        <v>4.4449541284403669E-2</v>
      </c>
      <c r="L29" s="200">
        <f t="shared" si="13"/>
        <v>0</v>
      </c>
      <c r="M29" s="199" t="s">
        <v>229</v>
      </c>
      <c r="N29" s="199">
        <f t="shared" si="14"/>
        <v>0.53339449541284401</v>
      </c>
      <c r="O29" s="199">
        <f t="shared" si="15"/>
        <v>0</v>
      </c>
      <c r="AA29" s="78" t="s">
        <v>32</v>
      </c>
      <c r="AB29" s="82">
        <v>6</v>
      </c>
      <c r="AC29" s="82">
        <f>AG34</f>
        <v>110</v>
      </c>
      <c r="AF29" s="227" t="s">
        <v>299</v>
      </c>
      <c r="AG29" s="227">
        <v>73</v>
      </c>
    </row>
    <row r="30" spans="1:33" ht="17" customHeight="1" x14ac:dyDescent="0.3">
      <c r="A30" s="144" t="s">
        <v>179</v>
      </c>
      <c r="B30" s="144" t="s">
        <v>214</v>
      </c>
      <c r="C30" s="144" t="s">
        <v>7</v>
      </c>
      <c r="D30" s="87">
        <v>76.681379310344838</v>
      </c>
      <c r="E30" s="80">
        <v>308.5209195402299</v>
      </c>
      <c r="F30" s="141">
        <v>1</v>
      </c>
      <c r="G30" s="139">
        <v>2724</v>
      </c>
      <c r="H30" s="139" t="s">
        <v>230</v>
      </c>
      <c r="I30" s="140">
        <v>175</v>
      </c>
      <c r="J30" s="140">
        <f t="shared" si="17"/>
        <v>64.243759177679877</v>
      </c>
      <c r="K30" s="200">
        <f t="shared" si="12"/>
        <v>0.1132602494641079</v>
      </c>
      <c r="L30" s="200">
        <f t="shared" si="13"/>
        <v>2.8150286090434962E-2</v>
      </c>
      <c r="M30" s="199" t="s">
        <v>280</v>
      </c>
      <c r="N30" s="199">
        <f t="shared" si="14"/>
        <v>19.820543656218881</v>
      </c>
      <c r="O30" s="199">
        <f t="shared" si="15"/>
        <v>4.9263000658261182</v>
      </c>
      <c r="AA30" s="78" t="s">
        <v>33</v>
      </c>
      <c r="AB30" s="82">
        <v>6</v>
      </c>
      <c r="AC30" s="82">
        <f>AG35</f>
        <v>56</v>
      </c>
      <c r="AF30" s="227" t="s">
        <v>317</v>
      </c>
      <c r="AG30" s="227">
        <v>17</v>
      </c>
    </row>
    <row r="31" spans="1:33" ht="17" customHeight="1" x14ac:dyDescent="0.3">
      <c r="A31" s="145" t="s">
        <v>175</v>
      </c>
      <c r="B31" s="79" t="s">
        <v>214</v>
      </c>
      <c r="C31" s="145" t="s">
        <v>7</v>
      </c>
      <c r="D31" s="87">
        <v>197.85038121471806</v>
      </c>
      <c r="E31" s="80">
        <v>717.99886431291498</v>
      </c>
      <c r="F31" s="141">
        <v>1</v>
      </c>
      <c r="G31" s="139">
        <v>50000</v>
      </c>
      <c r="H31" s="139" t="s">
        <v>228</v>
      </c>
      <c r="I31" s="140">
        <v>37</v>
      </c>
      <c r="J31" s="140">
        <f t="shared" si="17"/>
        <v>0.74</v>
      </c>
      <c r="K31" s="200">
        <f t="shared" si="12"/>
        <v>1.43599772862583E-2</v>
      </c>
      <c r="L31" s="200">
        <f t="shared" si="13"/>
        <v>3.9570076242943612E-3</v>
      </c>
      <c r="M31" s="199" t="s">
        <v>229</v>
      </c>
      <c r="N31" s="199">
        <f t="shared" si="14"/>
        <v>0.53131915959155707</v>
      </c>
      <c r="O31" s="199">
        <f t="shared" si="15"/>
        <v>0.14640928209889137</v>
      </c>
      <c r="AA31" s="78" t="s">
        <v>34</v>
      </c>
      <c r="AB31" s="82">
        <v>6</v>
      </c>
      <c r="AC31" s="82">
        <f>AG36</f>
        <v>216</v>
      </c>
      <c r="AF31" s="227" t="s">
        <v>297</v>
      </c>
      <c r="AG31" s="227">
        <v>139</v>
      </c>
    </row>
    <row r="32" spans="1:33" ht="17" customHeight="1" x14ac:dyDescent="0.3">
      <c r="A32" s="144" t="s">
        <v>177</v>
      </c>
      <c r="B32" s="144" t="s">
        <v>214</v>
      </c>
      <c r="C32" s="144" t="s">
        <v>7</v>
      </c>
      <c r="D32" s="87">
        <v>51.597633136094672</v>
      </c>
      <c r="E32" s="80">
        <v>51.597633136094672</v>
      </c>
      <c r="F32" s="141">
        <v>1</v>
      </c>
      <c r="G32" s="139">
        <v>1000</v>
      </c>
      <c r="H32" s="139" t="s">
        <v>229</v>
      </c>
      <c r="I32" s="140">
        <v>47</v>
      </c>
      <c r="J32" s="140">
        <f t="shared" si="17"/>
        <v>47</v>
      </c>
      <c r="K32" s="200">
        <f t="shared" si="12"/>
        <v>5.1597633136094674E-2</v>
      </c>
      <c r="L32" s="200">
        <f t="shared" si="13"/>
        <v>5.1597633136094674E-2</v>
      </c>
      <c r="M32" s="199" t="s">
        <v>229</v>
      </c>
      <c r="N32" s="199">
        <f t="shared" si="14"/>
        <v>2.4250887573964497</v>
      </c>
      <c r="O32" s="199">
        <f t="shared" si="15"/>
        <v>2.4250887573964497</v>
      </c>
      <c r="AA32" s="78" t="s">
        <v>35</v>
      </c>
      <c r="AB32" s="82">
        <v>6</v>
      </c>
      <c r="AC32" s="82">
        <f>AG38</f>
        <v>152</v>
      </c>
    </row>
    <row r="33" spans="1:33" ht="18" customHeight="1" x14ac:dyDescent="0.3">
      <c r="A33" s="145" t="s">
        <v>341</v>
      </c>
      <c r="B33" s="79" t="s">
        <v>214</v>
      </c>
      <c r="C33" s="145" t="s">
        <v>7</v>
      </c>
      <c r="D33" s="87">
        <v>0</v>
      </c>
      <c r="E33" s="80">
        <v>8.4</v>
      </c>
      <c r="F33" s="141">
        <v>1</v>
      </c>
      <c r="G33" s="139">
        <v>1000</v>
      </c>
      <c r="H33" s="139" t="s">
        <v>231</v>
      </c>
      <c r="I33" s="140">
        <v>5</v>
      </c>
      <c r="J33" s="140">
        <f t="shared" si="17"/>
        <v>5</v>
      </c>
      <c r="K33" s="200">
        <f t="shared" si="12"/>
        <v>8.4000000000000012E-3</v>
      </c>
      <c r="L33" s="200">
        <f t="shared" si="13"/>
        <v>0</v>
      </c>
      <c r="M33" s="199" t="s">
        <v>229</v>
      </c>
      <c r="N33" s="199">
        <f t="shared" si="14"/>
        <v>4.200000000000001E-2</v>
      </c>
      <c r="O33" s="199">
        <f t="shared" si="15"/>
        <v>0</v>
      </c>
      <c r="AA33" s="78" t="s">
        <v>139</v>
      </c>
      <c r="AB33" s="82">
        <v>6</v>
      </c>
      <c r="AC33" s="82">
        <f>AG37</f>
        <v>6</v>
      </c>
      <c r="AF33" s="229" t="s">
        <v>307</v>
      </c>
      <c r="AG33" s="229">
        <v>89</v>
      </c>
    </row>
    <row r="34" spans="1:33" ht="18" customHeight="1" x14ac:dyDescent="0.3">
      <c r="A34" s="143"/>
      <c r="B34" s="142"/>
      <c r="C34" s="142"/>
      <c r="D34" s="143"/>
      <c r="E34" s="142"/>
      <c r="F34" s="77"/>
      <c r="G34" s="142"/>
      <c r="H34" s="142"/>
      <c r="I34" s="142"/>
      <c r="J34" s="142"/>
      <c r="K34" s="200"/>
      <c r="L34" s="200"/>
      <c r="M34" s="199"/>
      <c r="N34" s="199"/>
      <c r="O34" s="199"/>
      <c r="AF34" s="229" t="s">
        <v>301</v>
      </c>
      <c r="AG34" s="229">
        <v>110</v>
      </c>
    </row>
    <row r="35" spans="1:33" ht="18" customHeight="1" x14ac:dyDescent="0.3">
      <c r="A35" s="144" t="s">
        <v>343</v>
      </c>
      <c r="B35" s="144" t="s">
        <v>252</v>
      </c>
      <c r="C35" s="144" t="s">
        <v>7</v>
      </c>
      <c r="D35" s="87">
        <v>0</v>
      </c>
      <c r="E35" s="80">
        <v>177.5</v>
      </c>
      <c r="F35" s="141">
        <v>1</v>
      </c>
      <c r="G35" s="139">
        <v>10000</v>
      </c>
      <c r="H35" s="139" t="s">
        <v>262</v>
      </c>
      <c r="I35" s="140">
        <v>79</v>
      </c>
      <c r="J35" s="140">
        <f>I35/(G35/1000)</f>
        <v>7.9</v>
      </c>
      <c r="K35" s="200">
        <f t="shared" si="12"/>
        <v>1.7749999999999998E-2</v>
      </c>
      <c r="L35" s="200">
        <f t="shared" si="13"/>
        <v>0</v>
      </c>
      <c r="M35" s="199" t="s">
        <v>280</v>
      </c>
      <c r="N35" s="199">
        <f t="shared" si="14"/>
        <v>1.4022499999999998</v>
      </c>
      <c r="O35" s="199">
        <f t="shared" si="15"/>
        <v>0</v>
      </c>
      <c r="AF35" s="229" t="s">
        <v>318</v>
      </c>
      <c r="AG35" s="229">
        <v>56</v>
      </c>
    </row>
    <row r="36" spans="1:33" ht="18" customHeight="1" x14ac:dyDescent="0.3">
      <c r="A36" s="143"/>
      <c r="B36" s="142"/>
      <c r="C36" s="142"/>
      <c r="D36" s="143"/>
      <c r="E36" s="142"/>
      <c r="F36" s="77"/>
      <c r="G36" s="142"/>
      <c r="H36" s="142"/>
      <c r="I36" s="142"/>
      <c r="J36" s="142"/>
      <c r="K36" s="200"/>
      <c r="L36" s="200"/>
      <c r="M36" s="199"/>
      <c r="N36" s="199"/>
      <c r="O36" s="199"/>
      <c r="AF36" s="229" t="s">
        <v>319</v>
      </c>
      <c r="AG36" s="229">
        <v>216</v>
      </c>
    </row>
    <row r="37" spans="1:33" ht="18" customHeight="1" x14ac:dyDescent="0.3">
      <c r="A37" s="144" t="s">
        <v>128</v>
      </c>
      <c r="B37" s="144" t="s">
        <v>210</v>
      </c>
      <c r="C37" s="144" t="s">
        <v>7</v>
      </c>
      <c r="D37" s="87">
        <v>0</v>
      </c>
      <c r="E37" s="80">
        <v>1575</v>
      </c>
      <c r="F37" s="141">
        <v>1</v>
      </c>
      <c r="G37" s="139">
        <f>20*400</f>
        <v>8000</v>
      </c>
      <c r="H37" s="139" t="s">
        <v>246</v>
      </c>
      <c r="I37" s="140">
        <v>34</v>
      </c>
      <c r="J37" s="140">
        <f>I37/(G37/1000)</f>
        <v>4.25</v>
      </c>
      <c r="K37" s="200">
        <f t="shared" ref="K37" si="18">(E37/F37)/G37</f>
        <v>0.19687499999999999</v>
      </c>
      <c r="L37" s="200">
        <f t="shared" ref="L37" si="19">(D37/F37)/G37</f>
        <v>0</v>
      </c>
      <c r="M37" s="199" t="s">
        <v>280</v>
      </c>
      <c r="N37" s="199">
        <f t="shared" ref="N37" si="20">K37*I37</f>
        <v>6.6937499999999996</v>
      </c>
      <c r="O37" s="199">
        <f t="shared" ref="O37" si="21">L37*I37</f>
        <v>0</v>
      </c>
      <c r="AF37" s="229" t="s">
        <v>320</v>
      </c>
      <c r="AG37" s="229">
        <v>6</v>
      </c>
    </row>
    <row r="38" spans="1:33" ht="18" customHeight="1" x14ac:dyDescent="0.3">
      <c r="A38" s="145" t="s">
        <v>166</v>
      </c>
      <c r="B38" s="145" t="s">
        <v>210</v>
      </c>
      <c r="C38" s="145" t="s">
        <v>7</v>
      </c>
      <c r="D38" s="87">
        <v>0</v>
      </c>
      <c r="E38" s="80">
        <v>994.18604651162786</v>
      </c>
      <c r="F38" s="141">
        <v>1</v>
      </c>
      <c r="G38" s="139">
        <v>1000</v>
      </c>
      <c r="H38" s="139" t="s">
        <v>231</v>
      </c>
      <c r="I38" s="140">
        <v>8</v>
      </c>
      <c r="J38" s="140">
        <f>I38/(G38/1000)</f>
        <v>8</v>
      </c>
      <c r="K38" s="200">
        <f t="shared" si="12"/>
        <v>0.9941860465116279</v>
      </c>
      <c r="L38" s="200">
        <f t="shared" si="13"/>
        <v>0</v>
      </c>
      <c r="M38" s="199" t="s">
        <v>229</v>
      </c>
      <c r="N38" s="199">
        <f t="shared" si="14"/>
        <v>7.9534883720930232</v>
      </c>
      <c r="O38" s="199">
        <f t="shared" si="15"/>
        <v>0</v>
      </c>
      <c r="AF38" s="229" t="s">
        <v>297</v>
      </c>
      <c r="AG38" s="229">
        <v>152</v>
      </c>
    </row>
    <row r="39" spans="1:33" ht="18" customHeight="1" x14ac:dyDescent="0.3">
      <c r="A39" s="144" t="s">
        <v>190</v>
      </c>
      <c r="B39" s="144" t="s">
        <v>210</v>
      </c>
      <c r="C39" s="144" t="s">
        <v>7</v>
      </c>
      <c r="D39" s="87">
        <v>0</v>
      </c>
      <c r="E39" s="80">
        <v>2963.3027522935781</v>
      </c>
      <c r="F39" s="141">
        <v>1</v>
      </c>
      <c r="G39" s="139">
        <f>2125*6</f>
        <v>12750</v>
      </c>
      <c r="H39" s="139" t="s">
        <v>244</v>
      </c>
      <c r="I39" s="140">
        <v>130</v>
      </c>
      <c r="J39" s="140">
        <f>I39/(G39/1000)</f>
        <v>10.196078431372548</v>
      </c>
      <c r="K39" s="200">
        <f t="shared" si="12"/>
        <v>0.23241590214067279</v>
      </c>
      <c r="L39" s="200">
        <f t="shared" si="13"/>
        <v>0</v>
      </c>
      <c r="M39" s="199" t="s">
        <v>280</v>
      </c>
      <c r="N39" s="199">
        <f t="shared" si="14"/>
        <v>30.214067278287462</v>
      </c>
      <c r="O39" s="199">
        <f t="shared" si="15"/>
        <v>0</v>
      </c>
    </row>
    <row r="40" spans="1:33" ht="18" customHeight="1" x14ac:dyDescent="0.3">
      <c r="A40" s="145" t="s">
        <v>345</v>
      </c>
      <c r="B40" s="79" t="s">
        <v>210</v>
      </c>
      <c r="C40" s="145" t="s">
        <v>7</v>
      </c>
      <c r="D40" s="87">
        <v>0</v>
      </c>
      <c r="E40" s="80">
        <v>560</v>
      </c>
      <c r="F40" s="141">
        <v>1</v>
      </c>
      <c r="G40" s="139">
        <f>6*3300</f>
        <v>19800</v>
      </c>
      <c r="H40" s="139" t="s">
        <v>255</v>
      </c>
      <c r="I40" s="140">
        <f>130.45</f>
        <v>130.44999999999999</v>
      </c>
      <c r="J40" s="140">
        <f>I40/(G40/1000)</f>
        <v>6.5883838383838373</v>
      </c>
      <c r="K40" s="200">
        <f t="shared" si="12"/>
        <v>2.8282828282828285E-2</v>
      </c>
      <c r="L40" s="200">
        <f t="shared" si="13"/>
        <v>0</v>
      </c>
      <c r="M40" s="199" t="s">
        <v>280</v>
      </c>
      <c r="N40" s="199">
        <f t="shared" si="14"/>
        <v>3.6894949494949496</v>
      </c>
      <c r="O40" s="199">
        <f t="shared" si="15"/>
        <v>0</v>
      </c>
    </row>
    <row r="41" spans="1:33" ht="14" customHeight="1" x14ac:dyDescent="0.3">
      <c r="A41" s="144" t="s">
        <v>347</v>
      </c>
      <c r="B41" s="144" t="s">
        <v>210</v>
      </c>
      <c r="C41" s="144" t="s">
        <v>7</v>
      </c>
      <c r="D41" s="87">
        <v>0</v>
      </c>
      <c r="E41" s="80">
        <v>560</v>
      </c>
      <c r="F41" s="141">
        <v>1</v>
      </c>
      <c r="G41" s="139">
        <f>6*2000</f>
        <v>12000</v>
      </c>
      <c r="H41" s="139" t="s">
        <v>245</v>
      </c>
      <c r="I41" s="140">
        <v>125</v>
      </c>
      <c r="J41" s="140">
        <f>I41/(G41/1000)</f>
        <v>10.416666666666666</v>
      </c>
      <c r="K41" s="200">
        <f t="shared" si="12"/>
        <v>4.6666666666666669E-2</v>
      </c>
      <c r="L41" s="200">
        <f t="shared" si="13"/>
        <v>0</v>
      </c>
      <c r="M41" s="199" t="s">
        <v>280</v>
      </c>
      <c r="N41" s="199">
        <f t="shared" si="14"/>
        <v>5.8333333333333339</v>
      </c>
      <c r="O41" s="199">
        <f t="shared" si="15"/>
        <v>0</v>
      </c>
      <c r="AA41" s="83"/>
      <c r="AB41" s="83"/>
      <c r="AC41" s="83"/>
    </row>
    <row r="42" spans="1:33" ht="18" customHeight="1" x14ac:dyDescent="0.3">
      <c r="A42" s="143"/>
      <c r="B42" s="142"/>
      <c r="C42" s="142"/>
      <c r="D42" s="143"/>
      <c r="E42" s="142"/>
      <c r="F42" s="77"/>
      <c r="G42" s="142"/>
      <c r="H42" s="142"/>
      <c r="I42" s="142"/>
      <c r="J42" s="142"/>
      <c r="K42" s="200"/>
      <c r="L42" s="200"/>
      <c r="M42" s="199"/>
      <c r="N42" s="199"/>
      <c r="O42" s="199"/>
    </row>
    <row r="43" spans="1:33" ht="18" customHeight="1" x14ac:dyDescent="0.3">
      <c r="A43" s="144" t="s">
        <v>182</v>
      </c>
      <c r="B43" s="144" t="s">
        <v>243</v>
      </c>
      <c r="C43" s="144" t="s">
        <v>7</v>
      </c>
      <c r="D43" s="87">
        <v>58</v>
      </c>
      <c r="E43" s="80">
        <v>78.5</v>
      </c>
      <c r="F43" s="141">
        <v>1</v>
      </c>
      <c r="G43" s="139">
        <v>1000</v>
      </c>
      <c r="H43" s="139" t="s">
        <v>231</v>
      </c>
      <c r="I43" s="140">
        <v>13</v>
      </c>
      <c r="J43" s="140">
        <f>I43/(G43/1000)</f>
        <v>13</v>
      </c>
      <c r="K43" s="200">
        <f t="shared" si="12"/>
        <v>7.85E-2</v>
      </c>
      <c r="L43" s="200">
        <f t="shared" si="13"/>
        <v>5.8000000000000003E-2</v>
      </c>
      <c r="M43" s="199" t="s">
        <v>229</v>
      </c>
      <c r="N43" s="199">
        <f t="shared" si="14"/>
        <v>1.0205</v>
      </c>
      <c r="O43" s="199">
        <f t="shared" si="15"/>
        <v>0.754</v>
      </c>
    </row>
    <row r="44" spans="1:33" ht="18" customHeight="1" x14ac:dyDescent="0.3">
      <c r="A44" s="143"/>
      <c r="B44" s="142"/>
      <c r="C44" s="142"/>
      <c r="D44" s="88"/>
      <c r="E44" s="77"/>
      <c r="F44" s="77"/>
      <c r="G44" s="142"/>
      <c r="H44" s="142"/>
      <c r="I44" s="142"/>
      <c r="J44" s="142"/>
      <c r="K44" s="200"/>
      <c r="L44" s="200"/>
      <c r="M44" s="199"/>
      <c r="N44" s="199"/>
      <c r="O44" s="199"/>
    </row>
    <row r="45" spans="1:33" ht="14" customHeight="1" x14ac:dyDescent="0.3">
      <c r="A45" s="144" t="s">
        <v>187</v>
      </c>
      <c r="B45" s="144" t="s">
        <v>216</v>
      </c>
      <c r="C45" s="144" t="s">
        <v>7</v>
      </c>
      <c r="D45" s="87">
        <v>0</v>
      </c>
      <c r="E45" s="80">
        <v>699.17209302325591</v>
      </c>
      <c r="F45" s="141">
        <v>1</v>
      </c>
      <c r="G45" s="139">
        <f>4*2000</f>
        <v>8000</v>
      </c>
      <c r="H45" s="139" t="s">
        <v>256</v>
      </c>
      <c r="I45" s="140">
        <v>136</v>
      </c>
      <c r="J45" s="140">
        <f>I45/(G45/1000)</f>
        <v>17</v>
      </c>
      <c r="K45" s="200">
        <f t="shared" si="12"/>
        <v>8.7396511627906986E-2</v>
      </c>
      <c r="L45" s="200">
        <f t="shared" si="13"/>
        <v>0</v>
      </c>
      <c r="M45" s="199" t="s">
        <v>280</v>
      </c>
      <c r="N45" s="199">
        <f t="shared" si="14"/>
        <v>11.88592558139535</v>
      </c>
      <c r="O45" s="199">
        <f t="shared" si="15"/>
        <v>0</v>
      </c>
      <c r="AA45" s="83"/>
      <c r="AB45" s="83"/>
      <c r="AC45" s="83"/>
    </row>
    <row r="46" spans="1:33" ht="18" customHeight="1" x14ac:dyDescent="0.3">
      <c r="A46" s="145" t="s">
        <v>188</v>
      </c>
      <c r="B46" s="79" t="s">
        <v>216</v>
      </c>
      <c r="C46" s="145" t="s">
        <v>7</v>
      </c>
      <c r="D46" s="87">
        <v>0</v>
      </c>
      <c r="E46" s="80">
        <v>591.66666666666674</v>
      </c>
      <c r="F46" s="141">
        <v>1</v>
      </c>
      <c r="G46" s="139">
        <v>10000</v>
      </c>
      <c r="H46" s="139" t="s">
        <v>257</v>
      </c>
      <c r="I46" s="140">
        <v>27</v>
      </c>
      <c r="J46" s="140">
        <f>I46/(G46/1000)</f>
        <v>2.7</v>
      </c>
      <c r="K46" s="200">
        <f t="shared" si="12"/>
        <v>5.9166666666666673E-2</v>
      </c>
      <c r="L46" s="200">
        <f t="shared" si="13"/>
        <v>0</v>
      </c>
      <c r="M46" s="199" t="s">
        <v>282</v>
      </c>
      <c r="N46" s="199">
        <f t="shared" si="14"/>
        <v>1.5975000000000001</v>
      </c>
      <c r="O46" s="199">
        <f t="shared" si="15"/>
        <v>0</v>
      </c>
    </row>
    <row r="47" spans="1:33" ht="18" customHeight="1" x14ac:dyDescent="0.3">
      <c r="A47" s="81" t="s">
        <v>349</v>
      </c>
      <c r="B47" s="81" t="s">
        <v>216</v>
      </c>
      <c r="C47" s="81" t="s">
        <v>7</v>
      </c>
      <c r="D47" s="87">
        <v>0</v>
      </c>
      <c r="E47" s="80">
        <v>2982</v>
      </c>
      <c r="F47" s="141">
        <v>1</v>
      </c>
      <c r="G47" s="139">
        <v>6000</v>
      </c>
      <c r="H47" s="139" t="s">
        <v>272</v>
      </c>
      <c r="I47" s="140">
        <v>185</v>
      </c>
      <c r="J47" s="140">
        <f>I47/(G47/1000)</f>
        <v>30.833333333333332</v>
      </c>
      <c r="K47" s="200">
        <f t="shared" si="12"/>
        <v>0.497</v>
      </c>
      <c r="L47" s="200">
        <f t="shared" si="13"/>
        <v>0</v>
      </c>
      <c r="M47" s="199" t="s">
        <v>283</v>
      </c>
      <c r="N47" s="199">
        <f t="shared" si="14"/>
        <v>91.944999999999993</v>
      </c>
      <c r="O47" s="199">
        <f t="shared" si="15"/>
        <v>0</v>
      </c>
    </row>
    <row r="48" spans="1:33" ht="18" customHeight="1" x14ac:dyDescent="0.3">
      <c r="A48" s="145" t="s">
        <v>351</v>
      </c>
      <c r="B48" s="79" t="s">
        <v>216</v>
      </c>
      <c r="C48" s="145" t="s">
        <v>7</v>
      </c>
      <c r="D48" s="87">
        <v>0</v>
      </c>
      <c r="E48" s="80">
        <v>2240</v>
      </c>
      <c r="F48" s="141">
        <v>1</v>
      </c>
      <c r="G48" s="139">
        <v>6000</v>
      </c>
      <c r="H48" s="139" t="s">
        <v>272</v>
      </c>
      <c r="I48" s="140">
        <v>215</v>
      </c>
      <c r="J48" s="140">
        <f>I48/(G48/1000)</f>
        <v>35.833333333333336</v>
      </c>
      <c r="K48" s="200">
        <f t="shared" si="12"/>
        <v>0.37333333333333335</v>
      </c>
      <c r="L48" s="200">
        <f t="shared" si="13"/>
        <v>0</v>
      </c>
      <c r="M48" s="199" t="s">
        <v>283</v>
      </c>
      <c r="N48" s="199">
        <f t="shared" si="14"/>
        <v>80.266666666666666</v>
      </c>
      <c r="O48" s="199">
        <f t="shared" si="15"/>
        <v>0</v>
      </c>
    </row>
    <row r="49" spans="1:29" ht="18" customHeight="1" x14ac:dyDescent="0.3">
      <c r="A49" s="144" t="s">
        <v>353</v>
      </c>
      <c r="B49" s="144" t="s">
        <v>216</v>
      </c>
      <c r="C49" s="144" t="s">
        <v>7</v>
      </c>
      <c r="D49" s="87">
        <v>0</v>
      </c>
      <c r="E49" s="80">
        <v>2700</v>
      </c>
      <c r="F49" s="141">
        <v>1</v>
      </c>
      <c r="G49" s="139">
        <v>20000</v>
      </c>
      <c r="H49" s="139" t="s">
        <v>269</v>
      </c>
      <c r="I49" s="140">
        <v>395</v>
      </c>
      <c r="J49" s="140">
        <f>I49/(G49/1000)</f>
        <v>19.75</v>
      </c>
      <c r="K49" s="200">
        <f t="shared" si="12"/>
        <v>0.13500000000000001</v>
      </c>
      <c r="L49" s="200">
        <f t="shared" si="13"/>
        <v>0</v>
      </c>
      <c r="M49" s="199" t="s">
        <v>282</v>
      </c>
      <c r="N49" s="199">
        <f t="shared" si="14"/>
        <v>53.325000000000003</v>
      </c>
      <c r="O49" s="199">
        <f t="shared" si="15"/>
        <v>0</v>
      </c>
    </row>
    <row r="50" spans="1:29" ht="18" customHeight="1" x14ac:dyDescent="0.3">
      <c r="A50" s="145" t="s">
        <v>355</v>
      </c>
      <c r="B50" s="79" t="s">
        <v>216</v>
      </c>
      <c r="C50" s="145" t="s">
        <v>5</v>
      </c>
      <c r="D50" s="87">
        <v>0</v>
      </c>
      <c r="E50" s="80">
        <v>28</v>
      </c>
      <c r="F50" s="141">
        <v>1</v>
      </c>
      <c r="G50" s="139">
        <v>100</v>
      </c>
      <c r="H50" s="139" t="s">
        <v>271</v>
      </c>
      <c r="I50" s="140">
        <v>36</v>
      </c>
      <c r="J50" s="140">
        <f>I50/(G50)</f>
        <v>0.36</v>
      </c>
      <c r="K50" s="200">
        <f t="shared" si="12"/>
        <v>0.28000000000000003</v>
      </c>
      <c r="L50" s="200">
        <f t="shared" si="13"/>
        <v>0</v>
      </c>
      <c r="M50" s="199" t="s">
        <v>280</v>
      </c>
      <c r="N50" s="199">
        <f t="shared" si="14"/>
        <v>10.080000000000002</v>
      </c>
      <c r="O50" s="199">
        <f t="shared" si="15"/>
        <v>0</v>
      </c>
    </row>
    <row r="51" spans="1:29" ht="18" customHeight="1" x14ac:dyDescent="0.3">
      <c r="A51" s="144" t="s">
        <v>357</v>
      </c>
      <c r="B51" s="144" t="s">
        <v>216</v>
      </c>
      <c r="C51" s="144" t="s">
        <v>7</v>
      </c>
      <c r="D51" s="87">
        <v>2908.2857142857147</v>
      </c>
      <c r="E51" s="80">
        <v>2908.2857142857147</v>
      </c>
      <c r="F51" s="141">
        <v>1</v>
      </c>
      <c r="G51" s="139">
        <v>15000</v>
      </c>
      <c r="H51" s="139" t="s">
        <v>258</v>
      </c>
      <c r="I51" s="140">
        <v>65</v>
      </c>
      <c r="J51" s="140">
        <f>I51/(G51/1000)</f>
        <v>4.333333333333333</v>
      </c>
      <c r="K51" s="200">
        <f t="shared" si="12"/>
        <v>0.1938857142857143</v>
      </c>
      <c r="L51" s="200">
        <f t="shared" si="13"/>
        <v>0.1938857142857143</v>
      </c>
      <c r="M51" s="199" t="s">
        <v>280</v>
      </c>
      <c r="N51" s="199">
        <f t="shared" si="14"/>
        <v>12.60257142857143</v>
      </c>
      <c r="O51" s="199">
        <f t="shared" si="15"/>
        <v>12.60257142857143</v>
      </c>
    </row>
    <row r="52" spans="1:29" ht="18" customHeight="1" x14ac:dyDescent="0.3">
      <c r="A52" s="145" t="s">
        <v>279</v>
      </c>
      <c r="B52" s="79" t="s">
        <v>216</v>
      </c>
      <c r="C52" s="145" t="s">
        <v>5</v>
      </c>
      <c r="D52" s="87">
        <v>0</v>
      </c>
      <c r="E52" s="80">
        <v>71</v>
      </c>
      <c r="F52" s="141">
        <v>1</v>
      </c>
      <c r="G52" s="139">
        <f>96</f>
        <v>96</v>
      </c>
      <c r="H52" s="139" t="s">
        <v>287</v>
      </c>
      <c r="I52" s="140">
        <v>59</v>
      </c>
      <c r="J52" s="140">
        <f>I52/(G52)</f>
        <v>0.61458333333333337</v>
      </c>
      <c r="K52" s="200">
        <f t="shared" ref="K52" si="22">(E52/F52)/G52</f>
        <v>0.73958333333333337</v>
      </c>
      <c r="L52" s="200">
        <f t="shared" ref="L52" si="23">(D52/F52)/G52</f>
        <v>0</v>
      </c>
      <c r="M52" s="199" t="s">
        <v>280</v>
      </c>
      <c r="N52" s="199">
        <f t="shared" ref="N52" si="24">K52*I52</f>
        <v>43.635416666666671</v>
      </c>
      <c r="O52" s="199">
        <f t="shared" ref="O52" si="25">L52*I52</f>
        <v>0</v>
      </c>
    </row>
    <row r="53" spans="1:29" ht="14" customHeight="1" x14ac:dyDescent="0.3">
      <c r="A53" s="143"/>
      <c r="B53" s="142"/>
      <c r="C53" s="142"/>
      <c r="D53" s="88"/>
      <c r="E53" s="77"/>
      <c r="F53" s="77"/>
      <c r="G53" s="142"/>
      <c r="H53" s="142"/>
      <c r="I53" s="142"/>
      <c r="J53" s="142"/>
      <c r="K53" s="200"/>
      <c r="L53" s="200"/>
      <c r="M53" s="199"/>
      <c r="N53" s="199"/>
      <c r="O53" s="199"/>
      <c r="AA53" s="83"/>
      <c r="AB53" s="83"/>
      <c r="AC53" s="83"/>
    </row>
    <row r="54" spans="1:29" ht="18" customHeight="1" x14ac:dyDescent="0.3">
      <c r="A54" s="144" t="s">
        <v>359</v>
      </c>
      <c r="B54" s="144" t="s">
        <v>212</v>
      </c>
      <c r="C54" s="144" t="s">
        <v>5</v>
      </c>
      <c r="D54" s="87">
        <v>0</v>
      </c>
      <c r="E54" s="80">
        <v>1866</v>
      </c>
      <c r="F54" s="141">
        <v>1</v>
      </c>
      <c r="G54" s="139">
        <v>1</v>
      </c>
      <c r="H54" s="139" t="s">
        <v>266</v>
      </c>
      <c r="I54" s="140">
        <v>0.5</v>
      </c>
      <c r="J54" s="140">
        <f>I54/(G54)</f>
        <v>0.5</v>
      </c>
      <c r="K54" s="200">
        <f t="shared" si="12"/>
        <v>1866</v>
      </c>
      <c r="L54" s="200">
        <f t="shared" si="13"/>
        <v>0</v>
      </c>
      <c r="M54" s="199" t="s">
        <v>5</v>
      </c>
      <c r="N54" s="199">
        <f t="shared" si="14"/>
        <v>933</v>
      </c>
      <c r="O54" s="199">
        <f t="shared" si="15"/>
        <v>0</v>
      </c>
    </row>
    <row r="55" spans="1:29" ht="18" customHeight="1" x14ac:dyDescent="0.3">
      <c r="A55" s="145" t="s">
        <v>361</v>
      </c>
      <c r="B55" s="79" t="s">
        <v>212</v>
      </c>
      <c r="C55" s="145" t="s">
        <v>7</v>
      </c>
      <c r="D55" s="87">
        <v>3314.2857142857147</v>
      </c>
      <c r="E55" s="80">
        <v>5402.4252491694351</v>
      </c>
      <c r="F55" s="141">
        <v>1</v>
      </c>
      <c r="G55" s="175">
        <v>1</v>
      </c>
      <c r="H55" s="175" t="s">
        <v>266</v>
      </c>
      <c r="I55" s="176">
        <v>0.5</v>
      </c>
      <c r="J55" s="176">
        <f t="shared" ref="J55:J57" si="26">I55/(G55)</f>
        <v>0.5</v>
      </c>
      <c r="K55" s="200">
        <f t="shared" si="12"/>
        <v>5402.4252491694351</v>
      </c>
      <c r="L55" s="200">
        <f t="shared" si="13"/>
        <v>3314.2857142857147</v>
      </c>
      <c r="M55" s="199" t="s">
        <v>5</v>
      </c>
      <c r="N55" s="199">
        <f t="shared" si="14"/>
        <v>2701.2126245847176</v>
      </c>
      <c r="O55" s="199">
        <f t="shared" si="15"/>
        <v>1657.1428571428573</v>
      </c>
    </row>
    <row r="56" spans="1:29" ht="18" customHeight="1" x14ac:dyDescent="0.3">
      <c r="A56" s="144" t="s">
        <v>363</v>
      </c>
      <c r="B56" s="144" t="s">
        <v>212</v>
      </c>
      <c r="C56" s="144" t="s">
        <v>5</v>
      </c>
      <c r="D56" s="87">
        <v>868</v>
      </c>
      <c r="E56" s="80">
        <v>1875</v>
      </c>
      <c r="F56" s="141">
        <v>1</v>
      </c>
      <c r="G56" s="139">
        <v>20</v>
      </c>
      <c r="H56" s="139" t="s">
        <v>291</v>
      </c>
      <c r="I56" s="140">
        <v>5.35</v>
      </c>
      <c r="J56" s="140">
        <f>I56/(G56)</f>
        <v>0.26749999999999996</v>
      </c>
      <c r="K56" s="200">
        <f t="shared" si="12"/>
        <v>93.75</v>
      </c>
      <c r="L56" s="200">
        <f t="shared" si="13"/>
        <v>43.4</v>
      </c>
      <c r="M56" s="199" t="s">
        <v>282</v>
      </c>
      <c r="N56" s="199">
        <f t="shared" si="14"/>
        <v>501.56249999999994</v>
      </c>
      <c r="O56" s="199">
        <f t="shared" si="15"/>
        <v>232.18999999999997</v>
      </c>
    </row>
    <row r="57" spans="1:29" ht="18" customHeight="1" x14ac:dyDescent="0.3">
      <c r="A57" s="145" t="s">
        <v>365</v>
      </c>
      <c r="B57" s="145" t="s">
        <v>212</v>
      </c>
      <c r="C57" s="145" t="s">
        <v>5</v>
      </c>
      <c r="D57" s="87">
        <v>0</v>
      </c>
      <c r="E57" s="80">
        <v>97</v>
      </c>
      <c r="F57" s="141">
        <v>1</v>
      </c>
      <c r="G57" s="139">
        <v>4</v>
      </c>
      <c r="H57" s="139" t="s">
        <v>293</v>
      </c>
      <c r="I57" s="140">
        <v>1</v>
      </c>
      <c r="J57" s="140">
        <f t="shared" si="26"/>
        <v>0.25</v>
      </c>
      <c r="K57" s="200">
        <f t="shared" si="12"/>
        <v>24.25</v>
      </c>
      <c r="L57" s="200">
        <f t="shared" si="13"/>
        <v>0</v>
      </c>
      <c r="M57" s="199" t="s">
        <v>282</v>
      </c>
      <c r="N57" s="199">
        <f t="shared" si="14"/>
        <v>24.25</v>
      </c>
      <c r="O57" s="199">
        <f t="shared" si="15"/>
        <v>0</v>
      </c>
    </row>
    <row r="58" spans="1:29" ht="14" customHeight="1" x14ac:dyDescent="0.3">
      <c r="A58" s="144" t="s">
        <v>367</v>
      </c>
      <c r="B58" s="144" t="s">
        <v>212</v>
      </c>
      <c r="C58" s="144" t="s">
        <v>5</v>
      </c>
      <c r="D58" s="87">
        <v>218</v>
      </c>
      <c r="E58" s="80">
        <v>964</v>
      </c>
      <c r="F58" s="141">
        <v>1</v>
      </c>
      <c r="G58" s="139">
        <v>1</v>
      </c>
      <c r="H58" s="139" t="s">
        <v>266</v>
      </c>
      <c r="I58" s="140">
        <v>2.5</v>
      </c>
      <c r="J58" s="140">
        <f>I58/(G58)</f>
        <v>2.5</v>
      </c>
      <c r="K58" s="200">
        <f t="shared" si="12"/>
        <v>964</v>
      </c>
      <c r="L58" s="200">
        <f t="shared" si="13"/>
        <v>218</v>
      </c>
      <c r="M58" s="199" t="s">
        <v>5</v>
      </c>
      <c r="N58" s="199">
        <f t="shared" si="14"/>
        <v>2410</v>
      </c>
      <c r="O58" s="199">
        <f t="shared" si="15"/>
        <v>545</v>
      </c>
      <c r="AA58" s="83"/>
      <c r="AB58" s="83"/>
      <c r="AC58" s="83"/>
    </row>
    <row r="59" spans="1:29" ht="18" customHeight="1" x14ac:dyDescent="0.3">
      <c r="A59" s="143"/>
      <c r="B59" s="142"/>
      <c r="C59" s="142"/>
      <c r="D59" s="88"/>
      <c r="E59" s="77"/>
      <c r="F59" s="77"/>
      <c r="G59" s="142"/>
      <c r="H59" s="142"/>
      <c r="I59" s="142"/>
      <c r="J59" s="142"/>
      <c r="K59" s="200"/>
      <c r="L59" s="200"/>
      <c r="M59" s="199"/>
      <c r="N59" s="199"/>
      <c r="O59" s="199"/>
    </row>
    <row r="60" spans="1:29" ht="18" customHeight="1" x14ac:dyDescent="0.3">
      <c r="A60" s="144" t="s">
        <v>173</v>
      </c>
      <c r="B60" s="144" t="s">
        <v>213</v>
      </c>
      <c r="C60" s="144" t="s">
        <v>7</v>
      </c>
      <c r="D60" s="87">
        <v>0</v>
      </c>
      <c r="E60" s="80">
        <v>177.5</v>
      </c>
      <c r="F60" s="141">
        <v>1</v>
      </c>
      <c r="G60" s="139">
        <v>25000</v>
      </c>
      <c r="H60" s="139" t="s">
        <v>231</v>
      </c>
      <c r="I60" s="140">
        <v>58</v>
      </c>
      <c r="J60" s="140">
        <f>I60/(G60/1000)</f>
        <v>2.3199999999999998</v>
      </c>
      <c r="K60" s="200">
        <f t="shared" si="12"/>
        <v>7.1000000000000004E-3</v>
      </c>
      <c r="L60" s="200">
        <f t="shared" si="13"/>
        <v>0</v>
      </c>
      <c r="M60" s="199" t="s">
        <v>229</v>
      </c>
      <c r="N60" s="199">
        <f t="shared" si="14"/>
        <v>0.4118</v>
      </c>
      <c r="O60" s="199">
        <f t="shared" si="15"/>
        <v>0</v>
      </c>
    </row>
    <row r="61" spans="1:29" ht="18" customHeight="1" x14ac:dyDescent="0.3">
      <c r="A61" s="79" t="s">
        <v>174</v>
      </c>
      <c r="B61" s="79" t="s">
        <v>213</v>
      </c>
      <c r="C61" s="145" t="s">
        <v>7</v>
      </c>
      <c r="D61" s="87">
        <v>0</v>
      </c>
      <c r="E61" s="80">
        <v>2840</v>
      </c>
      <c r="F61" s="141">
        <v>1</v>
      </c>
      <c r="G61" s="139">
        <f>1*10000</f>
        <v>10000</v>
      </c>
      <c r="H61" s="139" t="s">
        <v>259</v>
      </c>
      <c r="I61" s="140">
        <f>17</f>
        <v>17</v>
      </c>
      <c r="J61" s="140">
        <f>I61/(G61/1000)</f>
        <v>1.7</v>
      </c>
      <c r="K61" s="200">
        <f t="shared" si="12"/>
        <v>0.28399999999999997</v>
      </c>
      <c r="L61" s="200">
        <f t="shared" si="13"/>
        <v>0</v>
      </c>
      <c r="M61" s="199" t="s">
        <v>284</v>
      </c>
      <c r="N61" s="199">
        <f t="shared" si="14"/>
        <v>4.8279999999999994</v>
      </c>
      <c r="O61" s="199">
        <f t="shared" si="15"/>
        <v>0</v>
      </c>
    </row>
    <row r="62" spans="1:29" ht="18" customHeight="1" x14ac:dyDescent="0.3">
      <c r="A62" s="81" t="s">
        <v>369</v>
      </c>
      <c r="B62" s="144" t="s">
        <v>213</v>
      </c>
      <c r="C62" s="144" t="s">
        <v>7</v>
      </c>
      <c r="D62" s="87">
        <v>0</v>
      </c>
      <c r="E62" s="80">
        <v>2368.8969696969698</v>
      </c>
      <c r="F62" s="141">
        <v>1</v>
      </c>
      <c r="G62" s="139">
        <f>900*12</f>
        <v>10800</v>
      </c>
      <c r="H62" s="139" t="s">
        <v>260</v>
      </c>
      <c r="I62" s="140">
        <f>130</f>
        <v>130</v>
      </c>
      <c r="J62" s="140">
        <f>I62/(G62/1000)</f>
        <v>12.037037037037036</v>
      </c>
      <c r="K62" s="200">
        <f t="shared" si="12"/>
        <v>0.21934231200897869</v>
      </c>
      <c r="L62" s="200">
        <f t="shared" si="13"/>
        <v>0</v>
      </c>
      <c r="M62" s="199" t="s">
        <v>280</v>
      </c>
      <c r="N62" s="199">
        <f t="shared" si="14"/>
        <v>28.514500561167228</v>
      </c>
      <c r="O62" s="199">
        <f t="shared" si="15"/>
        <v>0</v>
      </c>
    </row>
    <row r="63" spans="1:29" ht="18" customHeight="1" x14ac:dyDescent="0.3">
      <c r="A63" s="145" t="s">
        <v>371</v>
      </c>
      <c r="B63" s="145" t="s">
        <v>213</v>
      </c>
      <c r="C63" s="145" t="s">
        <v>7</v>
      </c>
      <c r="D63" s="87">
        <v>0</v>
      </c>
      <c r="E63" s="147">
        <v>2166.375</v>
      </c>
      <c r="F63" s="141">
        <v>1</v>
      </c>
      <c r="G63" s="139">
        <v>18000</v>
      </c>
      <c r="H63" s="139" t="s">
        <v>273</v>
      </c>
      <c r="I63" s="140">
        <v>50</v>
      </c>
      <c r="J63" s="140">
        <f>I63/(G63/1000)</f>
        <v>2.7777777777777777</v>
      </c>
      <c r="K63" s="200">
        <f t="shared" si="12"/>
        <v>0.12035416666666666</v>
      </c>
      <c r="L63" s="200">
        <f t="shared" si="13"/>
        <v>0</v>
      </c>
      <c r="M63" s="199" t="s">
        <v>282</v>
      </c>
      <c r="N63" s="199">
        <f t="shared" si="14"/>
        <v>6.0177083333333332</v>
      </c>
      <c r="O63" s="199">
        <f t="shared" si="15"/>
        <v>0</v>
      </c>
    </row>
    <row r="64" spans="1:29" ht="18" customHeight="1" x14ac:dyDescent="0.3">
      <c r="A64" s="143"/>
      <c r="B64" s="142"/>
      <c r="C64" s="142"/>
      <c r="D64" s="143"/>
      <c r="E64" s="142"/>
      <c r="F64" s="77"/>
      <c r="G64" s="142"/>
      <c r="H64" s="142"/>
      <c r="I64" s="142"/>
      <c r="J64" s="142"/>
      <c r="K64" s="200"/>
      <c r="L64" s="200"/>
      <c r="M64" s="199"/>
      <c r="N64" s="199"/>
      <c r="O64" s="199"/>
    </row>
    <row r="65" spans="1:34" ht="18" customHeight="1" x14ac:dyDescent="0.3">
      <c r="A65" s="81" t="s">
        <v>145</v>
      </c>
      <c r="B65" s="144" t="s">
        <v>209</v>
      </c>
      <c r="C65" s="144" t="s">
        <v>7</v>
      </c>
      <c r="D65" s="87">
        <v>16540.740740740741</v>
      </c>
      <c r="E65" s="80">
        <v>47366.666666666672</v>
      </c>
      <c r="F65" s="141">
        <v>0.86</v>
      </c>
      <c r="G65" s="139">
        <v>10000</v>
      </c>
      <c r="H65" s="139" t="s">
        <v>267</v>
      </c>
      <c r="I65" s="140">
        <v>171</v>
      </c>
      <c r="J65" s="140">
        <f>I65/(G65/1000)</f>
        <v>17.100000000000001</v>
      </c>
      <c r="K65" s="200">
        <f t="shared" si="12"/>
        <v>5.507751937984497</v>
      </c>
      <c r="L65" s="200">
        <f t="shared" si="13"/>
        <v>1.9233419465977608</v>
      </c>
      <c r="M65" s="199" t="s">
        <v>280</v>
      </c>
      <c r="N65" s="199">
        <f t="shared" si="14"/>
        <v>941.82558139534899</v>
      </c>
      <c r="O65" s="199">
        <f t="shared" si="15"/>
        <v>328.89147286821708</v>
      </c>
    </row>
    <row r="66" spans="1:34" ht="18" customHeight="1" x14ac:dyDescent="0.3">
      <c r="A66" s="145" t="s">
        <v>373</v>
      </c>
      <c r="B66" s="145" t="s">
        <v>209</v>
      </c>
      <c r="C66" s="145" t="s">
        <v>7</v>
      </c>
      <c r="D66" s="87">
        <v>0</v>
      </c>
      <c r="E66" s="80">
        <v>25928.899082568809</v>
      </c>
      <c r="F66" s="141">
        <v>0.7</v>
      </c>
      <c r="G66" s="139">
        <f>1750*6</f>
        <v>10500</v>
      </c>
      <c r="H66" s="139" t="s">
        <v>270</v>
      </c>
      <c r="I66" s="140">
        <v>240</v>
      </c>
      <c r="J66" s="140">
        <f>I66/(G66/1000)</f>
        <v>22.857142857142858</v>
      </c>
      <c r="K66" s="200">
        <f t="shared" si="12"/>
        <v>3.5277413717780695</v>
      </c>
      <c r="L66" s="200">
        <f t="shared" si="13"/>
        <v>0</v>
      </c>
      <c r="M66" s="199" t="s">
        <v>280</v>
      </c>
      <c r="N66" s="199">
        <f t="shared" si="14"/>
        <v>846.65792922673666</v>
      </c>
      <c r="O66" s="199">
        <f t="shared" si="15"/>
        <v>0</v>
      </c>
    </row>
    <row r="67" spans="1:34" ht="18" customHeight="1" x14ac:dyDescent="0.3">
      <c r="A67" s="144" t="s">
        <v>375</v>
      </c>
      <c r="B67" s="144" t="s">
        <v>209</v>
      </c>
      <c r="C67" s="144" t="s">
        <v>7</v>
      </c>
      <c r="D67" s="87">
        <v>5754</v>
      </c>
      <c r="E67" s="80">
        <v>27451</v>
      </c>
      <c r="F67" s="141">
        <v>1</v>
      </c>
      <c r="G67" s="139">
        <v>1000</v>
      </c>
      <c r="H67" s="139" t="s">
        <v>231</v>
      </c>
      <c r="I67" s="140">
        <v>65</v>
      </c>
      <c r="J67" s="140">
        <f>I67/(G67/1000)</f>
        <v>65</v>
      </c>
      <c r="K67" s="200">
        <f t="shared" si="12"/>
        <v>27.451000000000001</v>
      </c>
      <c r="L67" s="200">
        <f t="shared" si="13"/>
        <v>5.7539999999999996</v>
      </c>
      <c r="M67" s="199" t="s">
        <v>231</v>
      </c>
      <c r="N67" s="199">
        <f t="shared" si="14"/>
        <v>1784.3150000000001</v>
      </c>
      <c r="O67" s="199">
        <f t="shared" si="15"/>
        <v>374.01</v>
      </c>
    </row>
    <row r="68" spans="1:34" ht="18" customHeight="1" x14ac:dyDescent="0.3">
      <c r="A68" s="143"/>
      <c r="B68" s="142"/>
      <c r="C68" s="142"/>
      <c r="D68" s="88"/>
      <c r="E68" s="77"/>
      <c r="F68" s="77"/>
      <c r="G68" s="142"/>
      <c r="H68" s="142"/>
      <c r="I68" s="142"/>
      <c r="J68" s="142"/>
      <c r="K68" s="200"/>
      <c r="L68" s="200"/>
      <c r="M68" s="199"/>
      <c r="N68" s="199"/>
      <c r="O68" s="199"/>
    </row>
    <row r="69" spans="1:34" ht="18" customHeight="1" x14ac:dyDescent="0.3">
      <c r="A69" s="145" t="s">
        <v>295</v>
      </c>
      <c r="B69" s="79" t="s">
        <v>294</v>
      </c>
      <c r="C69" s="145" t="s">
        <v>7</v>
      </c>
      <c r="D69" s="87">
        <v>0</v>
      </c>
      <c r="E69" s="80">
        <v>688</v>
      </c>
      <c r="F69" s="141">
        <v>1</v>
      </c>
      <c r="G69" s="139">
        <v>1000</v>
      </c>
      <c r="H69" s="139" t="s">
        <v>229</v>
      </c>
      <c r="I69" s="140">
        <v>7</v>
      </c>
      <c r="J69" s="140">
        <f>I69*(G69/1000)</f>
        <v>7</v>
      </c>
      <c r="K69" s="200">
        <f>(E69/F69)/G69</f>
        <v>0.68799999999999994</v>
      </c>
      <c r="L69" s="200">
        <f>(D69/F69)/G69</f>
        <v>0</v>
      </c>
      <c r="M69" s="199" t="s">
        <v>237</v>
      </c>
      <c r="N69" s="199">
        <f>K69*I69</f>
        <v>4.8159999999999998</v>
      </c>
      <c r="O69" s="199">
        <f>L69*I69</f>
        <v>0</v>
      </c>
    </row>
    <row r="70" spans="1:34" ht="18" customHeight="1" x14ac:dyDescent="0.3">
      <c r="A70" s="143"/>
      <c r="B70" s="142"/>
      <c r="C70" s="142"/>
      <c r="D70" s="88"/>
      <c r="E70" s="77"/>
      <c r="F70" s="77"/>
      <c r="G70" s="142"/>
      <c r="H70" s="142"/>
      <c r="I70" s="142"/>
      <c r="J70" s="142"/>
      <c r="K70" s="200"/>
      <c r="L70" s="200"/>
      <c r="M70" s="199"/>
      <c r="N70" s="199"/>
      <c r="O70" s="199"/>
    </row>
    <row r="71" spans="1:34" ht="14" customHeight="1" x14ac:dyDescent="0.3">
      <c r="A71" s="81" t="s">
        <v>197</v>
      </c>
      <c r="B71" s="144" t="s">
        <v>218</v>
      </c>
      <c r="C71" s="144" t="s">
        <v>7</v>
      </c>
      <c r="D71" s="87">
        <v>484.30344827586208</v>
      </c>
      <c r="E71" s="80">
        <v>2820.2022988505751</v>
      </c>
      <c r="F71" s="141">
        <v>0.84</v>
      </c>
      <c r="G71" s="139">
        <v>1000</v>
      </c>
      <c r="H71" s="139" t="s">
        <v>237</v>
      </c>
      <c r="I71" s="140">
        <v>2.6</v>
      </c>
      <c r="J71" s="140">
        <f>I71/(G71/1000)</f>
        <v>2.6</v>
      </c>
      <c r="K71" s="200">
        <f t="shared" si="12"/>
        <v>3.3573836891078277</v>
      </c>
      <c r="L71" s="200">
        <f t="shared" ref="L71:L83" si="27">(D71/F71)/G71</f>
        <v>0.5765517241379311</v>
      </c>
      <c r="M71" s="199" t="s">
        <v>229</v>
      </c>
      <c r="N71" s="199">
        <f t="shared" si="14"/>
        <v>8.7291975916803519</v>
      </c>
      <c r="O71" s="199">
        <f t="shared" si="15"/>
        <v>1.4990344827586208</v>
      </c>
      <c r="AA71" s="83"/>
      <c r="AB71" s="83"/>
      <c r="AC71" s="83"/>
    </row>
    <row r="72" spans="1:34" ht="18" customHeight="1" x14ac:dyDescent="0.3">
      <c r="A72" s="145" t="s">
        <v>194</v>
      </c>
      <c r="B72" s="145" t="s">
        <v>218</v>
      </c>
      <c r="C72" s="145" t="s">
        <v>7</v>
      </c>
      <c r="D72" s="87">
        <v>0</v>
      </c>
      <c r="E72" s="80">
        <v>156.25</v>
      </c>
      <c r="F72" s="141">
        <v>1</v>
      </c>
      <c r="G72" s="139">
        <v>1000</v>
      </c>
      <c r="H72" s="139" t="s">
        <v>237</v>
      </c>
      <c r="I72" s="140">
        <v>10.5</v>
      </c>
      <c r="J72" s="140">
        <f t="shared" ref="J72:J77" si="28">I72/(G72/1000)</f>
        <v>10.5</v>
      </c>
      <c r="K72" s="200">
        <f t="shared" ref="K72:K79" si="29">(E72/F72)/G72</f>
        <v>0.15625</v>
      </c>
      <c r="L72" s="200">
        <f t="shared" si="27"/>
        <v>0</v>
      </c>
      <c r="M72" s="199" t="s">
        <v>229</v>
      </c>
      <c r="N72" s="199">
        <f t="shared" ref="N72:N83" si="30">K72*I72</f>
        <v>1.640625</v>
      </c>
      <c r="O72" s="199">
        <f t="shared" ref="O72:O83" si="31">L72*I72</f>
        <v>0</v>
      </c>
    </row>
    <row r="73" spans="1:34" ht="18" customHeight="1" x14ac:dyDescent="0.3">
      <c r="A73" s="81" t="s">
        <v>195</v>
      </c>
      <c r="B73" s="144" t="s">
        <v>218</v>
      </c>
      <c r="C73" s="144" t="s">
        <v>7</v>
      </c>
      <c r="D73" s="87">
        <v>0</v>
      </c>
      <c r="E73" s="80">
        <v>1285.6666666666667</v>
      </c>
      <c r="F73" s="141">
        <v>0.69</v>
      </c>
      <c r="G73" s="139">
        <v>1000</v>
      </c>
      <c r="H73" s="139" t="s">
        <v>237</v>
      </c>
      <c r="I73" s="140">
        <v>4</v>
      </c>
      <c r="J73" s="140">
        <f t="shared" si="28"/>
        <v>4</v>
      </c>
      <c r="K73" s="200">
        <f t="shared" si="29"/>
        <v>1.8632850241545895</v>
      </c>
      <c r="L73" s="200">
        <f t="shared" si="27"/>
        <v>0</v>
      </c>
      <c r="M73" s="199" t="s">
        <v>229</v>
      </c>
      <c r="N73" s="199">
        <f t="shared" si="30"/>
        <v>7.4531400966183581</v>
      </c>
      <c r="O73" s="199">
        <f t="shared" si="31"/>
        <v>0</v>
      </c>
    </row>
    <row r="74" spans="1:34" ht="14" customHeight="1" x14ac:dyDescent="0.3">
      <c r="A74" s="145" t="s">
        <v>193</v>
      </c>
      <c r="B74" s="145" t="s">
        <v>218</v>
      </c>
      <c r="C74" s="145" t="s">
        <v>7</v>
      </c>
      <c r="D74" s="87">
        <v>967.54482758620691</v>
      </c>
      <c r="E74" s="80">
        <v>2770.6965517241379</v>
      </c>
      <c r="F74" s="141">
        <v>0.84</v>
      </c>
      <c r="G74" s="139">
        <v>1350</v>
      </c>
      <c r="H74" s="139" t="s">
        <v>241</v>
      </c>
      <c r="I74" s="140">
        <v>4</v>
      </c>
      <c r="J74" s="140">
        <f t="shared" si="28"/>
        <v>2.9629629629629628</v>
      </c>
      <c r="K74" s="200">
        <f t="shared" si="29"/>
        <v>2.4432950191570879</v>
      </c>
      <c r="L74" s="200">
        <f t="shared" si="27"/>
        <v>0.85321413367390386</v>
      </c>
      <c r="M74" s="199" t="s">
        <v>285</v>
      </c>
      <c r="N74" s="199">
        <f t="shared" si="30"/>
        <v>9.7731800766283516</v>
      </c>
      <c r="O74" s="199">
        <f t="shared" si="31"/>
        <v>3.4128565346956155</v>
      </c>
      <c r="AA74" s="83"/>
      <c r="AB74" s="83"/>
      <c r="AC74" s="83"/>
    </row>
    <row r="75" spans="1:34" ht="18" customHeight="1" x14ac:dyDescent="0.3">
      <c r="A75" s="81" t="s">
        <v>377</v>
      </c>
      <c r="B75" s="144" t="s">
        <v>218</v>
      </c>
      <c r="C75" s="144" t="s">
        <v>7</v>
      </c>
      <c r="D75" s="87">
        <v>1575</v>
      </c>
      <c r="E75" s="80">
        <v>8365.5</v>
      </c>
      <c r="F75" s="141">
        <v>0.56999999999999995</v>
      </c>
      <c r="G75" s="139">
        <v>1000</v>
      </c>
      <c r="H75" s="139" t="s">
        <v>237</v>
      </c>
      <c r="I75" s="140">
        <v>8.5</v>
      </c>
      <c r="J75" s="140">
        <f t="shared" si="28"/>
        <v>8.5</v>
      </c>
      <c r="K75" s="200">
        <f t="shared" si="29"/>
        <v>14.676315789473685</v>
      </c>
      <c r="L75" s="200">
        <f t="shared" si="27"/>
        <v>2.7631578947368425</v>
      </c>
      <c r="M75" s="199" t="s">
        <v>237</v>
      </c>
      <c r="N75" s="199">
        <f t="shared" si="30"/>
        <v>124.74868421052632</v>
      </c>
      <c r="O75" s="199">
        <f t="shared" si="31"/>
        <v>23.486842105263161</v>
      </c>
    </row>
    <row r="76" spans="1:34" ht="18" customHeight="1" x14ac:dyDescent="0.3">
      <c r="A76" s="145" t="s">
        <v>198</v>
      </c>
      <c r="B76" s="145" t="s">
        <v>218</v>
      </c>
      <c r="C76" s="145" t="s">
        <v>7</v>
      </c>
      <c r="D76" s="87">
        <v>238.875</v>
      </c>
      <c r="E76" s="80">
        <v>388.5</v>
      </c>
      <c r="F76" s="141">
        <v>1</v>
      </c>
      <c r="G76" s="139">
        <v>250</v>
      </c>
      <c r="H76" s="139" t="s">
        <v>242</v>
      </c>
      <c r="I76" s="140">
        <v>5.5</v>
      </c>
      <c r="J76" s="140">
        <f t="shared" si="28"/>
        <v>22</v>
      </c>
      <c r="K76" s="200">
        <f t="shared" si="29"/>
        <v>1.554</v>
      </c>
      <c r="L76" s="200">
        <f t="shared" si="27"/>
        <v>0.95550000000000002</v>
      </c>
      <c r="M76" s="199" t="s">
        <v>286</v>
      </c>
      <c r="N76" s="199">
        <f t="shared" si="30"/>
        <v>8.5470000000000006</v>
      </c>
      <c r="O76" s="199">
        <f t="shared" si="31"/>
        <v>5.2552500000000002</v>
      </c>
    </row>
    <row r="77" spans="1:34" ht="18" customHeight="1" x14ac:dyDescent="0.3">
      <c r="A77" s="81" t="s">
        <v>192</v>
      </c>
      <c r="B77" s="144" t="s">
        <v>218</v>
      </c>
      <c r="C77" s="144" t="s">
        <v>7</v>
      </c>
      <c r="D77" s="87">
        <v>568.75</v>
      </c>
      <c r="E77" s="80">
        <v>1706.25</v>
      </c>
      <c r="F77" s="141">
        <v>0.9</v>
      </c>
      <c r="G77" s="139">
        <v>1000</v>
      </c>
      <c r="H77" s="139" t="s">
        <v>237</v>
      </c>
      <c r="I77" s="140">
        <v>3</v>
      </c>
      <c r="J77" s="140">
        <f t="shared" si="28"/>
        <v>3</v>
      </c>
      <c r="K77" s="200">
        <f t="shared" si="29"/>
        <v>1.8958333333333333</v>
      </c>
      <c r="L77" s="200">
        <f t="shared" si="27"/>
        <v>0.63194444444444442</v>
      </c>
      <c r="M77" s="199" t="s">
        <v>229</v>
      </c>
      <c r="N77" s="199">
        <f t="shared" si="30"/>
        <v>5.6875</v>
      </c>
      <c r="O77" s="199">
        <f t="shared" si="31"/>
        <v>1.8958333333333333</v>
      </c>
    </row>
    <row r="78" spans="1:34" s="201" customFormat="1" ht="17" customHeight="1" x14ac:dyDescent="0.3">
      <c r="A78" s="145" t="s">
        <v>199</v>
      </c>
      <c r="B78" s="145" t="s">
        <v>218</v>
      </c>
      <c r="C78" s="145" t="s">
        <v>7</v>
      </c>
      <c r="D78" s="87">
        <v>8</v>
      </c>
      <c r="E78" s="80">
        <v>8</v>
      </c>
      <c r="F78" s="141">
        <v>0.65</v>
      </c>
      <c r="G78" s="139">
        <v>905</v>
      </c>
      <c r="H78" s="139" t="s">
        <v>265</v>
      </c>
      <c r="I78" s="140">
        <v>3.5</v>
      </c>
      <c r="J78" s="140">
        <f>I78</f>
        <v>3.5</v>
      </c>
      <c r="K78" s="200">
        <f t="shared" si="29"/>
        <v>1.3599660008499785E-2</v>
      </c>
      <c r="L78" s="200">
        <f t="shared" si="27"/>
        <v>1.3599660008499785E-2</v>
      </c>
      <c r="M78" s="199" t="s">
        <v>285</v>
      </c>
      <c r="N78" s="199">
        <f t="shared" si="30"/>
        <v>4.759881002974925E-2</v>
      </c>
      <c r="O78" s="199">
        <f t="shared" si="31"/>
        <v>4.759881002974925E-2</v>
      </c>
      <c r="AF78"/>
      <c r="AG78"/>
      <c r="AH78"/>
    </row>
    <row r="79" spans="1:34" ht="19.25" customHeight="1" x14ac:dyDescent="0.3">
      <c r="A79" s="81" t="s">
        <v>191</v>
      </c>
      <c r="B79" s="144" t="s">
        <v>218</v>
      </c>
      <c r="C79" s="144" t="s">
        <v>7</v>
      </c>
      <c r="D79" s="87">
        <v>2156.9852941176468</v>
      </c>
      <c r="E79" s="80">
        <v>3828.0852941176468</v>
      </c>
      <c r="F79" s="141">
        <v>0.98</v>
      </c>
      <c r="G79" s="139">
        <v>1000</v>
      </c>
      <c r="H79" s="139" t="s">
        <v>237</v>
      </c>
      <c r="I79" s="140">
        <v>3.5</v>
      </c>
      <c r="J79" s="140">
        <f>I79/(G79/1000)</f>
        <v>3.5</v>
      </c>
      <c r="K79" s="200">
        <f t="shared" si="29"/>
        <v>3.9062094837935173</v>
      </c>
      <c r="L79" s="200">
        <f t="shared" si="27"/>
        <v>2.2010054021608645</v>
      </c>
      <c r="M79" s="199" t="s">
        <v>229</v>
      </c>
      <c r="N79" s="199">
        <f t="shared" si="30"/>
        <v>13.67173319327731</v>
      </c>
      <c r="O79" s="199">
        <f t="shared" si="31"/>
        <v>7.7035189075630255</v>
      </c>
      <c r="AA79" s="83"/>
      <c r="AB79" s="83"/>
      <c r="AC79" s="83"/>
    </row>
    <row r="80" spans="1:34" ht="18" customHeight="1" x14ac:dyDescent="0.3">
      <c r="A80" s="145" t="s">
        <v>196</v>
      </c>
      <c r="B80" s="145" t="s">
        <v>218</v>
      </c>
      <c r="C80" s="145" t="s">
        <v>7</v>
      </c>
      <c r="D80" s="87">
        <v>0</v>
      </c>
      <c r="E80" s="80">
        <v>1433.3333333333335</v>
      </c>
      <c r="F80" s="141">
        <v>0.78</v>
      </c>
      <c r="G80" s="139">
        <v>1000</v>
      </c>
      <c r="H80" s="139" t="s">
        <v>237</v>
      </c>
      <c r="I80" s="140">
        <v>3.7</v>
      </c>
      <c r="J80" s="140">
        <f>I80/(G80/1000)</f>
        <v>3.7</v>
      </c>
      <c r="K80" s="200">
        <f t="shared" ref="K80:K83" si="32">(E80/F80)/G80</f>
        <v>1.8376068376068377</v>
      </c>
      <c r="L80" s="200">
        <f t="shared" si="27"/>
        <v>0</v>
      </c>
      <c r="M80" s="199" t="s">
        <v>229</v>
      </c>
      <c r="N80" s="199">
        <f t="shared" si="30"/>
        <v>6.7991452991452999</v>
      </c>
      <c r="O80" s="199">
        <f t="shared" si="31"/>
        <v>0</v>
      </c>
    </row>
    <row r="81" spans="1:15" ht="18" customHeight="1" x14ac:dyDescent="0.3">
      <c r="A81" s="81" t="s">
        <v>379</v>
      </c>
      <c r="B81" s="144" t="s">
        <v>218</v>
      </c>
      <c r="C81" s="144" t="s">
        <v>7</v>
      </c>
      <c r="D81" s="87">
        <v>0</v>
      </c>
      <c r="E81" s="80">
        <v>3953.6</v>
      </c>
      <c r="F81" s="141">
        <v>0.6</v>
      </c>
      <c r="G81" s="139">
        <v>1070</v>
      </c>
      <c r="H81" s="139" t="s">
        <v>264</v>
      </c>
      <c r="I81" s="140">
        <v>3.5</v>
      </c>
      <c r="J81" s="140">
        <f>I81/(G81/1000)</f>
        <v>3.2710280373831773</v>
      </c>
      <c r="K81" s="200">
        <f t="shared" si="32"/>
        <v>6.1582554517133952</v>
      </c>
      <c r="L81" s="200">
        <f t="shared" si="27"/>
        <v>0</v>
      </c>
      <c r="M81" s="199" t="s">
        <v>285</v>
      </c>
      <c r="N81" s="199">
        <f t="shared" si="30"/>
        <v>21.553894080996884</v>
      </c>
      <c r="O81" s="199">
        <f t="shared" si="31"/>
        <v>0</v>
      </c>
    </row>
    <row r="82" spans="1:15" ht="18" customHeight="1" x14ac:dyDescent="0.3">
      <c r="A82" s="145" t="s">
        <v>381</v>
      </c>
      <c r="B82" s="145" t="s">
        <v>218</v>
      </c>
      <c r="C82" s="145" t="s">
        <v>7</v>
      </c>
      <c r="D82" s="87">
        <v>9646</v>
      </c>
      <c r="E82" s="80">
        <v>74363</v>
      </c>
      <c r="F82" s="141">
        <v>0.66</v>
      </c>
      <c r="G82" s="139">
        <v>1000</v>
      </c>
      <c r="H82" s="139" t="s">
        <v>237</v>
      </c>
      <c r="I82" s="140">
        <v>3.5</v>
      </c>
      <c r="J82" s="140">
        <f>I82/(G82/1000)</f>
        <v>3.5</v>
      </c>
      <c r="K82" s="200">
        <f t="shared" si="32"/>
        <v>112.67121212121211</v>
      </c>
      <c r="L82" s="200">
        <f t="shared" si="27"/>
        <v>14.615151515151513</v>
      </c>
      <c r="M82" s="199" t="s">
        <v>229</v>
      </c>
      <c r="N82" s="199">
        <f t="shared" si="30"/>
        <v>394.34924242424239</v>
      </c>
      <c r="O82" s="199">
        <f t="shared" si="31"/>
        <v>51.153030303030299</v>
      </c>
    </row>
    <row r="83" spans="1:15" ht="18" customHeight="1" x14ac:dyDescent="0.3">
      <c r="A83" s="81" t="s">
        <v>383</v>
      </c>
      <c r="B83" s="144" t="s">
        <v>218</v>
      </c>
      <c r="C83" s="144" t="s">
        <v>7</v>
      </c>
      <c r="D83" s="87">
        <v>2813.6813793103447</v>
      </c>
      <c r="E83" s="80">
        <v>5242.587586206897</v>
      </c>
      <c r="F83" s="141">
        <v>0.72</v>
      </c>
      <c r="G83" s="139">
        <v>1000</v>
      </c>
      <c r="H83" s="139" t="s">
        <v>237</v>
      </c>
      <c r="I83" s="140">
        <v>8.5</v>
      </c>
      <c r="J83" s="140">
        <f>I83/(G83/1000)</f>
        <v>8.5</v>
      </c>
      <c r="K83" s="200">
        <f t="shared" si="32"/>
        <v>7.2813716475095802</v>
      </c>
      <c r="L83" s="200">
        <f t="shared" si="27"/>
        <v>3.907890804597701</v>
      </c>
      <c r="M83" s="199" t="s">
        <v>229</v>
      </c>
      <c r="N83" s="199">
        <f t="shared" si="30"/>
        <v>61.891659003831435</v>
      </c>
      <c r="O83" s="199">
        <f t="shared" si="31"/>
        <v>33.217071839080461</v>
      </c>
    </row>
    <row r="84" spans="1:15" ht="18" customHeight="1" x14ac:dyDescent="0.3">
      <c r="A84" s="143"/>
      <c r="B84" s="142"/>
      <c r="C84" s="142"/>
      <c r="D84" s="88"/>
      <c r="E84" s="77"/>
      <c r="F84" s="77"/>
      <c r="G84" s="142"/>
      <c r="H84" s="142"/>
      <c r="I84" s="142"/>
      <c r="J84" s="142"/>
      <c r="K84" s="200"/>
      <c r="L84" s="200"/>
      <c r="M84" s="199"/>
      <c r="N84" s="199"/>
      <c r="O84" s="199"/>
    </row>
    <row r="85" spans="1:15" ht="18" customHeight="1" x14ac:dyDescent="0.3">
      <c r="A85" s="79" t="s">
        <v>385</v>
      </c>
      <c r="B85" s="79" t="s">
        <v>219</v>
      </c>
      <c r="C85" s="186" t="s">
        <v>5</v>
      </c>
      <c r="D85" s="87">
        <v>0</v>
      </c>
      <c r="E85" s="80">
        <v>192</v>
      </c>
      <c r="F85" s="141">
        <v>1</v>
      </c>
      <c r="G85" s="139">
        <v>125</v>
      </c>
      <c r="H85" s="139" t="s">
        <v>263</v>
      </c>
      <c r="I85" s="140">
        <v>17</v>
      </c>
      <c r="J85" s="140">
        <f>I85/(G85/1000)</f>
        <v>136</v>
      </c>
      <c r="K85" s="200">
        <f t="shared" ref="K85:K87" si="33">(E85/F85)/G85</f>
        <v>1.536</v>
      </c>
      <c r="L85" s="200">
        <f>(D85/F85)/G85</f>
        <v>0</v>
      </c>
      <c r="M85" s="199" t="s">
        <v>286</v>
      </c>
      <c r="N85" s="199">
        <f t="shared" ref="N85:N87" si="34">K85*I85</f>
        <v>26.112000000000002</v>
      </c>
      <c r="O85" s="199">
        <f>L85*I85</f>
        <v>0</v>
      </c>
    </row>
    <row r="86" spans="1:15" x14ac:dyDescent="0.3">
      <c r="A86" s="81" t="s">
        <v>387</v>
      </c>
      <c r="B86" s="144" t="s">
        <v>219</v>
      </c>
      <c r="C86" s="144" t="s">
        <v>7</v>
      </c>
      <c r="D86" s="87">
        <v>0</v>
      </c>
      <c r="E86" s="80">
        <v>1065</v>
      </c>
      <c r="F86" s="141">
        <v>1</v>
      </c>
      <c r="G86" s="139">
        <v>250</v>
      </c>
      <c r="H86" s="139" t="s">
        <v>242</v>
      </c>
      <c r="I86" s="140">
        <v>21</v>
      </c>
      <c r="J86" s="140">
        <f>I86/(G86/1000)</f>
        <v>84</v>
      </c>
      <c r="K86" s="200">
        <f t="shared" si="33"/>
        <v>4.26</v>
      </c>
      <c r="L86" s="200">
        <f t="shared" ref="L86:L87" si="35">(D86/F86)/G86</f>
        <v>0</v>
      </c>
      <c r="M86" s="199" t="s">
        <v>286</v>
      </c>
      <c r="N86" s="199">
        <f t="shared" si="34"/>
        <v>89.46</v>
      </c>
      <c r="O86" s="199">
        <f t="shared" ref="O86:O87" si="36">L86*I86</f>
        <v>0</v>
      </c>
    </row>
    <row r="87" spans="1:15" x14ac:dyDescent="0.3">
      <c r="A87" s="145" t="s">
        <v>389</v>
      </c>
      <c r="B87" s="79" t="s">
        <v>219</v>
      </c>
      <c r="C87" s="145" t="s">
        <v>7</v>
      </c>
      <c r="D87" s="87">
        <v>0</v>
      </c>
      <c r="E87" s="80">
        <v>2154.8837209302328</v>
      </c>
      <c r="F87" s="141">
        <f>2.26/4.07</f>
        <v>0.55528255528255521</v>
      </c>
      <c r="G87" s="139">
        <v>1000</v>
      </c>
      <c r="H87" s="139" t="s">
        <v>231</v>
      </c>
      <c r="I87" s="140">
        <v>4</v>
      </c>
      <c r="J87" s="140">
        <f>I87/(G87/1000)</f>
        <v>4</v>
      </c>
      <c r="K87" s="200">
        <f t="shared" si="33"/>
        <v>3.8806976744186055</v>
      </c>
      <c r="L87" s="200">
        <f t="shared" si="35"/>
        <v>0</v>
      </c>
      <c r="M87" s="199" t="s">
        <v>229</v>
      </c>
      <c r="N87" s="199">
        <f t="shared" si="34"/>
        <v>15.522790697674422</v>
      </c>
      <c r="O87" s="199">
        <f t="shared" si="36"/>
        <v>0</v>
      </c>
    </row>
    <row r="88" spans="1:15" x14ac:dyDescent="0.3">
      <c r="A88" s="143"/>
      <c r="B88" s="142"/>
      <c r="C88" s="142"/>
      <c r="D88" s="143"/>
      <c r="E88" s="142"/>
      <c r="F88" s="77"/>
      <c r="G88" s="142"/>
      <c r="H88" s="142"/>
      <c r="I88" s="142"/>
      <c r="J88" s="142"/>
    </row>
    <row r="129" ht="4.25" customHeight="1" x14ac:dyDescent="0.3"/>
    <row r="146" spans="6:6" x14ac:dyDescent="0.3">
      <c r="F146" s="84"/>
    </row>
  </sheetData>
  <autoFilter ref="A1:O146" xr:uid="{00000000-0001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  <outlinePr summaryBelow="0" summaryRight="0"/>
    <pageSetUpPr fitToPage="1"/>
  </sheetPr>
  <dimension ref="A1:Y930"/>
  <sheetViews>
    <sheetView topLeftCell="O1" zoomScaleNormal="100" workbookViewId="0">
      <selection activeCell="V12" sqref="V12"/>
    </sheetView>
  </sheetViews>
  <sheetFormatPr defaultColWidth="12.5" defaultRowHeight="12.5" x14ac:dyDescent="0.3"/>
  <cols>
    <col min="1" max="1" width="20.5" style="27" bestFit="1" customWidth="1"/>
    <col min="2" max="2" width="30.6640625" style="27" bestFit="1" customWidth="1"/>
    <col min="3" max="3" width="21.83203125" style="27" customWidth="1"/>
    <col min="4" max="4" width="16.08203125" style="27" bestFit="1" customWidth="1"/>
    <col min="5" max="5" width="19.08203125" style="27" customWidth="1"/>
    <col min="6" max="6" width="16.6640625" style="27" customWidth="1"/>
    <col min="7" max="7" width="29.08203125" style="27" customWidth="1"/>
    <col min="8" max="8" width="19.6640625" style="27" customWidth="1"/>
    <col min="9" max="10" width="12.5" style="27" customWidth="1"/>
    <col min="11" max="11" width="10.9140625" style="27" customWidth="1"/>
    <col min="12" max="12" width="32.08203125" style="27" bestFit="1" customWidth="1"/>
    <col min="13" max="14" width="29.5" style="27" bestFit="1" customWidth="1"/>
    <col min="15" max="15" width="23.5" style="27" bestFit="1" customWidth="1"/>
    <col min="16" max="16" width="12.5" style="27" customWidth="1"/>
    <col min="17" max="17" width="4.58203125" style="27" customWidth="1"/>
    <col min="18" max="18" width="21.33203125" style="27" customWidth="1"/>
    <col min="19" max="16384" width="12.5" style="27"/>
  </cols>
  <sheetData>
    <row r="1" spans="1:25" ht="36.5" customHeight="1" x14ac:dyDescent="0.3">
      <c r="A1" s="47" t="s">
        <v>44</v>
      </c>
      <c r="B1" s="2">
        <v>1</v>
      </c>
      <c r="C1" s="47" t="s">
        <v>45</v>
      </c>
      <c r="D1" s="3">
        <f>S15</f>
        <v>50</v>
      </c>
      <c r="E1" s="47" t="s">
        <v>46</v>
      </c>
      <c r="F1" s="25">
        <f>D1/B1</f>
        <v>50</v>
      </c>
      <c r="G1" s="47" t="s">
        <v>47</v>
      </c>
      <c r="H1" s="26">
        <f>(F1/J1)</f>
        <v>50</v>
      </c>
      <c r="I1" s="47" t="s">
        <v>48</v>
      </c>
      <c r="J1" s="2">
        <v>1</v>
      </c>
      <c r="K1" s="47" t="s">
        <v>49</v>
      </c>
      <c r="L1" s="22" t="s">
        <v>50</v>
      </c>
      <c r="M1" s="23" t="s">
        <v>51</v>
      </c>
      <c r="N1" s="22">
        <v>2.9630000000000001</v>
      </c>
      <c r="O1" s="57" t="s">
        <v>52</v>
      </c>
      <c r="P1" s="3">
        <v>85</v>
      </c>
      <c r="Q1" s="22"/>
      <c r="R1" s="22"/>
      <c r="S1" s="22"/>
      <c r="U1" s="233" t="s">
        <v>321</v>
      </c>
      <c r="V1" s="230">
        <v>48</v>
      </c>
    </row>
    <row r="2" spans="1:25" ht="12.75" customHeight="1" x14ac:dyDescent="0.3">
      <c r="A2" s="69"/>
      <c r="B2" s="242" t="s">
        <v>53</v>
      </c>
      <c r="C2" s="239"/>
      <c r="D2" s="239"/>
      <c r="E2" s="239"/>
      <c r="F2" s="239"/>
      <c r="G2" s="239"/>
      <c r="H2" s="239"/>
      <c r="I2" s="69"/>
      <c r="J2" s="69"/>
      <c r="K2" s="22"/>
      <c r="L2" s="22"/>
      <c r="M2" s="22"/>
      <c r="N2" s="22"/>
      <c r="O2" s="22"/>
      <c r="P2" s="22"/>
      <c r="Q2" s="22"/>
      <c r="R2" s="22"/>
    </row>
    <row r="3" spans="1:25" ht="12.75" customHeight="1" x14ac:dyDescent="0.3">
      <c r="A3" s="71"/>
      <c r="B3" s="243"/>
      <c r="C3" s="243"/>
      <c r="D3" s="243"/>
      <c r="E3" s="243"/>
      <c r="F3" s="243"/>
      <c r="G3" s="243"/>
      <c r="H3" s="243"/>
      <c r="I3" s="68"/>
      <c r="J3" s="68"/>
      <c r="K3" s="22"/>
      <c r="L3" s="22"/>
      <c r="M3" s="22"/>
      <c r="N3" s="22"/>
      <c r="O3" s="22"/>
      <c r="P3" s="22"/>
      <c r="Q3" s="22"/>
      <c r="R3" s="22"/>
    </row>
    <row r="4" spans="1:25" ht="57" customHeight="1" x14ac:dyDescent="0.3">
      <c r="A4" s="47" t="s">
        <v>54</v>
      </c>
      <c r="B4" s="47" t="s">
        <v>55</v>
      </c>
      <c r="C4" s="47" t="s">
        <v>391</v>
      </c>
      <c r="D4" s="47" t="s">
        <v>57</v>
      </c>
      <c r="E4" s="28" t="s">
        <v>58</v>
      </c>
      <c r="F4" s="28" t="s">
        <v>59</v>
      </c>
      <c r="G4" s="47" t="s">
        <v>60</v>
      </c>
      <c r="H4" s="29" t="s">
        <v>61</v>
      </c>
      <c r="I4" s="47" t="s">
        <v>276</v>
      </c>
      <c r="J4" s="47" t="s">
        <v>78</v>
      </c>
      <c r="K4" s="47" t="s">
        <v>79</v>
      </c>
      <c r="L4" s="151" t="s">
        <v>80</v>
      </c>
      <c r="M4" s="22"/>
      <c r="N4" s="22"/>
      <c r="O4" s="22"/>
      <c r="P4" s="22"/>
      <c r="Q4" s="22"/>
      <c r="R4" s="22"/>
      <c r="S4" s="22"/>
    </row>
    <row r="5" spans="1:25" ht="14" customHeight="1" x14ac:dyDescent="0.3">
      <c r="A5" s="14" t="s">
        <v>39</v>
      </c>
      <c r="B5" s="14" t="s">
        <v>371</v>
      </c>
      <c r="C5" s="30" t="s">
        <v>7</v>
      </c>
      <c r="D5" s="64">
        <f>M5/64</f>
        <v>42.1875</v>
      </c>
      <c r="E5" s="31">
        <f t="shared" ref="E5:E15" si="0">$H$1</f>
        <v>50</v>
      </c>
      <c r="F5" s="32">
        <v>1</v>
      </c>
      <c r="G5" s="33">
        <f t="shared" ref="G5:G14" si="1">D5*E5</f>
        <v>2109.375</v>
      </c>
      <c r="H5" s="221">
        <f t="shared" ref="H5:H15" si="2">G5*F5</f>
        <v>2109.375</v>
      </c>
      <c r="I5" s="222">
        <f>VLOOKUP(B5,Ordering!$A$1:$J$88,6,FALSE)</f>
        <v>1</v>
      </c>
      <c r="J5" s="202">
        <f>VLOOKUP(B5,Ordering!$A$1:$J$88,10,FALSE)</f>
        <v>2.7777777777777777</v>
      </c>
      <c r="K5" s="167">
        <f>((H5/(I5))/1000)</f>
        <v>2.109375</v>
      </c>
      <c r="L5" s="169">
        <f t="shared" ref="L5" si="3">J5*K5</f>
        <v>5.859375</v>
      </c>
      <c r="M5" s="27">
        <v>2700</v>
      </c>
      <c r="N5" s="164">
        <f>M5*N1</f>
        <v>8000.1</v>
      </c>
    </row>
    <row r="6" spans="1:25" ht="14" customHeight="1" x14ac:dyDescent="0.3">
      <c r="A6" s="14" t="s">
        <v>26</v>
      </c>
      <c r="B6" s="14" t="s">
        <v>192</v>
      </c>
      <c r="C6" s="30" t="s">
        <v>7</v>
      </c>
      <c r="D6" s="64">
        <f t="shared" ref="D6:D12" si="4">M6/64</f>
        <v>15.625</v>
      </c>
      <c r="E6" s="31">
        <f t="shared" si="0"/>
        <v>50</v>
      </c>
      <c r="F6" s="32">
        <v>1</v>
      </c>
      <c r="G6" s="33">
        <f t="shared" si="1"/>
        <v>781.25</v>
      </c>
      <c r="H6" s="221">
        <f t="shared" si="2"/>
        <v>781.25</v>
      </c>
      <c r="I6" s="222">
        <f>VLOOKUP(B6,Ordering!$A$1:$J$88,6,FALSE)</f>
        <v>0.9</v>
      </c>
      <c r="J6" s="202">
        <f>VLOOKUP(B6,Ordering!$A$1:$J$88,10,FALSE)</f>
        <v>3</v>
      </c>
      <c r="K6" s="167">
        <f t="shared" ref="K6:K14" si="5">((H6/(I6))/1000)</f>
        <v>0.86805555555555558</v>
      </c>
      <c r="L6" s="169">
        <f t="shared" ref="L6:L15" si="6">J6*K6</f>
        <v>2.604166666666667</v>
      </c>
      <c r="M6" s="27">
        <v>1000</v>
      </c>
    </row>
    <row r="7" spans="1:25" ht="14" customHeight="1" x14ac:dyDescent="0.3">
      <c r="A7" s="14" t="s">
        <v>26</v>
      </c>
      <c r="B7" s="14" t="s">
        <v>194</v>
      </c>
      <c r="C7" s="30" t="s">
        <v>7</v>
      </c>
      <c r="D7" s="64">
        <f t="shared" si="4"/>
        <v>3.125</v>
      </c>
      <c r="E7" s="31">
        <f t="shared" si="0"/>
        <v>50</v>
      </c>
      <c r="F7" s="32">
        <v>1</v>
      </c>
      <c r="G7" s="33">
        <f t="shared" si="1"/>
        <v>156.25</v>
      </c>
      <c r="H7" s="221">
        <f t="shared" si="2"/>
        <v>156.25</v>
      </c>
      <c r="I7" s="222">
        <f>VLOOKUP(B7,Ordering!$A$1:$J$88,6,FALSE)</f>
        <v>1</v>
      </c>
      <c r="J7" s="202">
        <f>VLOOKUP(B7,Ordering!$A$1:$J$88,10,FALSE)</f>
        <v>10.5</v>
      </c>
      <c r="K7" s="167">
        <f t="shared" si="5"/>
        <v>0.15625</v>
      </c>
      <c r="L7" s="169">
        <f t="shared" si="6"/>
        <v>1.640625</v>
      </c>
      <c r="M7" s="27">
        <v>200</v>
      </c>
      <c r="V7" s="210"/>
    </row>
    <row r="8" spans="1:25" ht="14" customHeight="1" x14ac:dyDescent="0.3">
      <c r="A8" s="14" t="s">
        <v>26</v>
      </c>
      <c r="B8" s="14" t="s">
        <v>191</v>
      </c>
      <c r="C8" s="30" t="s">
        <v>7</v>
      </c>
      <c r="D8" s="64">
        <f t="shared" si="4"/>
        <v>15.625</v>
      </c>
      <c r="E8" s="31">
        <f t="shared" si="0"/>
        <v>50</v>
      </c>
      <c r="F8" s="32">
        <v>1</v>
      </c>
      <c r="G8" s="33">
        <f t="shared" si="1"/>
        <v>781.25</v>
      </c>
      <c r="H8" s="221">
        <f t="shared" si="2"/>
        <v>781.25</v>
      </c>
      <c r="I8" s="222">
        <f>VLOOKUP(B8,Ordering!$A$1:$J$88,6,FALSE)</f>
        <v>0.98</v>
      </c>
      <c r="J8" s="202">
        <f>VLOOKUP(B8,Ordering!$A$1:$J$88,10,FALSE)</f>
        <v>3.5</v>
      </c>
      <c r="K8" s="167">
        <f t="shared" si="5"/>
        <v>0.79719387755102045</v>
      </c>
      <c r="L8" s="169">
        <f t="shared" si="6"/>
        <v>2.7901785714285716</v>
      </c>
      <c r="M8" s="27">
        <v>1000</v>
      </c>
      <c r="V8" s="171" t="s">
        <v>277</v>
      </c>
      <c r="W8" s="172">
        <v>1</v>
      </c>
      <c r="X8" s="171" t="s">
        <v>80</v>
      </c>
      <c r="Y8" s="207">
        <f>(SUM(L5:L15)/S15)*W8</f>
        <v>0.80519540085565466</v>
      </c>
    </row>
    <row r="9" spans="1:25" ht="14" customHeight="1" x14ac:dyDescent="0.3">
      <c r="A9" s="14" t="s">
        <v>41</v>
      </c>
      <c r="B9" s="14" t="s">
        <v>183</v>
      </c>
      <c r="C9" s="30" t="s">
        <v>7</v>
      </c>
      <c r="D9" s="64">
        <f t="shared" si="4"/>
        <v>7.03125</v>
      </c>
      <c r="E9" s="31">
        <f t="shared" si="0"/>
        <v>50</v>
      </c>
      <c r="F9" s="32">
        <v>0.9</v>
      </c>
      <c r="G9" s="33">
        <f t="shared" si="1"/>
        <v>351.5625</v>
      </c>
      <c r="H9" s="221">
        <f t="shared" si="2"/>
        <v>316.40625</v>
      </c>
      <c r="I9" s="222">
        <f>VLOOKUP(B9,Ordering!$A$1:$J$88,6,FALSE)</f>
        <v>1</v>
      </c>
      <c r="J9" s="202">
        <f>VLOOKUP(B9,Ordering!$A$1:$J$88,10,FALSE)</f>
        <v>8.1520833333333336</v>
      </c>
      <c r="K9" s="167">
        <f t="shared" si="5"/>
        <v>0.31640625</v>
      </c>
      <c r="L9" s="169">
        <f t="shared" si="6"/>
        <v>2.5793701171875001</v>
      </c>
      <c r="M9" s="27">
        <v>450</v>
      </c>
    </row>
    <row r="10" spans="1:25" ht="14" customHeight="1" x14ac:dyDescent="0.3">
      <c r="A10" s="14" t="s">
        <v>12</v>
      </c>
      <c r="B10" s="14" t="s">
        <v>172</v>
      </c>
      <c r="C10" s="30" t="s">
        <v>7</v>
      </c>
      <c r="D10" s="64">
        <f t="shared" si="4"/>
        <v>7.8125</v>
      </c>
      <c r="E10" s="31">
        <f t="shared" si="0"/>
        <v>50</v>
      </c>
      <c r="F10" s="32">
        <v>1</v>
      </c>
      <c r="G10" s="33">
        <f t="shared" si="1"/>
        <v>390.625</v>
      </c>
      <c r="H10" s="221">
        <f t="shared" si="2"/>
        <v>390.625</v>
      </c>
      <c r="I10" s="222">
        <f>VLOOKUP(B10,Ordering!$A$1:$J$88,6,FALSE)</f>
        <v>1</v>
      </c>
      <c r="J10" s="202">
        <f>VLOOKUP(B10,Ordering!$A$1:$J$88,10,FALSE)</f>
        <v>30</v>
      </c>
      <c r="K10" s="167">
        <f t="shared" si="5"/>
        <v>0.390625</v>
      </c>
      <c r="L10" s="169">
        <f t="shared" si="6"/>
        <v>11.71875</v>
      </c>
      <c r="M10" s="27">
        <v>500</v>
      </c>
      <c r="R10" s="240" t="s">
        <v>3</v>
      </c>
      <c r="S10" s="241"/>
    </row>
    <row r="11" spans="1:25" ht="14" customHeight="1" x14ac:dyDescent="0.3">
      <c r="A11" s="14" t="s">
        <v>40</v>
      </c>
      <c r="B11" s="14" t="s">
        <v>175</v>
      </c>
      <c r="C11" s="30" t="s">
        <v>7</v>
      </c>
      <c r="D11" s="165">
        <f t="shared" si="4"/>
        <v>0.46875</v>
      </c>
      <c r="E11" s="31">
        <f t="shared" si="0"/>
        <v>50</v>
      </c>
      <c r="F11" s="32">
        <v>0.75</v>
      </c>
      <c r="G11" s="33">
        <f t="shared" si="1"/>
        <v>23.4375</v>
      </c>
      <c r="H11" s="34">
        <f t="shared" si="2"/>
        <v>17.578125</v>
      </c>
      <c r="I11" s="2">
        <f>VLOOKUP(B11,Ordering!$A$1:$J$88,6,FALSE)</f>
        <v>1</v>
      </c>
      <c r="J11" s="202">
        <f>VLOOKUP(B11,Ordering!$A$1:$J$88,10,FALSE)</f>
        <v>0.74</v>
      </c>
      <c r="K11" s="166">
        <f t="shared" si="5"/>
        <v>1.7578125E-2</v>
      </c>
      <c r="L11" s="170">
        <f t="shared" si="6"/>
        <v>1.30078125E-2</v>
      </c>
      <c r="M11" s="27">
        <v>30</v>
      </c>
      <c r="R11" s="236" t="s">
        <v>62</v>
      </c>
      <c r="S11" s="237"/>
    </row>
    <row r="12" spans="1:25" ht="14" customHeight="1" x14ac:dyDescent="0.3">
      <c r="A12" s="14" t="s">
        <v>40</v>
      </c>
      <c r="B12" s="14" t="s">
        <v>176</v>
      </c>
      <c r="C12" s="30" t="s">
        <v>7</v>
      </c>
      <c r="D12" s="165">
        <f t="shared" si="4"/>
        <v>0.1875</v>
      </c>
      <c r="E12" s="31">
        <f t="shared" si="0"/>
        <v>50</v>
      </c>
      <c r="F12" s="32">
        <v>1</v>
      </c>
      <c r="G12" s="33">
        <f t="shared" si="1"/>
        <v>9.375</v>
      </c>
      <c r="H12" s="34">
        <f t="shared" si="2"/>
        <v>9.375</v>
      </c>
      <c r="I12" s="2">
        <f>VLOOKUP(B12,Ordering!$A$1:$J$88,6,FALSE)</f>
        <v>1</v>
      </c>
      <c r="J12" s="202">
        <f>VLOOKUP(B12,Ordering!$A$1:$J$88,10,FALSE)</f>
        <v>31</v>
      </c>
      <c r="K12" s="18">
        <f t="shared" si="5"/>
        <v>9.3749999999999997E-3</v>
      </c>
      <c r="L12" s="170">
        <f t="shared" si="6"/>
        <v>0.29062499999999997</v>
      </c>
      <c r="M12" s="27">
        <v>12</v>
      </c>
      <c r="R12" s="36" t="s">
        <v>63</v>
      </c>
      <c r="S12" s="36" t="s">
        <v>64</v>
      </c>
    </row>
    <row r="13" spans="1:25" ht="14" customHeight="1" x14ac:dyDescent="0.3">
      <c r="A13" s="14" t="s">
        <v>40</v>
      </c>
      <c r="B13" s="14" t="s">
        <v>178</v>
      </c>
      <c r="C13" s="30" t="s">
        <v>7</v>
      </c>
      <c r="D13" s="165">
        <f>M13/64</f>
        <v>0.390625</v>
      </c>
      <c r="E13" s="31">
        <f t="shared" si="0"/>
        <v>50</v>
      </c>
      <c r="F13" s="32">
        <v>0.9</v>
      </c>
      <c r="G13" s="33">
        <f t="shared" si="1"/>
        <v>19.53125</v>
      </c>
      <c r="H13" s="34">
        <f t="shared" si="2"/>
        <v>17.578125</v>
      </c>
      <c r="I13" s="2">
        <f>VLOOKUP(B13,Ordering!$A$1:$J$88,6,FALSE)</f>
        <v>1</v>
      </c>
      <c r="J13" s="202">
        <f>VLOOKUP(B13,Ordering!$A$1:$J$88,10,FALSE)</f>
        <v>15</v>
      </c>
      <c r="K13" s="18">
        <f t="shared" si="5"/>
        <v>1.7578125E-2</v>
      </c>
      <c r="L13" s="170">
        <f t="shared" si="6"/>
        <v>0.263671875</v>
      </c>
      <c r="M13" s="27">
        <v>25</v>
      </c>
      <c r="R13" s="36" t="s">
        <v>65</v>
      </c>
      <c r="S13" s="208">
        <f>V1</f>
        <v>48</v>
      </c>
    </row>
    <row r="14" spans="1:25" ht="14" customHeight="1" x14ac:dyDescent="0.3">
      <c r="A14" s="14" t="s">
        <v>43</v>
      </c>
      <c r="B14" s="14" t="s">
        <v>189</v>
      </c>
      <c r="C14" s="30" t="s">
        <v>124</v>
      </c>
      <c r="D14" s="64">
        <f>M14/64</f>
        <v>93.75</v>
      </c>
      <c r="E14" s="31">
        <f t="shared" si="0"/>
        <v>50</v>
      </c>
      <c r="F14" s="32">
        <v>1.75</v>
      </c>
      <c r="G14" s="33">
        <f t="shared" si="1"/>
        <v>4687.5</v>
      </c>
      <c r="H14" s="34">
        <f t="shared" si="2"/>
        <v>8203.125</v>
      </c>
      <c r="I14" s="12">
        <f>VLOOKUP(B14,Ordering!$A$1:$J$88,6,FALSE)</f>
        <v>1</v>
      </c>
      <c r="J14" s="203">
        <f>VLOOKUP(B14,Ordering!$A$1:$J$88,10,FALSE)</f>
        <v>0</v>
      </c>
      <c r="K14" s="18">
        <f t="shared" si="5"/>
        <v>8.203125</v>
      </c>
      <c r="L14" s="170">
        <f t="shared" si="6"/>
        <v>0</v>
      </c>
      <c r="M14" s="27">
        <v>6000</v>
      </c>
      <c r="R14" s="36" t="s">
        <v>66</v>
      </c>
      <c r="S14" s="37">
        <v>2</v>
      </c>
      <c r="V14" s="174"/>
    </row>
    <row r="15" spans="1:25" ht="15" thickBot="1" x14ac:dyDescent="0.4">
      <c r="A15" s="14" t="s">
        <v>38</v>
      </c>
      <c r="B15" s="14" t="s">
        <v>365</v>
      </c>
      <c r="C15" s="19" t="s">
        <v>5</v>
      </c>
      <c r="D15" s="18">
        <v>1</v>
      </c>
      <c r="E15" s="31">
        <f t="shared" si="0"/>
        <v>50</v>
      </c>
      <c r="F15" s="16">
        <v>1</v>
      </c>
      <c r="G15" s="15">
        <f t="shared" ref="G15" si="7">E15*D15</f>
        <v>50</v>
      </c>
      <c r="H15" s="15">
        <f t="shared" si="2"/>
        <v>50</v>
      </c>
      <c r="I15" s="14">
        <f>VLOOKUP(B15,Ordering!$A$1:$J$88,6,FALSE)</f>
        <v>1</v>
      </c>
      <c r="J15" s="167">
        <f>VLOOKUP(B15,Ordering!$A$1:$J$88,10,FALSE)</f>
        <v>0.25</v>
      </c>
      <c r="K15" s="52">
        <f t="shared" ref="K15" si="8">(H15/I15)</f>
        <v>50</v>
      </c>
      <c r="L15" s="170">
        <f t="shared" si="6"/>
        <v>12.5</v>
      </c>
      <c r="R15" s="38" t="s">
        <v>67</v>
      </c>
      <c r="S15" s="206">
        <f>S13+S14</f>
        <v>50</v>
      </c>
      <c r="T15" s="174"/>
      <c r="U15" s="174"/>
      <c r="V15" s="174"/>
    </row>
    <row r="16" spans="1:25" ht="14" customHeight="1" thickBot="1" x14ac:dyDescent="0.35">
      <c r="I16" s="150"/>
      <c r="J16" s="149"/>
      <c r="K16" s="150"/>
      <c r="L16" s="149"/>
      <c r="M16" s="164">
        <v>9690</v>
      </c>
      <c r="R16" s="40" t="s">
        <v>68</v>
      </c>
      <c r="S16" s="209"/>
    </row>
    <row r="17" spans="9:19" ht="14" customHeight="1" x14ac:dyDescent="0.3">
      <c r="I17" s="150"/>
      <c r="J17" s="149"/>
      <c r="K17" s="150"/>
      <c r="L17" s="149"/>
      <c r="R17" s="35" t="s">
        <v>69</v>
      </c>
      <c r="S17" s="41"/>
    </row>
    <row r="18" spans="9:19" ht="14" customHeight="1" x14ac:dyDescent="0.3">
      <c r="I18" s="150"/>
      <c r="J18" s="149"/>
      <c r="K18" s="150"/>
      <c r="L18" s="149"/>
      <c r="R18" s="35" t="s">
        <v>80</v>
      </c>
      <c r="S18" s="206">
        <f>SUM(L5:L15)</f>
        <v>40.259770042782733</v>
      </c>
    </row>
    <row r="19" spans="9:19" ht="14.75" customHeight="1" x14ac:dyDescent="0.3"/>
    <row r="20" spans="9:19" ht="14.75" customHeight="1" x14ac:dyDescent="0.3"/>
    <row r="21" spans="9:19" ht="14" customHeight="1" x14ac:dyDescent="0.3"/>
    <row r="22" spans="9:19" ht="18" customHeight="1" x14ac:dyDescent="0.3"/>
    <row r="23" spans="9:19" ht="18" customHeight="1" x14ac:dyDescent="0.3"/>
    <row r="24" spans="9:19" ht="85.25" customHeight="1" x14ac:dyDescent="0.3"/>
    <row r="25" spans="9:19" ht="14" customHeight="1" x14ac:dyDescent="0.3">
      <c r="M25" s="238"/>
      <c r="N25" s="239"/>
    </row>
    <row r="26" spans="9:19" ht="14" customHeight="1" x14ac:dyDescent="0.3">
      <c r="M26" s="42"/>
      <c r="N26" s="42"/>
    </row>
    <row r="27" spans="9:19" ht="14" customHeight="1" x14ac:dyDescent="0.3">
      <c r="M27" s="42"/>
      <c r="N27" s="43"/>
    </row>
    <row r="28" spans="9:19" ht="14" customHeight="1" x14ac:dyDescent="0.3">
      <c r="M28" s="42"/>
      <c r="N28" s="44"/>
    </row>
    <row r="29" spans="9:19" ht="14.25" customHeight="1" x14ac:dyDescent="0.3">
      <c r="M29" s="42"/>
      <c r="N29" s="44"/>
    </row>
    <row r="30" spans="9:19" ht="14" customHeight="1" x14ac:dyDescent="0.3">
      <c r="M30" s="42"/>
      <c r="N30" s="44"/>
    </row>
    <row r="31" spans="9:19" ht="13.25" customHeight="1" x14ac:dyDescent="0.3">
      <c r="M31" s="42"/>
      <c r="N31" s="44"/>
    </row>
    <row r="32" spans="9:19" ht="14" customHeight="1" x14ac:dyDescent="0.3">
      <c r="M32" s="42"/>
      <c r="N32" s="44"/>
    </row>
    <row r="33" spans="12:13" ht="14" customHeight="1" x14ac:dyDescent="0.3">
      <c r="L33" s="45"/>
      <c r="M33" s="46"/>
    </row>
    <row r="34" spans="12:13" ht="14" customHeight="1" x14ac:dyDescent="0.3">
      <c r="L34" s="42"/>
      <c r="M34" s="44"/>
    </row>
    <row r="36" spans="12:13" ht="18" customHeight="1" x14ac:dyDescent="0.3"/>
    <row r="37" spans="12:13" ht="18" customHeight="1" x14ac:dyDescent="0.3"/>
    <row r="38" spans="12:13" ht="18" customHeight="1" x14ac:dyDescent="0.3"/>
    <row r="43" spans="12:13" ht="24" customHeight="1" x14ac:dyDescent="0.3"/>
    <row r="44" spans="12:13" ht="29" customHeight="1" x14ac:dyDescent="0.3"/>
    <row r="56" spans="1:5" x14ac:dyDescent="0.3">
      <c r="A56" s="22"/>
      <c r="D56" s="22"/>
      <c r="E56" s="22"/>
    </row>
    <row r="57" spans="1:5" x14ac:dyDescent="0.3">
      <c r="A57" s="22"/>
      <c r="D57" s="22"/>
      <c r="E57" s="22"/>
    </row>
    <row r="58" spans="1:5" x14ac:dyDescent="0.3">
      <c r="A58" s="22"/>
      <c r="D58" s="22"/>
      <c r="E58" s="22"/>
    </row>
    <row r="59" spans="1:5" x14ac:dyDescent="0.3">
      <c r="A59" s="22"/>
      <c r="D59" s="22"/>
      <c r="E59" s="22"/>
    </row>
    <row r="60" spans="1:5" x14ac:dyDescent="0.3">
      <c r="A60" s="22"/>
      <c r="D60" s="22"/>
      <c r="E60" s="22"/>
    </row>
    <row r="61" spans="1:5" x14ac:dyDescent="0.3">
      <c r="A61" s="22"/>
      <c r="D61" s="22"/>
      <c r="E61" s="22"/>
    </row>
    <row r="62" spans="1:5" x14ac:dyDescent="0.3">
      <c r="A62" s="22"/>
      <c r="D62" s="22"/>
      <c r="E62" s="22"/>
    </row>
    <row r="63" spans="1:5" x14ac:dyDescent="0.3">
      <c r="A63" s="22"/>
      <c r="D63" s="22"/>
      <c r="E63" s="22"/>
    </row>
    <row r="64" spans="1:5" x14ac:dyDescent="0.3">
      <c r="A64" s="22"/>
      <c r="D64" s="22"/>
      <c r="E64" s="22"/>
    </row>
    <row r="65" spans="1:5" x14ac:dyDescent="0.3">
      <c r="A65" s="22"/>
      <c r="D65" s="22"/>
      <c r="E65" s="22"/>
    </row>
    <row r="66" spans="1:5" x14ac:dyDescent="0.3">
      <c r="A66" s="22"/>
      <c r="D66" s="22"/>
      <c r="E66" s="22"/>
    </row>
    <row r="67" spans="1:5" x14ac:dyDescent="0.3">
      <c r="A67" s="22"/>
      <c r="D67" s="22"/>
      <c r="E67" s="22"/>
    </row>
    <row r="68" spans="1:5" x14ac:dyDescent="0.3">
      <c r="A68" s="22"/>
      <c r="D68" s="22"/>
      <c r="E68" s="22"/>
    </row>
    <row r="69" spans="1:5" x14ac:dyDescent="0.3">
      <c r="A69" s="22"/>
      <c r="D69" s="22"/>
      <c r="E69" s="22"/>
    </row>
    <row r="70" spans="1:5" x14ac:dyDescent="0.3">
      <c r="A70" s="22"/>
      <c r="D70" s="22"/>
      <c r="E70" s="22"/>
    </row>
    <row r="71" spans="1:5" x14ac:dyDescent="0.3">
      <c r="A71" s="22"/>
      <c r="D71" s="22"/>
      <c r="E71" s="22"/>
    </row>
    <row r="72" spans="1:5" x14ac:dyDescent="0.3">
      <c r="A72" s="22"/>
      <c r="D72" s="22"/>
      <c r="E72" s="22"/>
    </row>
    <row r="73" spans="1:5" x14ac:dyDescent="0.3">
      <c r="A73" s="22"/>
      <c r="D73" s="22"/>
      <c r="E73" s="22"/>
    </row>
    <row r="74" spans="1:5" x14ac:dyDescent="0.3">
      <c r="A74" s="22"/>
      <c r="D74" s="22"/>
      <c r="E74" s="22"/>
    </row>
    <row r="75" spans="1:5" x14ac:dyDescent="0.3">
      <c r="A75" s="22"/>
      <c r="D75" s="22"/>
      <c r="E75" s="22"/>
    </row>
    <row r="76" spans="1:5" x14ac:dyDescent="0.3">
      <c r="A76" s="22"/>
      <c r="D76" s="22"/>
      <c r="E76" s="22"/>
    </row>
    <row r="77" spans="1:5" x14ac:dyDescent="0.3">
      <c r="A77" s="22"/>
      <c r="D77" s="22"/>
      <c r="E77" s="22"/>
    </row>
    <row r="78" spans="1:5" x14ac:dyDescent="0.3">
      <c r="A78" s="22"/>
      <c r="D78" s="22"/>
      <c r="E78" s="22"/>
    </row>
    <row r="79" spans="1:5" x14ac:dyDescent="0.3">
      <c r="A79" s="22"/>
      <c r="D79" s="22"/>
      <c r="E79" s="22"/>
    </row>
    <row r="80" spans="1:5" x14ac:dyDescent="0.3">
      <c r="A80" s="22"/>
      <c r="D80" s="22"/>
      <c r="E80" s="22"/>
    </row>
    <row r="81" spans="1:5" x14ac:dyDescent="0.3">
      <c r="A81" s="22"/>
      <c r="D81" s="22"/>
      <c r="E81" s="22"/>
    </row>
    <row r="82" spans="1:5" x14ac:dyDescent="0.3">
      <c r="A82" s="22"/>
      <c r="D82" s="22"/>
      <c r="E82" s="22"/>
    </row>
    <row r="83" spans="1:5" x14ac:dyDescent="0.3">
      <c r="A83" s="22"/>
      <c r="D83" s="22"/>
      <c r="E83" s="22"/>
    </row>
    <row r="84" spans="1:5" x14ac:dyDescent="0.3">
      <c r="A84" s="22"/>
      <c r="D84" s="22"/>
      <c r="E84" s="22"/>
    </row>
    <row r="85" spans="1:5" x14ac:dyDescent="0.3">
      <c r="A85" s="22"/>
      <c r="D85" s="22"/>
      <c r="E85" s="22"/>
    </row>
    <row r="86" spans="1:5" x14ac:dyDescent="0.3">
      <c r="A86" s="22"/>
      <c r="D86" s="22"/>
      <c r="E86" s="22"/>
    </row>
    <row r="87" spans="1:5" x14ac:dyDescent="0.3">
      <c r="A87" s="22"/>
      <c r="D87" s="22"/>
      <c r="E87" s="22"/>
    </row>
    <row r="88" spans="1:5" x14ac:dyDescent="0.3">
      <c r="A88" s="22"/>
      <c r="D88" s="22"/>
      <c r="E88" s="22"/>
    </row>
    <row r="89" spans="1:5" x14ac:dyDescent="0.3">
      <c r="A89" s="22"/>
      <c r="D89" s="22"/>
      <c r="E89" s="22"/>
    </row>
    <row r="90" spans="1:5" x14ac:dyDescent="0.3">
      <c r="A90" s="22"/>
      <c r="D90" s="22"/>
      <c r="E90" s="22"/>
    </row>
    <row r="91" spans="1:5" x14ac:dyDescent="0.3">
      <c r="A91" s="22"/>
      <c r="D91" s="22"/>
      <c r="E91" s="22"/>
    </row>
    <row r="92" spans="1:5" x14ac:dyDescent="0.3">
      <c r="A92" s="22"/>
      <c r="D92" s="22"/>
      <c r="E92" s="22"/>
    </row>
    <row r="93" spans="1:5" x14ac:dyDescent="0.3">
      <c r="A93" s="22"/>
      <c r="D93" s="22"/>
      <c r="E93" s="22"/>
    </row>
    <row r="94" spans="1:5" x14ac:dyDescent="0.3">
      <c r="A94" s="22"/>
      <c r="D94" s="22"/>
      <c r="E94" s="22"/>
    </row>
    <row r="95" spans="1:5" x14ac:dyDescent="0.3">
      <c r="A95" s="22"/>
      <c r="D95" s="22"/>
      <c r="E95" s="22"/>
    </row>
    <row r="96" spans="1:5" x14ac:dyDescent="0.3">
      <c r="A96" s="22"/>
      <c r="D96" s="22"/>
      <c r="E96" s="22"/>
    </row>
    <row r="97" spans="1:5" x14ac:dyDescent="0.3">
      <c r="A97" s="22"/>
      <c r="D97" s="22"/>
      <c r="E97" s="22"/>
    </row>
    <row r="98" spans="1:5" x14ac:dyDescent="0.3">
      <c r="A98" s="22"/>
      <c r="D98" s="22"/>
      <c r="E98" s="22"/>
    </row>
    <row r="99" spans="1:5" x14ac:dyDescent="0.3">
      <c r="A99" s="22"/>
      <c r="D99" s="22"/>
      <c r="E99" s="22"/>
    </row>
    <row r="100" spans="1:5" x14ac:dyDescent="0.3">
      <c r="A100" s="22"/>
      <c r="D100" s="22"/>
      <c r="E100" s="22"/>
    </row>
    <row r="101" spans="1:5" x14ac:dyDescent="0.3">
      <c r="A101" s="22"/>
      <c r="D101" s="22"/>
      <c r="E101" s="22"/>
    </row>
    <row r="102" spans="1:5" x14ac:dyDescent="0.3">
      <c r="A102" s="22"/>
      <c r="D102" s="22"/>
      <c r="E102" s="22"/>
    </row>
    <row r="103" spans="1:5" x14ac:dyDescent="0.3">
      <c r="A103" s="22"/>
      <c r="D103" s="22"/>
      <c r="E103" s="22"/>
    </row>
    <row r="104" spans="1:5" x14ac:dyDescent="0.3">
      <c r="A104" s="22"/>
      <c r="D104" s="22"/>
      <c r="E104" s="22"/>
    </row>
    <row r="105" spans="1:5" x14ac:dyDescent="0.3">
      <c r="A105" s="22"/>
      <c r="D105" s="22"/>
      <c r="E105" s="22"/>
    </row>
    <row r="106" spans="1:5" x14ac:dyDescent="0.3">
      <c r="A106" s="22"/>
      <c r="D106" s="22"/>
      <c r="E106" s="22"/>
    </row>
    <row r="107" spans="1:5" x14ac:dyDescent="0.3">
      <c r="A107" s="22"/>
      <c r="D107" s="22"/>
      <c r="E107" s="22"/>
    </row>
    <row r="108" spans="1:5" x14ac:dyDescent="0.3">
      <c r="A108" s="22"/>
      <c r="D108" s="22"/>
      <c r="E108" s="22"/>
    </row>
    <row r="109" spans="1:5" x14ac:dyDescent="0.3">
      <c r="A109" s="22"/>
      <c r="D109" s="22"/>
      <c r="E109" s="22"/>
    </row>
    <row r="110" spans="1:5" x14ac:dyDescent="0.3">
      <c r="A110" s="22"/>
      <c r="D110" s="22"/>
      <c r="E110" s="22"/>
    </row>
    <row r="111" spans="1:5" x14ac:dyDescent="0.3">
      <c r="A111" s="22"/>
      <c r="D111" s="22"/>
      <c r="E111" s="22"/>
    </row>
    <row r="112" spans="1:5" x14ac:dyDescent="0.3">
      <c r="A112" s="22"/>
      <c r="D112" s="22"/>
      <c r="E112" s="22"/>
    </row>
    <row r="113" spans="1:5" x14ac:dyDescent="0.3">
      <c r="A113" s="22"/>
      <c r="D113" s="22"/>
      <c r="E113" s="22"/>
    </row>
    <row r="114" spans="1:5" x14ac:dyDescent="0.3">
      <c r="A114" s="22"/>
      <c r="D114" s="22"/>
      <c r="E114" s="22"/>
    </row>
    <row r="115" spans="1:5" x14ac:dyDescent="0.3">
      <c r="A115" s="22"/>
      <c r="D115" s="22"/>
      <c r="E115" s="22"/>
    </row>
    <row r="116" spans="1:5" x14ac:dyDescent="0.3">
      <c r="A116" s="22"/>
      <c r="D116" s="22"/>
      <c r="E116" s="22"/>
    </row>
    <row r="117" spans="1:5" x14ac:dyDescent="0.3">
      <c r="A117" s="22"/>
      <c r="D117" s="22"/>
      <c r="E117" s="22"/>
    </row>
    <row r="118" spans="1:5" x14ac:dyDescent="0.3">
      <c r="A118" s="22"/>
      <c r="D118" s="22"/>
      <c r="E118" s="22"/>
    </row>
    <row r="119" spans="1:5" x14ac:dyDescent="0.3">
      <c r="A119" s="22"/>
      <c r="D119" s="22"/>
      <c r="E119" s="22"/>
    </row>
    <row r="120" spans="1:5" x14ac:dyDescent="0.3">
      <c r="A120" s="22"/>
      <c r="D120" s="22"/>
      <c r="E120" s="22"/>
    </row>
    <row r="121" spans="1:5" x14ac:dyDescent="0.3">
      <c r="A121" s="22"/>
      <c r="D121" s="22"/>
      <c r="E121" s="22"/>
    </row>
    <row r="122" spans="1:5" x14ac:dyDescent="0.3">
      <c r="A122" s="22"/>
      <c r="D122" s="22"/>
      <c r="E122" s="22"/>
    </row>
    <row r="123" spans="1:5" x14ac:dyDescent="0.3">
      <c r="A123" s="22"/>
      <c r="D123" s="22"/>
      <c r="E123" s="22"/>
    </row>
    <row r="124" spans="1:5" x14ac:dyDescent="0.3">
      <c r="A124" s="22"/>
      <c r="D124" s="22"/>
      <c r="E124" s="22"/>
    </row>
    <row r="125" spans="1:5" x14ac:dyDescent="0.3">
      <c r="A125" s="22"/>
      <c r="D125" s="22"/>
      <c r="E125" s="22"/>
    </row>
    <row r="126" spans="1:5" x14ac:dyDescent="0.3">
      <c r="A126" s="22"/>
      <c r="D126" s="22"/>
      <c r="E126" s="22"/>
    </row>
    <row r="127" spans="1:5" x14ac:dyDescent="0.3">
      <c r="A127" s="22"/>
      <c r="D127" s="22"/>
      <c r="E127" s="22"/>
    </row>
    <row r="128" spans="1:5" x14ac:dyDescent="0.3">
      <c r="A128" s="22"/>
      <c r="D128" s="22"/>
      <c r="E128" s="22"/>
    </row>
    <row r="129" spans="1:5" x14ac:dyDescent="0.3">
      <c r="A129" s="22"/>
      <c r="D129" s="22"/>
      <c r="E129" s="22"/>
    </row>
    <row r="130" spans="1:5" x14ac:dyDescent="0.3">
      <c r="A130" s="22"/>
      <c r="D130" s="22"/>
      <c r="E130" s="22"/>
    </row>
    <row r="131" spans="1:5" x14ac:dyDescent="0.3">
      <c r="A131" s="22"/>
      <c r="D131" s="22"/>
      <c r="E131" s="22"/>
    </row>
    <row r="132" spans="1:5" x14ac:dyDescent="0.3">
      <c r="A132" s="22"/>
      <c r="D132" s="22"/>
      <c r="E132" s="22"/>
    </row>
    <row r="133" spans="1:5" x14ac:dyDescent="0.3">
      <c r="A133" s="22"/>
      <c r="D133" s="22"/>
      <c r="E133" s="22"/>
    </row>
    <row r="134" spans="1:5" x14ac:dyDescent="0.3">
      <c r="A134" s="22"/>
      <c r="D134" s="22"/>
      <c r="E134" s="22"/>
    </row>
    <row r="135" spans="1:5" x14ac:dyDescent="0.3">
      <c r="A135" s="22"/>
      <c r="D135" s="22"/>
      <c r="E135" s="22"/>
    </row>
    <row r="136" spans="1:5" x14ac:dyDescent="0.3">
      <c r="A136" s="22"/>
      <c r="D136" s="22"/>
      <c r="E136" s="22"/>
    </row>
    <row r="137" spans="1:5" x14ac:dyDescent="0.3">
      <c r="A137" s="22"/>
      <c r="D137" s="22"/>
      <c r="E137" s="22"/>
    </row>
    <row r="138" spans="1:5" x14ac:dyDescent="0.3">
      <c r="A138" s="22"/>
      <c r="D138" s="22"/>
      <c r="E138" s="22"/>
    </row>
    <row r="139" spans="1:5" x14ac:dyDescent="0.3">
      <c r="A139" s="22"/>
      <c r="D139" s="22"/>
      <c r="E139" s="22"/>
    </row>
    <row r="140" spans="1:5" x14ac:dyDescent="0.3">
      <c r="A140" s="22"/>
      <c r="D140" s="22"/>
      <c r="E140" s="22"/>
    </row>
    <row r="141" spans="1:5" x14ac:dyDescent="0.3">
      <c r="A141" s="22"/>
      <c r="D141" s="22"/>
      <c r="E141" s="22"/>
    </row>
    <row r="142" spans="1:5" x14ac:dyDescent="0.3">
      <c r="A142" s="22"/>
      <c r="D142" s="22"/>
      <c r="E142" s="22"/>
    </row>
    <row r="143" spans="1:5" x14ac:dyDescent="0.3">
      <c r="A143" s="22"/>
      <c r="D143" s="22"/>
      <c r="E143" s="22"/>
    </row>
    <row r="144" spans="1:5" x14ac:dyDescent="0.3">
      <c r="A144" s="22"/>
      <c r="D144" s="22"/>
      <c r="E144" s="22"/>
    </row>
    <row r="145" spans="1:5" x14ac:dyDescent="0.3">
      <c r="A145" s="22"/>
      <c r="D145" s="22"/>
      <c r="E145" s="22"/>
    </row>
    <row r="146" spans="1:5" x14ac:dyDescent="0.3">
      <c r="A146" s="22"/>
      <c r="D146" s="22"/>
      <c r="E146" s="22"/>
    </row>
    <row r="147" spans="1:5" x14ac:dyDescent="0.3">
      <c r="A147" s="22"/>
      <c r="D147" s="22"/>
      <c r="E147" s="22"/>
    </row>
    <row r="148" spans="1:5" x14ac:dyDescent="0.3">
      <c r="A148" s="22"/>
      <c r="D148" s="22"/>
      <c r="E148" s="22"/>
    </row>
    <row r="149" spans="1:5" x14ac:dyDescent="0.3">
      <c r="A149" s="22"/>
      <c r="D149" s="22"/>
      <c r="E149" s="22"/>
    </row>
    <row r="150" spans="1:5" x14ac:dyDescent="0.3">
      <c r="A150" s="22"/>
      <c r="D150" s="22"/>
      <c r="E150" s="22"/>
    </row>
    <row r="151" spans="1:5" x14ac:dyDescent="0.3">
      <c r="A151" s="22"/>
      <c r="D151" s="22"/>
      <c r="E151" s="22"/>
    </row>
    <row r="152" spans="1:5" x14ac:dyDescent="0.3">
      <c r="A152" s="22"/>
      <c r="D152" s="22"/>
      <c r="E152" s="22"/>
    </row>
    <row r="153" spans="1:5" x14ac:dyDescent="0.3">
      <c r="A153" s="22"/>
      <c r="D153" s="22"/>
      <c r="E153" s="22"/>
    </row>
    <row r="154" spans="1:5" x14ac:dyDescent="0.3">
      <c r="A154" s="22"/>
      <c r="D154" s="22"/>
      <c r="E154" s="22"/>
    </row>
    <row r="155" spans="1:5" x14ac:dyDescent="0.3">
      <c r="A155" s="22"/>
      <c r="D155" s="22"/>
      <c r="E155" s="22"/>
    </row>
    <row r="156" spans="1:5" x14ac:dyDescent="0.3">
      <c r="A156" s="22"/>
      <c r="D156" s="22"/>
      <c r="E156" s="22"/>
    </row>
    <row r="157" spans="1:5" x14ac:dyDescent="0.3">
      <c r="A157" s="22"/>
      <c r="D157" s="22"/>
      <c r="E157" s="22"/>
    </row>
    <row r="158" spans="1:5" x14ac:dyDescent="0.3">
      <c r="A158" s="22"/>
      <c r="D158" s="22"/>
      <c r="E158" s="22"/>
    </row>
    <row r="159" spans="1:5" x14ac:dyDescent="0.3">
      <c r="A159" s="22"/>
      <c r="D159" s="22"/>
      <c r="E159" s="22"/>
    </row>
    <row r="160" spans="1:5" x14ac:dyDescent="0.3">
      <c r="A160" s="22"/>
      <c r="D160" s="22"/>
      <c r="E160" s="22"/>
    </row>
    <row r="161" spans="1:5" x14ac:dyDescent="0.3">
      <c r="A161" s="22"/>
      <c r="D161" s="22"/>
      <c r="E161" s="22"/>
    </row>
    <row r="162" spans="1:5" x14ac:dyDescent="0.3">
      <c r="A162" s="22"/>
      <c r="D162" s="22"/>
      <c r="E162" s="22"/>
    </row>
    <row r="163" spans="1:5" x14ac:dyDescent="0.3">
      <c r="A163" s="22"/>
      <c r="D163" s="22"/>
      <c r="E163" s="22"/>
    </row>
    <row r="164" spans="1:5" x14ac:dyDescent="0.3">
      <c r="A164" s="22"/>
      <c r="D164" s="22"/>
      <c r="E164" s="22"/>
    </row>
    <row r="165" spans="1:5" x14ac:dyDescent="0.3">
      <c r="A165" s="22"/>
      <c r="D165" s="22"/>
      <c r="E165" s="22"/>
    </row>
    <row r="166" spans="1:5" x14ac:dyDescent="0.3">
      <c r="A166" s="22"/>
      <c r="D166" s="22"/>
      <c r="E166" s="22"/>
    </row>
    <row r="167" spans="1:5" x14ac:dyDescent="0.3">
      <c r="A167" s="22"/>
      <c r="D167" s="22"/>
      <c r="E167" s="22"/>
    </row>
    <row r="168" spans="1:5" x14ac:dyDescent="0.3">
      <c r="A168" s="22"/>
      <c r="D168" s="22"/>
      <c r="E168" s="22"/>
    </row>
    <row r="169" spans="1:5" x14ac:dyDescent="0.3">
      <c r="A169" s="22"/>
      <c r="D169" s="22"/>
      <c r="E169" s="22"/>
    </row>
    <row r="170" spans="1:5" x14ac:dyDescent="0.3">
      <c r="A170" s="22"/>
      <c r="D170" s="22"/>
      <c r="E170" s="22"/>
    </row>
    <row r="171" spans="1:5" x14ac:dyDescent="0.3">
      <c r="A171" s="22"/>
      <c r="D171" s="22"/>
      <c r="E171" s="22"/>
    </row>
    <row r="172" spans="1:5" x14ac:dyDescent="0.3">
      <c r="A172" s="22"/>
      <c r="D172" s="22"/>
      <c r="E172" s="22"/>
    </row>
    <row r="173" spans="1:5" x14ac:dyDescent="0.3">
      <c r="A173" s="22"/>
      <c r="D173" s="22"/>
      <c r="E173" s="22"/>
    </row>
    <row r="174" spans="1:5" x14ac:dyDescent="0.3">
      <c r="A174" s="22"/>
      <c r="D174" s="22"/>
      <c r="E174" s="22"/>
    </row>
    <row r="175" spans="1:5" x14ac:dyDescent="0.3">
      <c r="A175" s="22"/>
      <c r="D175" s="22"/>
      <c r="E175" s="22"/>
    </row>
    <row r="176" spans="1:5" x14ac:dyDescent="0.3">
      <c r="A176" s="22"/>
      <c r="D176" s="22"/>
      <c r="E176" s="22"/>
    </row>
    <row r="177" spans="1:5" x14ac:dyDescent="0.3">
      <c r="A177" s="22"/>
      <c r="D177" s="22"/>
      <c r="E177" s="22"/>
    </row>
    <row r="178" spans="1:5" x14ac:dyDescent="0.3">
      <c r="A178" s="22"/>
      <c r="D178" s="22"/>
      <c r="E178" s="22"/>
    </row>
    <row r="179" spans="1:5" x14ac:dyDescent="0.3">
      <c r="A179" s="22"/>
      <c r="D179" s="22"/>
      <c r="E179" s="22"/>
    </row>
    <row r="180" spans="1:5" x14ac:dyDescent="0.3">
      <c r="A180" s="22"/>
      <c r="D180" s="22"/>
      <c r="E180" s="22"/>
    </row>
    <row r="181" spans="1:5" x14ac:dyDescent="0.3">
      <c r="A181" s="22"/>
      <c r="D181" s="22"/>
      <c r="E181" s="22"/>
    </row>
    <row r="182" spans="1:5" x14ac:dyDescent="0.3">
      <c r="A182" s="22"/>
      <c r="D182" s="22"/>
      <c r="E182" s="22"/>
    </row>
    <row r="183" spans="1:5" x14ac:dyDescent="0.3">
      <c r="A183" s="22"/>
      <c r="D183" s="22"/>
      <c r="E183" s="22"/>
    </row>
    <row r="184" spans="1:5" x14ac:dyDescent="0.3">
      <c r="A184" s="22"/>
      <c r="D184" s="22"/>
      <c r="E184" s="22"/>
    </row>
    <row r="185" spans="1:5" x14ac:dyDescent="0.3">
      <c r="A185" s="22"/>
      <c r="D185" s="22"/>
      <c r="E185" s="22"/>
    </row>
    <row r="186" spans="1:5" x14ac:dyDescent="0.3">
      <c r="A186" s="22"/>
      <c r="D186" s="22"/>
      <c r="E186" s="22"/>
    </row>
    <row r="187" spans="1:5" x14ac:dyDescent="0.3">
      <c r="A187" s="22"/>
      <c r="D187" s="22"/>
      <c r="E187" s="22"/>
    </row>
    <row r="188" spans="1:5" x14ac:dyDescent="0.3">
      <c r="A188" s="22"/>
      <c r="D188" s="22"/>
      <c r="E188" s="22"/>
    </row>
    <row r="189" spans="1:5" x14ac:dyDescent="0.3">
      <c r="A189" s="22"/>
      <c r="D189" s="22"/>
      <c r="E189" s="22"/>
    </row>
    <row r="190" spans="1:5" x14ac:dyDescent="0.3">
      <c r="A190" s="22"/>
      <c r="D190" s="22"/>
      <c r="E190" s="22"/>
    </row>
    <row r="191" spans="1:5" x14ac:dyDescent="0.3">
      <c r="A191" s="22"/>
      <c r="D191" s="22"/>
      <c r="E191" s="22"/>
    </row>
    <row r="192" spans="1:5" x14ac:dyDescent="0.3">
      <c r="A192" s="22"/>
      <c r="D192" s="22"/>
      <c r="E192" s="22"/>
    </row>
    <row r="193" spans="1:5" x14ac:dyDescent="0.3">
      <c r="A193" s="22"/>
      <c r="D193" s="22"/>
      <c r="E193" s="22"/>
    </row>
    <row r="194" spans="1:5" x14ac:dyDescent="0.3">
      <c r="A194" s="22"/>
      <c r="D194" s="22"/>
      <c r="E194" s="22"/>
    </row>
    <row r="195" spans="1:5" x14ac:dyDescent="0.3">
      <c r="A195" s="22"/>
      <c r="D195" s="22"/>
      <c r="E195" s="22"/>
    </row>
    <row r="196" spans="1:5" x14ac:dyDescent="0.3">
      <c r="A196" s="22"/>
      <c r="D196" s="22"/>
      <c r="E196" s="22"/>
    </row>
    <row r="197" spans="1:5" x14ac:dyDescent="0.3">
      <c r="A197" s="22"/>
      <c r="D197" s="22"/>
      <c r="E197" s="22"/>
    </row>
    <row r="198" spans="1:5" x14ac:dyDescent="0.3">
      <c r="A198" s="22"/>
      <c r="D198" s="22"/>
      <c r="E198" s="22"/>
    </row>
    <row r="199" spans="1:5" x14ac:dyDescent="0.3">
      <c r="A199" s="22"/>
      <c r="D199" s="22"/>
      <c r="E199" s="22"/>
    </row>
    <row r="200" spans="1:5" x14ac:dyDescent="0.3">
      <c r="A200" s="22"/>
      <c r="D200" s="22"/>
      <c r="E200" s="22"/>
    </row>
    <row r="201" spans="1:5" x14ac:dyDescent="0.3">
      <c r="A201" s="22"/>
      <c r="D201" s="22"/>
      <c r="E201" s="22"/>
    </row>
    <row r="202" spans="1:5" x14ac:dyDescent="0.3">
      <c r="A202" s="22"/>
      <c r="D202" s="22"/>
      <c r="E202" s="22"/>
    </row>
    <row r="203" spans="1:5" x14ac:dyDescent="0.3">
      <c r="A203" s="22"/>
      <c r="D203" s="22"/>
      <c r="E203" s="22"/>
    </row>
    <row r="204" spans="1:5" x14ac:dyDescent="0.3">
      <c r="A204" s="22"/>
      <c r="D204" s="22"/>
      <c r="E204" s="22"/>
    </row>
    <row r="205" spans="1:5" x14ac:dyDescent="0.3">
      <c r="A205" s="22"/>
      <c r="D205" s="22"/>
      <c r="E205" s="22"/>
    </row>
    <row r="206" spans="1:5" x14ac:dyDescent="0.3">
      <c r="A206" s="22"/>
      <c r="D206" s="22"/>
      <c r="E206" s="22"/>
    </row>
    <row r="207" spans="1:5" x14ac:dyDescent="0.3">
      <c r="A207" s="22"/>
      <c r="D207" s="22"/>
      <c r="E207" s="22"/>
    </row>
    <row r="208" spans="1:5" x14ac:dyDescent="0.3">
      <c r="A208" s="22"/>
      <c r="D208" s="22"/>
      <c r="E208" s="22"/>
    </row>
    <row r="209" spans="1:5" x14ac:dyDescent="0.3">
      <c r="A209" s="22"/>
      <c r="D209" s="22"/>
      <c r="E209" s="22"/>
    </row>
    <row r="210" spans="1:5" x14ac:dyDescent="0.3">
      <c r="A210" s="22"/>
      <c r="D210" s="22"/>
      <c r="E210" s="22"/>
    </row>
    <row r="211" spans="1:5" x14ac:dyDescent="0.3">
      <c r="A211" s="22"/>
      <c r="D211" s="22"/>
      <c r="E211" s="22"/>
    </row>
    <row r="212" spans="1:5" x14ac:dyDescent="0.3">
      <c r="A212" s="22"/>
      <c r="D212" s="22"/>
      <c r="E212" s="22"/>
    </row>
    <row r="213" spans="1:5" x14ac:dyDescent="0.3">
      <c r="A213" s="22"/>
      <c r="D213" s="22"/>
      <c r="E213" s="22"/>
    </row>
    <row r="214" spans="1:5" x14ac:dyDescent="0.3">
      <c r="A214" s="22"/>
      <c r="D214" s="22"/>
      <c r="E214" s="22"/>
    </row>
    <row r="215" spans="1:5" x14ac:dyDescent="0.3">
      <c r="A215" s="22"/>
      <c r="D215" s="22"/>
      <c r="E215" s="22"/>
    </row>
    <row r="216" spans="1:5" x14ac:dyDescent="0.3">
      <c r="A216" s="22"/>
      <c r="D216" s="22"/>
      <c r="E216" s="22"/>
    </row>
    <row r="217" spans="1:5" x14ac:dyDescent="0.3">
      <c r="A217" s="22"/>
      <c r="D217" s="22"/>
      <c r="E217" s="22"/>
    </row>
    <row r="218" spans="1:5" x14ac:dyDescent="0.3">
      <c r="A218" s="22"/>
      <c r="D218" s="22"/>
      <c r="E218" s="22"/>
    </row>
    <row r="219" spans="1:5" x14ac:dyDescent="0.3">
      <c r="A219" s="22"/>
      <c r="D219" s="22"/>
      <c r="E219" s="22"/>
    </row>
    <row r="220" spans="1:5" x14ac:dyDescent="0.3">
      <c r="A220" s="22"/>
      <c r="D220" s="22"/>
      <c r="E220" s="22"/>
    </row>
    <row r="221" spans="1:5" x14ac:dyDescent="0.3">
      <c r="A221" s="22"/>
      <c r="D221" s="22"/>
      <c r="E221" s="22"/>
    </row>
    <row r="222" spans="1:5" x14ac:dyDescent="0.3">
      <c r="A222" s="22"/>
      <c r="D222" s="22"/>
      <c r="E222" s="22"/>
    </row>
    <row r="223" spans="1:5" x14ac:dyDescent="0.3">
      <c r="A223" s="22"/>
      <c r="D223" s="22"/>
      <c r="E223" s="22"/>
    </row>
    <row r="224" spans="1:5" x14ac:dyDescent="0.3">
      <c r="A224" s="22"/>
      <c r="D224" s="22"/>
      <c r="E224" s="22"/>
    </row>
    <row r="225" spans="1:5" x14ac:dyDescent="0.3">
      <c r="A225" s="22"/>
      <c r="D225" s="22"/>
      <c r="E225" s="22"/>
    </row>
    <row r="226" spans="1:5" x14ac:dyDescent="0.3">
      <c r="A226" s="22"/>
      <c r="D226" s="22"/>
      <c r="E226" s="22"/>
    </row>
    <row r="227" spans="1:5" x14ac:dyDescent="0.3">
      <c r="A227" s="22"/>
      <c r="D227" s="22"/>
      <c r="E227" s="22"/>
    </row>
    <row r="228" spans="1:5" x14ac:dyDescent="0.3">
      <c r="A228" s="22"/>
      <c r="D228" s="22"/>
      <c r="E228" s="22"/>
    </row>
    <row r="229" spans="1:5" x14ac:dyDescent="0.3">
      <c r="A229" s="22"/>
      <c r="D229" s="22"/>
      <c r="E229" s="22"/>
    </row>
    <row r="230" spans="1:5" x14ac:dyDescent="0.3">
      <c r="A230" s="22"/>
      <c r="D230" s="22"/>
      <c r="E230" s="22"/>
    </row>
    <row r="231" spans="1:5" x14ac:dyDescent="0.3">
      <c r="A231" s="22"/>
      <c r="D231" s="22"/>
      <c r="E231" s="22"/>
    </row>
    <row r="232" spans="1:5" x14ac:dyDescent="0.3">
      <c r="A232" s="22"/>
      <c r="D232" s="22"/>
      <c r="E232" s="22"/>
    </row>
    <row r="233" spans="1:5" x14ac:dyDescent="0.3">
      <c r="A233" s="22"/>
      <c r="D233" s="22"/>
      <c r="E233" s="22"/>
    </row>
    <row r="234" spans="1:5" x14ac:dyDescent="0.3">
      <c r="A234" s="22"/>
      <c r="D234" s="22"/>
      <c r="E234" s="22"/>
    </row>
    <row r="235" spans="1:5" x14ac:dyDescent="0.3">
      <c r="A235" s="22"/>
      <c r="D235" s="22"/>
      <c r="E235" s="22"/>
    </row>
    <row r="236" spans="1:5" x14ac:dyDescent="0.3">
      <c r="A236" s="22"/>
      <c r="D236" s="22"/>
      <c r="E236" s="22"/>
    </row>
    <row r="237" spans="1:5" x14ac:dyDescent="0.3">
      <c r="A237" s="22"/>
      <c r="D237" s="22"/>
      <c r="E237" s="22"/>
    </row>
    <row r="238" spans="1:5" x14ac:dyDescent="0.3">
      <c r="A238" s="22"/>
      <c r="D238" s="22"/>
      <c r="E238" s="22"/>
    </row>
    <row r="239" spans="1:5" x14ac:dyDescent="0.3">
      <c r="A239" s="22"/>
      <c r="D239" s="22"/>
      <c r="E239" s="22"/>
    </row>
    <row r="240" spans="1:5" x14ac:dyDescent="0.3">
      <c r="A240" s="22"/>
      <c r="D240" s="22"/>
      <c r="E240" s="22"/>
    </row>
    <row r="241" spans="1:5" x14ac:dyDescent="0.3">
      <c r="A241" s="22"/>
      <c r="D241" s="22"/>
      <c r="E241" s="22"/>
    </row>
    <row r="242" spans="1:5" x14ac:dyDescent="0.3">
      <c r="A242" s="22"/>
      <c r="D242" s="22"/>
      <c r="E242" s="22"/>
    </row>
    <row r="243" spans="1:5" x14ac:dyDescent="0.3">
      <c r="A243" s="22"/>
      <c r="D243" s="22"/>
      <c r="E243" s="22"/>
    </row>
    <row r="244" spans="1:5" x14ac:dyDescent="0.3">
      <c r="A244" s="22"/>
      <c r="D244" s="22"/>
      <c r="E244" s="22"/>
    </row>
    <row r="245" spans="1:5" x14ac:dyDescent="0.3">
      <c r="A245" s="22"/>
      <c r="D245" s="22"/>
      <c r="E245" s="22"/>
    </row>
    <row r="246" spans="1:5" x14ac:dyDescent="0.3">
      <c r="A246" s="22"/>
      <c r="D246" s="22"/>
      <c r="E246" s="22"/>
    </row>
    <row r="247" spans="1:5" x14ac:dyDescent="0.3">
      <c r="A247" s="22"/>
      <c r="D247" s="22"/>
      <c r="E247" s="22"/>
    </row>
    <row r="248" spans="1:5" x14ac:dyDescent="0.3">
      <c r="A248" s="22"/>
      <c r="D248" s="22"/>
      <c r="E248" s="22"/>
    </row>
    <row r="249" spans="1:5" x14ac:dyDescent="0.3">
      <c r="A249" s="22"/>
      <c r="D249" s="22"/>
      <c r="E249" s="22"/>
    </row>
    <row r="250" spans="1:5" x14ac:dyDescent="0.3">
      <c r="A250" s="22"/>
      <c r="D250" s="22"/>
      <c r="E250" s="22"/>
    </row>
    <row r="251" spans="1:5" x14ac:dyDescent="0.3">
      <c r="A251" s="22"/>
      <c r="D251" s="22"/>
      <c r="E251" s="22"/>
    </row>
    <row r="252" spans="1:5" x14ac:dyDescent="0.3">
      <c r="A252" s="22"/>
      <c r="D252" s="22"/>
      <c r="E252" s="22"/>
    </row>
    <row r="253" spans="1:5" x14ac:dyDescent="0.3">
      <c r="A253" s="22"/>
      <c r="D253" s="22"/>
      <c r="E253" s="22"/>
    </row>
    <row r="254" spans="1:5" x14ac:dyDescent="0.3">
      <c r="A254" s="22"/>
      <c r="D254" s="22"/>
      <c r="E254" s="22"/>
    </row>
    <row r="255" spans="1:5" x14ac:dyDescent="0.3">
      <c r="A255" s="22"/>
      <c r="D255" s="22"/>
      <c r="E255" s="22"/>
    </row>
    <row r="256" spans="1:5" x14ac:dyDescent="0.3">
      <c r="A256" s="22"/>
      <c r="D256" s="22"/>
      <c r="E256" s="22"/>
    </row>
    <row r="257" spans="1:5" x14ac:dyDescent="0.3">
      <c r="A257" s="22"/>
      <c r="D257" s="22"/>
      <c r="E257" s="22"/>
    </row>
    <row r="258" spans="1:5" x14ac:dyDescent="0.3">
      <c r="A258" s="22"/>
      <c r="D258" s="22"/>
      <c r="E258" s="22"/>
    </row>
    <row r="259" spans="1:5" x14ac:dyDescent="0.3">
      <c r="A259" s="22"/>
      <c r="D259" s="22"/>
      <c r="E259" s="22"/>
    </row>
    <row r="260" spans="1:5" x14ac:dyDescent="0.3">
      <c r="A260" s="22"/>
      <c r="D260" s="22"/>
      <c r="E260" s="22"/>
    </row>
    <row r="261" spans="1:5" x14ac:dyDescent="0.3">
      <c r="A261" s="22"/>
      <c r="D261" s="22"/>
      <c r="E261" s="22"/>
    </row>
    <row r="262" spans="1:5" x14ac:dyDescent="0.3">
      <c r="A262" s="22"/>
      <c r="D262" s="22"/>
      <c r="E262" s="22"/>
    </row>
    <row r="263" spans="1:5" x14ac:dyDescent="0.3">
      <c r="A263" s="22"/>
      <c r="D263" s="22"/>
      <c r="E263" s="22"/>
    </row>
    <row r="264" spans="1:5" x14ac:dyDescent="0.3">
      <c r="A264" s="22"/>
      <c r="D264" s="22"/>
      <c r="E264" s="22"/>
    </row>
    <row r="265" spans="1:5" x14ac:dyDescent="0.3">
      <c r="A265" s="22"/>
      <c r="D265" s="22"/>
      <c r="E265" s="22"/>
    </row>
    <row r="266" spans="1:5" x14ac:dyDescent="0.3">
      <c r="A266" s="22"/>
      <c r="D266" s="22"/>
      <c r="E266" s="22"/>
    </row>
    <row r="267" spans="1:5" x14ac:dyDescent="0.3">
      <c r="A267" s="22"/>
      <c r="D267" s="22"/>
      <c r="E267" s="22"/>
    </row>
    <row r="268" spans="1:5" x14ac:dyDescent="0.3">
      <c r="A268" s="22"/>
      <c r="D268" s="22"/>
      <c r="E268" s="22"/>
    </row>
    <row r="269" spans="1:5" x14ac:dyDescent="0.3">
      <c r="A269" s="22"/>
      <c r="D269" s="22"/>
      <c r="E269" s="22"/>
    </row>
    <row r="270" spans="1:5" x14ac:dyDescent="0.3">
      <c r="A270" s="22"/>
      <c r="D270" s="22"/>
      <c r="E270" s="22"/>
    </row>
    <row r="271" spans="1:5" x14ac:dyDescent="0.3">
      <c r="A271" s="22"/>
      <c r="D271" s="22"/>
      <c r="E271" s="22"/>
    </row>
    <row r="272" spans="1:5" x14ac:dyDescent="0.3">
      <c r="A272" s="22"/>
      <c r="D272" s="22"/>
      <c r="E272" s="22"/>
    </row>
    <row r="273" spans="1:5" x14ac:dyDescent="0.3">
      <c r="A273" s="22"/>
      <c r="D273" s="22"/>
      <c r="E273" s="22"/>
    </row>
    <row r="274" spans="1:5" x14ac:dyDescent="0.3">
      <c r="A274" s="22"/>
      <c r="D274" s="22"/>
      <c r="E274" s="22"/>
    </row>
    <row r="275" spans="1:5" x14ac:dyDescent="0.3">
      <c r="A275" s="22"/>
      <c r="D275" s="22"/>
      <c r="E275" s="22"/>
    </row>
    <row r="276" spans="1:5" x14ac:dyDescent="0.3">
      <c r="A276" s="22"/>
      <c r="D276" s="22"/>
      <c r="E276" s="22"/>
    </row>
    <row r="277" spans="1:5" x14ac:dyDescent="0.3">
      <c r="A277" s="22"/>
      <c r="D277" s="22"/>
      <c r="E277" s="22"/>
    </row>
    <row r="278" spans="1:5" x14ac:dyDescent="0.3">
      <c r="A278" s="22"/>
      <c r="D278" s="22"/>
      <c r="E278" s="22"/>
    </row>
    <row r="279" spans="1:5" x14ac:dyDescent="0.3">
      <c r="A279" s="22"/>
      <c r="D279" s="22"/>
      <c r="E279" s="22"/>
    </row>
    <row r="280" spans="1:5" x14ac:dyDescent="0.3">
      <c r="A280" s="22"/>
      <c r="D280" s="22"/>
      <c r="E280" s="22"/>
    </row>
    <row r="281" spans="1:5" x14ac:dyDescent="0.3">
      <c r="A281" s="22"/>
      <c r="D281" s="22"/>
      <c r="E281" s="22"/>
    </row>
    <row r="282" spans="1:5" x14ac:dyDescent="0.3">
      <c r="A282" s="22"/>
      <c r="D282" s="22"/>
      <c r="E282" s="22"/>
    </row>
    <row r="283" spans="1:5" x14ac:dyDescent="0.3">
      <c r="A283" s="22"/>
      <c r="D283" s="22"/>
      <c r="E283" s="22"/>
    </row>
    <row r="284" spans="1:5" x14ac:dyDescent="0.3">
      <c r="A284" s="22"/>
      <c r="D284" s="22"/>
      <c r="E284" s="22"/>
    </row>
    <row r="285" spans="1:5" x14ac:dyDescent="0.3">
      <c r="A285" s="22"/>
      <c r="D285" s="22"/>
      <c r="E285" s="22"/>
    </row>
    <row r="286" spans="1:5" x14ac:dyDescent="0.3">
      <c r="A286" s="22"/>
      <c r="D286" s="22"/>
      <c r="E286" s="22"/>
    </row>
    <row r="287" spans="1:5" x14ac:dyDescent="0.3">
      <c r="A287" s="22"/>
      <c r="D287" s="22"/>
      <c r="E287" s="22"/>
    </row>
    <row r="288" spans="1:5" x14ac:dyDescent="0.3">
      <c r="A288" s="22"/>
      <c r="D288" s="22"/>
      <c r="E288" s="22"/>
    </row>
    <row r="289" spans="1:5" x14ac:dyDescent="0.3">
      <c r="A289" s="22"/>
      <c r="D289" s="22"/>
      <c r="E289" s="22"/>
    </row>
    <row r="290" spans="1:5" x14ac:dyDescent="0.3">
      <c r="A290" s="22"/>
      <c r="D290" s="22"/>
      <c r="E290" s="22"/>
    </row>
    <row r="291" spans="1:5" x14ac:dyDescent="0.3">
      <c r="A291" s="22"/>
      <c r="D291" s="22"/>
      <c r="E291" s="22"/>
    </row>
    <row r="292" spans="1:5" x14ac:dyDescent="0.3">
      <c r="A292" s="22"/>
      <c r="D292" s="22"/>
      <c r="E292" s="22"/>
    </row>
    <row r="293" spans="1:5" x14ac:dyDescent="0.3">
      <c r="A293" s="22"/>
      <c r="D293" s="22"/>
      <c r="E293" s="22"/>
    </row>
    <row r="294" spans="1:5" x14ac:dyDescent="0.3">
      <c r="A294" s="22"/>
      <c r="D294" s="22"/>
      <c r="E294" s="22"/>
    </row>
    <row r="295" spans="1:5" x14ac:dyDescent="0.3">
      <c r="A295" s="22"/>
      <c r="D295" s="22"/>
      <c r="E295" s="22"/>
    </row>
    <row r="296" spans="1:5" x14ac:dyDescent="0.3">
      <c r="A296" s="22"/>
      <c r="D296" s="22"/>
      <c r="E296" s="22"/>
    </row>
    <row r="297" spans="1:5" x14ac:dyDescent="0.3">
      <c r="A297" s="22"/>
      <c r="D297" s="22"/>
      <c r="E297" s="22"/>
    </row>
    <row r="298" spans="1:5" x14ac:dyDescent="0.3">
      <c r="A298" s="22"/>
      <c r="D298" s="22"/>
      <c r="E298" s="22"/>
    </row>
    <row r="299" spans="1:5" x14ac:dyDescent="0.3">
      <c r="A299" s="22"/>
      <c r="D299" s="22"/>
      <c r="E299" s="22"/>
    </row>
    <row r="300" spans="1:5" x14ac:dyDescent="0.3">
      <c r="A300" s="22"/>
      <c r="D300" s="22"/>
      <c r="E300" s="22"/>
    </row>
    <row r="301" spans="1:5" x14ac:dyDescent="0.3">
      <c r="A301" s="22"/>
      <c r="D301" s="22"/>
      <c r="E301" s="22"/>
    </row>
    <row r="302" spans="1:5" x14ac:dyDescent="0.3">
      <c r="A302" s="22"/>
      <c r="D302" s="22"/>
      <c r="E302" s="22"/>
    </row>
    <row r="303" spans="1:5" x14ac:dyDescent="0.3">
      <c r="A303" s="22"/>
      <c r="D303" s="22"/>
      <c r="E303" s="22"/>
    </row>
    <row r="304" spans="1:5" x14ac:dyDescent="0.3">
      <c r="A304" s="22"/>
      <c r="D304" s="22"/>
      <c r="E304" s="22"/>
    </row>
    <row r="305" spans="1:5" x14ac:dyDescent="0.3">
      <c r="A305" s="22"/>
      <c r="D305" s="22"/>
      <c r="E305" s="22"/>
    </row>
    <row r="306" spans="1:5" x14ac:dyDescent="0.3">
      <c r="A306" s="22"/>
      <c r="D306" s="22"/>
      <c r="E306" s="22"/>
    </row>
    <row r="307" spans="1:5" x14ac:dyDescent="0.3">
      <c r="A307" s="22"/>
      <c r="D307" s="22"/>
      <c r="E307" s="22"/>
    </row>
    <row r="308" spans="1:5" x14ac:dyDescent="0.3">
      <c r="A308" s="22"/>
      <c r="D308" s="22"/>
      <c r="E308" s="22"/>
    </row>
    <row r="309" spans="1:5" x14ac:dyDescent="0.3">
      <c r="A309" s="22"/>
      <c r="D309" s="22"/>
      <c r="E309" s="22"/>
    </row>
    <row r="310" spans="1:5" x14ac:dyDescent="0.3">
      <c r="A310" s="22"/>
      <c r="D310" s="22"/>
      <c r="E310" s="22"/>
    </row>
    <row r="311" spans="1:5" x14ac:dyDescent="0.3">
      <c r="A311" s="22"/>
      <c r="D311" s="22"/>
      <c r="E311" s="22"/>
    </row>
    <row r="312" spans="1:5" x14ac:dyDescent="0.3">
      <c r="A312" s="22"/>
      <c r="D312" s="22"/>
      <c r="E312" s="22"/>
    </row>
    <row r="313" spans="1:5" x14ac:dyDescent="0.3">
      <c r="A313" s="22"/>
      <c r="D313" s="22"/>
      <c r="E313" s="22"/>
    </row>
    <row r="314" spans="1:5" x14ac:dyDescent="0.3">
      <c r="A314" s="22"/>
      <c r="D314" s="22"/>
      <c r="E314" s="22"/>
    </row>
    <row r="315" spans="1:5" x14ac:dyDescent="0.3">
      <c r="A315" s="22"/>
      <c r="D315" s="22"/>
      <c r="E315" s="22"/>
    </row>
    <row r="316" spans="1:5" x14ac:dyDescent="0.3">
      <c r="A316" s="22"/>
      <c r="D316" s="22"/>
      <c r="E316" s="22"/>
    </row>
    <row r="317" spans="1:5" x14ac:dyDescent="0.3">
      <c r="A317" s="22"/>
      <c r="D317" s="22"/>
      <c r="E317" s="22"/>
    </row>
    <row r="318" spans="1:5" x14ac:dyDescent="0.3">
      <c r="A318" s="22"/>
      <c r="D318" s="22"/>
      <c r="E318" s="22"/>
    </row>
    <row r="319" spans="1:5" x14ac:dyDescent="0.3">
      <c r="A319" s="22"/>
      <c r="D319" s="22"/>
      <c r="E319" s="22"/>
    </row>
    <row r="320" spans="1:5" x14ac:dyDescent="0.3">
      <c r="A320" s="22"/>
      <c r="D320" s="22"/>
      <c r="E320" s="22"/>
    </row>
    <row r="321" spans="1:5" x14ac:dyDescent="0.3">
      <c r="A321" s="22"/>
      <c r="D321" s="22"/>
      <c r="E321" s="22"/>
    </row>
    <row r="322" spans="1:5" x14ac:dyDescent="0.3">
      <c r="A322" s="22"/>
      <c r="D322" s="22"/>
      <c r="E322" s="22"/>
    </row>
    <row r="323" spans="1:5" x14ac:dyDescent="0.3">
      <c r="A323" s="22"/>
      <c r="D323" s="22"/>
      <c r="E323" s="22"/>
    </row>
    <row r="324" spans="1:5" x14ac:dyDescent="0.3">
      <c r="A324" s="22"/>
      <c r="D324" s="22"/>
      <c r="E324" s="22"/>
    </row>
    <row r="325" spans="1:5" x14ac:dyDescent="0.3">
      <c r="A325" s="22"/>
      <c r="D325" s="22"/>
      <c r="E325" s="22"/>
    </row>
    <row r="326" spans="1:5" x14ac:dyDescent="0.3">
      <c r="A326" s="22"/>
      <c r="D326" s="22"/>
      <c r="E326" s="22"/>
    </row>
    <row r="327" spans="1:5" x14ac:dyDescent="0.3">
      <c r="A327" s="22"/>
      <c r="D327" s="22"/>
      <c r="E327" s="22"/>
    </row>
    <row r="328" spans="1:5" x14ac:dyDescent="0.3">
      <c r="A328" s="22"/>
      <c r="D328" s="22"/>
      <c r="E328" s="22"/>
    </row>
    <row r="329" spans="1:5" x14ac:dyDescent="0.3">
      <c r="A329" s="22"/>
      <c r="D329" s="22"/>
      <c r="E329" s="22"/>
    </row>
    <row r="330" spans="1:5" x14ac:dyDescent="0.3">
      <c r="A330" s="22"/>
      <c r="D330" s="22"/>
      <c r="E330" s="22"/>
    </row>
    <row r="331" spans="1:5" x14ac:dyDescent="0.3">
      <c r="A331" s="22"/>
      <c r="D331" s="22"/>
      <c r="E331" s="22"/>
    </row>
    <row r="332" spans="1:5" x14ac:dyDescent="0.3">
      <c r="A332" s="22"/>
      <c r="D332" s="22"/>
      <c r="E332" s="22"/>
    </row>
    <row r="333" spans="1:5" x14ac:dyDescent="0.3">
      <c r="A333" s="22"/>
      <c r="D333" s="22"/>
      <c r="E333" s="22"/>
    </row>
    <row r="334" spans="1:5" x14ac:dyDescent="0.3">
      <c r="A334" s="22"/>
      <c r="D334" s="22"/>
      <c r="E334" s="22"/>
    </row>
    <row r="335" spans="1:5" x14ac:dyDescent="0.3">
      <c r="A335" s="22"/>
      <c r="D335" s="22"/>
      <c r="E335" s="22"/>
    </row>
    <row r="336" spans="1:5" x14ac:dyDescent="0.3">
      <c r="A336" s="22"/>
      <c r="D336" s="22"/>
      <c r="E336" s="22"/>
    </row>
    <row r="337" spans="1:5" x14ac:dyDescent="0.3">
      <c r="A337" s="22"/>
      <c r="D337" s="22"/>
      <c r="E337" s="22"/>
    </row>
    <row r="338" spans="1:5" x14ac:dyDescent="0.3">
      <c r="A338" s="22"/>
      <c r="D338" s="22"/>
      <c r="E338" s="22"/>
    </row>
    <row r="339" spans="1:5" x14ac:dyDescent="0.3">
      <c r="A339" s="22"/>
      <c r="D339" s="22"/>
      <c r="E339" s="22"/>
    </row>
    <row r="340" spans="1:5" x14ac:dyDescent="0.3">
      <c r="A340" s="22"/>
      <c r="D340" s="22"/>
      <c r="E340" s="22"/>
    </row>
    <row r="341" spans="1:5" x14ac:dyDescent="0.3">
      <c r="A341" s="22"/>
      <c r="D341" s="22"/>
      <c r="E341" s="22"/>
    </row>
    <row r="342" spans="1:5" x14ac:dyDescent="0.3">
      <c r="A342" s="22"/>
      <c r="D342" s="22"/>
      <c r="E342" s="22"/>
    </row>
    <row r="343" spans="1:5" x14ac:dyDescent="0.3">
      <c r="A343" s="22"/>
      <c r="D343" s="22"/>
      <c r="E343" s="22"/>
    </row>
    <row r="344" spans="1:5" x14ac:dyDescent="0.3">
      <c r="A344" s="22"/>
      <c r="D344" s="22"/>
      <c r="E344" s="22"/>
    </row>
    <row r="345" spans="1:5" x14ac:dyDescent="0.3">
      <c r="A345" s="22"/>
      <c r="D345" s="22"/>
      <c r="E345" s="22"/>
    </row>
    <row r="346" spans="1:5" x14ac:dyDescent="0.3">
      <c r="A346" s="22"/>
      <c r="D346" s="22"/>
      <c r="E346" s="22"/>
    </row>
    <row r="347" spans="1:5" x14ac:dyDescent="0.3">
      <c r="A347" s="22"/>
      <c r="D347" s="22"/>
      <c r="E347" s="22"/>
    </row>
    <row r="348" spans="1:5" x14ac:dyDescent="0.3">
      <c r="A348" s="22"/>
      <c r="D348" s="22"/>
      <c r="E348" s="22"/>
    </row>
    <row r="349" spans="1:5" x14ac:dyDescent="0.3">
      <c r="A349" s="22"/>
      <c r="D349" s="22"/>
      <c r="E349" s="22"/>
    </row>
    <row r="350" spans="1:5" x14ac:dyDescent="0.3">
      <c r="A350" s="22"/>
      <c r="D350" s="22"/>
      <c r="E350" s="22"/>
    </row>
    <row r="351" spans="1:5" x14ac:dyDescent="0.3">
      <c r="A351" s="22"/>
      <c r="D351" s="22"/>
      <c r="E351" s="22"/>
    </row>
    <row r="352" spans="1:5" x14ac:dyDescent="0.3">
      <c r="A352" s="22"/>
      <c r="D352" s="22"/>
      <c r="E352" s="22"/>
    </row>
    <row r="353" spans="1:5" x14ac:dyDescent="0.3">
      <c r="A353" s="22"/>
      <c r="D353" s="22"/>
      <c r="E353" s="22"/>
    </row>
    <row r="354" spans="1:5" x14ac:dyDescent="0.3">
      <c r="A354" s="22"/>
      <c r="D354" s="22"/>
      <c r="E354" s="22"/>
    </row>
    <row r="355" spans="1:5" x14ac:dyDescent="0.3">
      <c r="A355" s="22"/>
      <c r="D355" s="22"/>
      <c r="E355" s="22"/>
    </row>
    <row r="356" spans="1:5" x14ac:dyDescent="0.3">
      <c r="A356" s="22"/>
      <c r="D356" s="22"/>
      <c r="E356" s="22"/>
    </row>
    <row r="357" spans="1:5" x14ac:dyDescent="0.3">
      <c r="A357" s="22"/>
      <c r="D357" s="22"/>
      <c r="E357" s="22"/>
    </row>
    <row r="358" spans="1:5" x14ac:dyDescent="0.3">
      <c r="A358" s="22"/>
      <c r="D358" s="22"/>
      <c r="E358" s="22"/>
    </row>
    <row r="359" spans="1:5" x14ac:dyDescent="0.3">
      <c r="A359" s="22"/>
      <c r="D359" s="22"/>
      <c r="E359" s="22"/>
    </row>
    <row r="360" spans="1:5" x14ac:dyDescent="0.3">
      <c r="A360" s="22"/>
      <c r="D360" s="22"/>
      <c r="E360" s="22"/>
    </row>
    <row r="361" spans="1:5" x14ac:dyDescent="0.3">
      <c r="A361" s="22"/>
      <c r="D361" s="22"/>
      <c r="E361" s="22"/>
    </row>
    <row r="362" spans="1:5" x14ac:dyDescent="0.3">
      <c r="A362" s="22"/>
      <c r="D362" s="22"/>
      <c r="E362" s="22"/>
    </row>
    <row r="363" spans="1:5" x14ac:dyDescent="0.3">
      <c r="A363" s="22"/>
      <c r="D363" s="22"/>
      <c r="E363" s="22"/>
    </row>
    <row r="364" spans="1:5" x14ac:dyDescent="0.3">
      <c r="A364" s="22"/>
      <c r="D364" s="22"/>
      <c r="E364" s="22"/>
    </row>
    <row r="365" spans="1:5" x14ac:dyDescent="0.3">
      <c r="A365" s="22"/>
      <c r="D365" s="22"/>
      <c r="E365" s="22"/>
    </row>
    <row r="366" spans="1:5" x14ac:dyDescent="0.3">
      <c r="A366" s="22"/>
      <c r="D366" s="22"/>
      <c r="E366" s="22"/>
    </row>
    <row r="367" spans="1:5" x14ac:dyDescent="0.3">
      <c r="A367" s="22"/>
      <c r="D367" s="22"/>
      <c r="E367" s="22"/>
    </row>
    <row r="368" spans="1:5" x14ac:dyDescent="0.3">
      <c r="A368" s="22"/>
      <c r="D368" s="22"/>
      <c r="E368" s="22"/>
    </row>
    <row r="369" spans="1:5" x14ac:dyDescent="0.3">
      <c r="A369" s="22"/>
      <c r="D369" s="22"/>
      <c r="E369" s="22"/>
    </row>
    <row r="370" spans="1:5" x14ac:dyDescent="0.3">
      <c r="A370" s="22"/>
      <c r="D370" s="22"/>
      <c r="E370" s="22"/>
    </row>
    <row r="371" spans="1:5" x14ac:dyDescent="0.3">
      <c r="A371" s="22"/>
      <c r="D371" s="22"/>
      <c r="E371" s="22"/>
    </row>
    <row r="372" spans="1:5" x14ac:dyDescent="0.3">
      <c r="A372" s="22"/>
      <c r="D372" s="22"/>
      <c r="E372" s="22"/>
    </row>
    <row r="373" spans="1:5" x14ac:dyDescent="0.3">
      <c r="A373" s="22"/>
      <c r="D373" s="22"/>
      <c r="E373" s="22"/>
    </row>
    <row r="374" spans="1:5" x14ac:dyDescent="0.3">
      <c r="A374" s="22"/>
      <c r="D374" s="22"/>
      <c r="E374" s="22"/>
    </row>
    <row r="375" spans="1:5" x14ac:dyDescent="0.3">
      <c r="A375" s="22"/>
      <c r="D375" s="22"/>
      <c r="E375" s="22"/>
    </row>
    <row r="376" spans="1:5" x14ac:dyDescent="0.3">
      <c r="A376" s="22"/>
      <c r="D376" s="22"/>
      <c r="E376" s="22"/>
    </row>
    <row r="377" spans="1:5" x14ac:dyDescent="0.3">
      <c r="A377" s="22"/>
      <c r="D377" s="22"/>
      <c r="E377" s="22"/>
    </row>
    <row r="378" spans="1:5" x14ac:dyDescent="0.3">
      <c r="A378" s="22"/>
      <c r="D378" s="22"/>
      <c r="E378" s="22"/>
    </row>
    <row r="379" spans="1:5" x14ac:dyDescent="0.3">
      <c r="A379" s="22"/>
      <c r="D379" s="22"/>
      <c r="E379" s="22"/>
    </row>
    <row r="380" spans="1:5" x14ac:dyDescent="0.3">
      <c r="A380" s="22"/>
      <c r="D380" s="22"/>
      <c r="E380" s="22"/>
    </row>
    <row r="381" spans="1:5" x14ac:dyDescent="0.3">
      <c r="A381" s="22"/>
      <c r="D381" s="22"/>
      <c r="E381" s="22"/>
    </row>
    <row r="382" spans="1:5" x14ac:dyDescent="0.3">
      <c r="A382" s="22"/>
      <c r="D382" s="22"/>
      <c r="E382" s="22"/>
    </row>
    <row r="383" spans="1:5" x14ac:dyDescent="0.3">
      <c r="A383" s="22"/>
      <c r="D383" s="22"/>
      <c r="E383" s="22"/>
    </row>
    <row r="384" spans="1:5" x14ac:dyDescent="0.3">
      <c r="A384" s="22"/>
      <c r="D384" s="22"/>
      <c r="E384" s="22"/>
    </row>
    <row r="385" spans="1:5" x14ac:dyDescent="0.3">
      <c r="A385" s="22"/>
      <c r="D385" s="22"/>
      <c r="E385" s="22"/>
    </row>
    <row r="386" spans="1:5" x14ac:dyDescent="0.3">
      <c r="A386" s="22"/>
      <c r="D386" s="22"/>
      <c r="E386" s="22"/>
    </row>
    <row r="387" spans="1:5" x14ac:dyDescent="0.3">
      <c r="A387" s="22"/>
      <c r="D387" s="22"/>
      <c r="E387" s="22"/>
    </row>
    <row r="388" spans="1:5" x14ac:dyDescent="0.3">
      <c r="A388" s="22"/>
      <c r="D388" s="22"/>
      <c r="E388" s="22"/>
    </row>
    <row r="389" spans="1:5" x14ac:dyDescent="0.3">
      <c r="A389" s="22"/>
      <c r="D389" s="22"/>
      <c r="E389" s="22"/>
    </row>
    <row r="390" spans="1:5" x14ac:dyDescent="0.3">
      <c r="A390" s="22"/>
      <c r="D390" s="22"/>
      <c r="E390" s="22"/>
    </row>
    <row r="391" spans="1:5" x14ac:dyDescent="0.3">
      <c r="A391" s="22"/>
      <c r="D391" s="22"/>
      <c r="E391" s="22"/>
    </row>
    <row r="392" spans="1:5" x14ac:dyDescent="0.3">
      <c r="A392" s="22"/>
      <c r="D392" s="22"/>
      <c r="E392" s="22"/>
    </row>
    <row r="393" spans="1:5" x14ac:dyDescent="0.3">
      <c r="A393" s="22"/>
      <c r="D393" s="22"/>
      <c r="E393" s="22"/>
    </row>
    <row r="394" spans="1:5" x14ac:dyDescent="0.3">
      <c r="A394" s="22"/>
      <c r="D394" s="22"/>
      <c r="E394" s="22"/>
    </row>
    <row r="395" spans="1:5" x14ac:dyDescent="0.3">
      <c r="A395" s="22"/>
      <c r="D395" s="22"/>
      <c r="E395" s="22"/>
    </row>
    <row r="396" spans="1:5" x14ac:dyDescent="0.3">
      <c r="A396" s="22"/>
      <c r="D396" s="22"/>
      <c r="E396" s="22"/>
    </row>
    <row r="397" spans="1:5" x14ac:dyDescent="0.3">
      <c r="A397" s="22"/>
      <c r="D397" s="22"/>
      <c r="E397" s="22"/>
    </row>
    <row r="398" spans="1:5" x14ac:dyDescent="0.3">
      <c r="A398" s="22"/>
      <c r="D398" s="22"/>
      <c r="E398" s="22"/>
    </row>
    <row r="399" spans="1:5" x14ac:dyDescent="0.3">
      <c r="A399" s="22"/>
      <c r="D399" s="22"/>
      <c r="E399" s="22"/>
    </row>
    <row r="400" spans="1:5" x14ac:dyDescent="0.3">
      <c r="A400" s="22"/>
      <c r="D400" s="22"/>
      <c r="E400" s="22"/>
    </row>
    <row r="401" spans="1:5" x14ac:dyDescent="0.3">
      <c r="A401" s="22"/>
      <c r="D401" s="22"/>
      <c r="E401" s="22"/>
    </row>
    <row r="402" spans="1:5" x14ac:dyDescent="0.3">
      <c r="A402" s="22"/>
      <c r="D402" s="22"/>
      <c r="E402" s="22"/>
    </row>
    <row r="403" spans="1:5" x14ac:dyDescent="0.3">
      <c r="A403" s="22"/>
      <c r="D403" s="22"/>
      <c r="E403" s="22"/>
    </row>
    <row r="404" spans="1:5" x14ac:dyDescent="0.3">
      <c r="A404" s="22"/>
      <c r="D404" s="22"/>
      <c r="E404" s="22"/>
    </row>
    <row r="405" spans="1:5" x14ac:dyDescent="0.3">
      <c r="A405" s="22"/>
      <c r="D405" s="22"/>
      <c r="E405" s="22"/>
    </row>
    <row r="406" spans="1:5" x14ac:dyDescent="0.3">
      <c r="A406" s="22"/>
      <c r="D406" s="22"/>
      <c r="E406" s="22"/>
    </row>
    <row r="407" spans="1:5" x14ac:dyDescent="0.3">
      <c r="A407" s="22"/>
      <c r="D407" s="22"/>
      <c r="E407" s="22"/>
    </row>
    <row r="408" spans="1:5" x14ac:dyDescent="0.3">
      <c r="A408" s="22"/>
      <c r="D408" s="22"/>
      <c r="E408" s="22"/>
    </row>
    <row r="409" spans="1:5" x14ac:dyDescent="0.3">
      <c r="A409" s="22"/>
      <c r="D409" s="22"/>
      <c r="E409" s="22"/>
    </row>
    <row r="410" spans="1:5" x14ac:dyDescent="0.3">
      <c r="A410" s="22"/>
      <c r="D410" s="22"/>
      <c r="E410" s="22"/>
    </row>
    <row r="411" spans="1:5" x14ac:dyDescent="0.3">
      <c r="A411" s="22"/>
      <c r="D411" s="22"/>
      <c r="E411" s="22"/>
    </row>
    <row r="412" spans="1:5" x14ac:dyDescent="0.3">
      <c r="A412" s="22"/>
      <c r="D412" s="22"/>
      <c r="E412" s="22"/>
    </row>
    <row r="413" spans="1:5" x14ac:dyDescent="0.3">
      <c r="A413" s="22"/>
      <c r="D413" s="22"/>
      <c r="E413" s="22"/>
    </row>
    <row r="414" spans="1:5" x14ac:dyDescent="0.3">
      <c r="A414" s="22"/>
      <c r="D414" s="22"/>
      <c r="E414" s="22"/>
    </row>
    <row r="415" spans="1:5" x14ac:dyDescent="0.3">
      <c r="A415" s="22"/>
      <c r="D415" s="22"/>
      <c r="E415" s="22"/>
    </row>
    <row r="416" spans="1:5" x14ac:dyDescent="0.3">
      <c r="A416" s="22"/>
      <c r="D416" s="22"/>
      <c r="E416" s="22"/>
    </row>
    <row r="417" spans="1:5" x14ac:dyDescent="0.3">
      <c r="A417" s="22"/>
      <c r="D417" s="22"/>
      <c r="E417" s="22"/>
    </row>
    <row r="418" spans="1:5" x14ac:dyDescent="0.3">
      <c r="A418" s="22"/>
      <c r="D418" s="22"/>
      <c r="E418" s="22"/>
    </row>
    <row r="419" spans="1:5" x14ac:dyDescent="0.3">
      <c r="A419" s="22"/>
      <c r="D419" s="22"/>
      <c r="E419" s="22"/>
    </row>
    <row r="420" spans="1:5" x14ac:dyDescent="0.3">
      <c r="A420" s="22"/>
      <c r="D420" s="22"/>
      <c r="E420" s="22"/>
    </row>
    <row r="421" spans="1:5" x14ac:dyDescent="0.3">
      <c r="A421" s="22"/>
      <c r="D421" s="22"/>
      <c r="E421" s="22"/>
    </row>
    <row r="422" spans="1:5" x14ac:dyDescent="0.3">
      <c r="A422" s="22"/>
      <c r="D422" s="22"/>
      <c r="E422" s="22"/>
    </row>
    <row r="423" spans="1:5" x14ac:dyDescent="0.3">
      <c r="A423" s="22"/>
      <c r="D423" s="22"/>
      <c r="E423" s="22"/>
    </row>
    <row r="424" spans="1:5" x14ac:dyDescent="0.3">
      <c r="A424" s="22"/>
      <c r="D424" s="22"/>
      <c r="E424" s="22"/>
    </row>
    <row r="425" spans="1:5" x14ac:dyDescent="0.3">
      <c r="A425" s="22"/>
      <c r="D425" s="22"/>
      <c r="E425" s="22"/>
    </row>
    <row r="426" spans="1:5" x14ac:dyDescent="0.3">
      <c r="A426" s="22"/>
      <c r="D426" s="22"/>
      <c r="E426" s="22"/>
    </row>
    <row r="427" spans="1:5" x14ac:dyDescent="0.3">
      <c r="A427" s="22"/>
      <c r="D427" s="22"/>
      <c r="E427" s="22"/>
    </row>
    <row r="428" spans="1:5" x14ac:dyDescent="0.3">
      <c r="A428" s="22"/>
      <c r="D428" s="22"/>
      <c r="E428" s="22"/>
    </row>
    <row r="429" spans="1:5" x14ac:dyDescent="0.3">
      <c r="A429" s="22"/>
      <c r="D429" s="22"/>
      <c r="E429" s="22"/>
    </row>
    <row r="430" spans="1:5" x14ac:dyDescent="0.3">
      <c r="A430" s="22"/>
      <c r="D430" s="22"/>
      <c r="E430" s="22"/>
    </row>
    <row r="431" spans="1:5" x14ac:dyDescent="0.3">
      <c r="A431" s="22"/>
      <c r="D431" s="22"/>
      <c r="E431" s="22"/>
    </row>
    <row r="432" spans="1:5" x14ac:dyDescent="0.3">
      <c r="A432" s="22"/>
      <c r="D432" s="22"/>
      <c r="E432" s="22"/>
    </row>
    <row r="433" spans="1:5" x14ac:dyDescent="0.3">
      <c r="A433" s="22"/>
      <c r="D433" s="22"/>
      <c r="E433" s="22"/>
    </row>
    <row r="434" spans="1:5" x14ac:dyDescent="0.3">
      <c r="A434" s="22"/>
      <c r="D434" s="22"/>
      <c r="E434" s="22"/>
    </row>
    <row r="435" spans="1:5" x14ac:dyDescent="0.3">
      <c r="A435" s="22"/>
      <c r="D435" s="22"/>
      <c r="E435" s="22"/>
    </row>
    <row r="436" spans="1:5" x14ac:dyDescent="0.3">
      <c r="A436" s="22"/>
      <c r="D436" s="22"/>
      <c r="E436" s="22"/>
    </row>
    <row r="437" spans="1:5" x14ac:dyDescent="0.3">
      <c r="A437" s="22"/>
      <c r="D437" s="22"/>
      <c r="E437" s="22"/>
    </row>
    <row r="438" spans="1:5" x14ac:dyDescent="0.3">
      <c r="A438" s="22"/>
      <c r="D438" s="22"/>
      <c r="E438" s="22"/>
    </row>
    <row r="439" spans="1:5" x14ac:dyDescent="0.3">
      <c r="A439" s="22"/>
      <c r="D439" s="22"/>
      <c r="E439" s="22"/>
    </row>
    <row r="440" spans="1:5" x14ac:dyDescent="0.3">
      <c r="A440" s="22"/>
      <c r="D440" s="22"/>
      <c r="E440" s="22"/>
    </row>
    <row r="441" spans="1:5" x14ac:dyDescent="0.3">
      <c r="A441" s="22"/>
      <c r="D441" s="22"/>
      <c r="E441" s="22"/>
    </row>
    <row r="442" spans="1:5" x14ac:dyDescent="0.3">
      <c r="A442" s="22"/>
      <c r="D442" s="22"/>
      <c r="E442" s="22"/>
    </row>
    <row r="443" spans="1:5" x14ac:dyDescent="0.3">
      <c r="A443" s="22"/>
      <c r="D443" s="22"/>
      <c r="E443" s="22"/>
    </row>
    <row r="444" spans="1:5" x14ac:dyDescent="0.3">
      <c r="A444" s="22"/>
      <c r="D444" s="22"/>
      <c r="E444" s="22"/>
    </row>
    <row r="445" spans="1:5" x14ac:dyDescent="0.3">
      <c r="A445" s="22"/>
      <c r="D445" s="22"/>
      <c r="E445" s="22"/>
    </row>
    <row r="446" spans="1:5" x14ac:dyDescent="0.3">
      <c r="A446" s="22"/>
      <c r="D446" s="22"/>
      <c r="E446" s="22"/>
    </row>
    <row r="447" spans="1:5" x14ac:dyDescent="0.3">
      <c r="A447" s="22"/>
      <c r="D447" s="22"/>
      <c r="E447" s="22"/>
    </row>
    <row r="448" spans="1:5" x14ac:dyDescent="0.3">
      <c r="A448" s="22"/>
      <c r="D448" s="22"/>
      <c r="E448" s="22"/>
    </row>
    <row r="449" spans="1:5" x14ac:dyDescent="0.3">
      <c r="A449" s="22"/>
      <c r="D449" s="22"/>
      <c r="E449" s="22"/>
    </row>
    <row r="450" spans="1:5" x14ac:dyDescent="0.3">
      <c r="A450" s="22"/>
      <c r="D450" s="22"/>
      <c r="E450" s="22"/>
    </row>
    <row r="451" spans="1:5" x14ac:dyDescent="0.3">
      <c r="A451" s="22"/>
      <c r="D451" s="22"/>
      <c r="E451" s="22"/>
    </row>
    <row r="452" spans="1:5" x14ac:dyDescent="0.3">
      <c r="A452" s="22"/>
      <c r="D452" s="22"/>
      <c r="E452" s="22"/>
    </row>
    <row r="453" spans="1:5" x14ac:dyDescent="0.3">
      <c r="A453" s="22"/>
      <c r="D453" s="22"/>
      <c r="E453" s="22"/>
    </row>
    <row r="454" spans="1:5" x14ac:dyDescent="0.3">
      <c r="A454" s="22"/>
      <c r="D454" s="22"/>
      <c r="E454" s="22"/>
    </row>
    <row r="455" spans="1:5" x14ac:dyDescent="0.3">
      <c r="A455" s="22"/>
      <c r="D455" s="22"/>
      <c r="E455" s="22"/>
    </row>
    <row r="456" spans="1:5" x14ac:dyDescent="0.3">
      <c r="A456" s="22"/>
      <c r="D456" s="22"/>
      <c r="E456" s="22"/>
    </row>
    <row r="457" spans="1:5" x14ac:dyDescent="0.3">
      <c r="A457" s="22"/>
      <c r="D457" s="22"/>
      <c r="E457" s="22"/>
    </row>
    <row r="458" spans="1:5" x14ac:dyDescent="0.3">
      <c r="A458" s="22"/>
      <c r="D458" s="22"/>
      <c r="E458" s="22"/>
    </row>
    <row r="459" spans="1:5" x14ac:dyDescent="0.3">
      <c r="A459" s="22"/>
      <c r="D459" s="22"/>
      <c r="E459" s="22"/>
    </row>
    <row r="460" spans="1:5" x14ac:dyDescent="0.3">
      <c r="A460" s="22"/>
      <c r="D460" s="22"/>
      <c r="E460" s="22"/>
    </row>
    <row r="461" spans="1:5" x14ac:dyDescent="0.3">
      <c r="A461" s="22"/>
      <c r="D461" s="22"/>
      <c r="E461" s="22"/>
    </row>
    <row r="462" spans="1:5" x14ac:dyDescent="0.3">
      <c r="A462" s="22"/>
      <c r="D462" s="22"/>
      <c r="E462" s="22"/>
    </row>
    <row r="463" spans="1:5" x14ac:dyDescent="0.3">
      <c r="A463" s="22"/>
      <c r="D463" s="22"/>
      <c r="E463" s="22"/>
    </row>
    <row r="464" spans="1:5" x14ac:dyDescent="0.3">
      <c r="A464" s="22"/>
      <c r="D464" s="22"/>
      <c r="E464" s="22"/>
    </row>
    <row r="465" spans="1:5" x14ac:dyDescent="0.3">
      <c r="A465" s="22"/>
      <c r="D465" s="22"/>
      <c r="E465" s="22"/>
    </row>
    <row r="466" spans="1:5" x14ac:dyDescent="0.3">
      <c r="A466" s="22"/>
      <c r="D466" s="22"/>
      <c r="E466" s="22"/>
    </row>
    <row r="467" spans="1:5" x14ac:dyDescent="0.3">
      <c r="A467" s="22"/>
      <c r="D467" s="22"/>
      <c r="E467" s="22"/>
    </row>
    <row r="468" spans="1:5" x14ac:dyDescent="0.3">
      <c r="A468" s="22"/>
      <c r="D468" s="22"/>
      <c r="E468" s="22"/>
    </row>
    <row r="469" spans="1:5" x14ac:dyDescent="0.3">
      <c r="A469" s="22"/>
      <c r="D469" s="22"/>
      <c r="E469" s="22"/>
    </row>
    <row r="470" spans="1:5" x14ac:dyDescent="0.3">
      <c r="A470" s="22"/>
      <c r="D470" s="22"/>
      <c r="E470" s="22"/>
    </row>
    <row r="471" spans="1:5" x14ac:dyDescent="0.3">
      <c r="A471" s="22"/>
      <c r="D471" s="22"/>
      <c r="E471" s="22"/>
    </row>
    <row r="472" spans="1:5" x14ac:dyDescent="0.3">
      <c r="A472" s="22"/>
      <c r="D472" s="22"/>
      <c r="E472" s="22"/>
    </row>
    <row r="473" spans="1:5" x14ac:dyDescent="0.3">
      <c r="A473" s="22"/>
      <c r="D473" s="22"/>
      <c r="E473" s="22"/>
    </row>
    <row r="474" spans="1:5" x14ac:dyDescent="0.3">
      <c r="A474" s="22"/>
      <c r="D474" s="22"/>
      <c r="E474" s="22"/>
    </row>
    <row r="475" spans="1:5" x14ac:dyDescent="0.3">
      <c r="A475" s="22"/>
      <c r="D475" s="22"/>
      <c r="E475" s="22"/>
    </row>
    <row r="476" spans="1:5" x14ac:dyDescent="0.3">
      <c r="A476" s="22"/>
      <c r="D476" s="22"/>
      <c r="E476" s="22"/>
    </row>
    <row r="477" spans="1:5" x14ac:dyDescent="0.3">
      <c r="A477" s="22"/>
      <c r="D477" s="22"/>
      <c r="E477" s="22"/>
    </row>
    <row r="478" spans="1:5" x14ac:dyDescent="0.3">
      <c r="A478" s="22"/>
      <c r="D478" s="22"/>
      <c r="E478" s="22"/>
    </row>
    <row r="479" spans="1:5" x14ac:dyDescent="0.3">
      <c r="A479" s="22"/>
      <c r="D479" s="22"/>
      <c r="E479" s="22"/>
    </row>
    <row r="480" spans="1:5" x14ac:dyDescent="0.3">
      <c r="A480" s="22"/>
      <c r="D480" s="22"/>
      <c r="E480" s="22"/>
    </row>
    <row r="481" spans="1:5" x14ac:dyDescent="0.3">
      <c r="A481" s="22"/>
      <c r="D481" s="22"/>
      <c r="E481" s="22"/>
    </row>
    <row r="482" spans="1:5" x14ac:dyDescent="0.3">
      <c r="A482" s="22"/>
      <c r="D482" s="22"/>
      <c r="E482" s="22"/>
    </row>
    <row r="483" spans="1:5" x14ac:dyDescent="0.3">
      <c r="A483" s="22"/>
      <c r="D483" s="22"/>
      <c r="E483" s="22"/>
    </row>
    <row r="484" spans="1:5" x14ac:dyDescent="0.3">
      <c r="A484" s="22"/>
      <c r="D484" s="22"/>
      <c r="E484" s="22"/>
    </row>
    <row r="485" spans="1:5" x14ac:dyDescent="0.3">
      <c r="A485" s="22"/>
      <c r="D485" s="22"/>
      <c r="E485" s="22"/>
    </row>
    <row r="486" spans="1:5" x14ac:dyDescent="0.3">
      <c r="A486" s="22"/>
      <c r="D486" s="22"/>
      <c r="E486" s="22"/>
    </row>
    <row r="487" spans="1:5" x14ac:dyDescent="0.3">
      <c r="A487" s="22"/>
      <c r="D487" s="22"/>
      <c r="E487" s="22"/>
    </row>
    <row r="488" spans="1:5" x14ac:dyDescent="0.3">
      <c r="A488" s="22"/>
      <c r="D488" s="22"/>
      <c r="E488" s="22"/>
    </row>
    <row r="489" spans="1:5" x14ac:dyDescent="0.3">
      <c r="A489" s="22"/>
      <c r="D489" s="22"/>
      <c r="E489" s="22"/>
    </row>
    <row r="490" spans="1:5" x14ac:dyDescent="0.3">
      <c r="A490" s="22"/>
      <c r="D490" s="22"/>
      <c r="E490" s="22"/>
    </row>
    <row r="491" spans="1:5" x14ac:dyDescent="0.3">
      <c r="A491" s="22"/>
      <c r="D491" s="22"/>
      <c r="E491" s="22"/>
    </row>
    <row r="492" spans="1:5" x14ac:dyDescent="0.3">
      <c r="A492" s="22"/>
      <c r="D492" s="22"/>
      <c r="E492" s="22"/>
    </row>
    <row r="493" spans="1:5" x14ac:dyDescent="0.3">
      <c r="A493" s="22"/>
      <c r="D493" s="22"/>
      <c r="E493" s="22"/>
    </row>
    <row r="494" spans="1:5" x14ac:dyDescent="0.3">
      <c r="A494" s="22"/>
      <c r="D494" s="22"/>
      <c r="E494" s="22"/>
    </row>
    <row r="495" spans="1:5" x14ac:dyDescent="0.3">
      <c r="A495" s="22"/>
      <c r="D495" s="22"/>
      <c r="E495" s="22"/>
    </row>
    <row r="496" spans="1:5" x14ac:dyDescent="0.3">
      <c r="A496" s="22"/>
      <c r="D496" s="22"/>
      <c r="E496" s="22"/>
    </row>
    <row r="497" spans="1:5" x14ac:dyDescent="0.3">
      <c r="A497" s="22"/>
      <c r="D497" s="22"/>
      <c r="E497" s="22"/>
    </row>
    <row r="498" spans="1:5" x14ac:dyDescent="0.3">
      <c r="A498" s="22"/>
      <c r="D498" s="22"/>
      <c r="E498" s="22"/>
    </row>
    <row r="499" spans="1:5" x14ac:dyDescent="0.3">
      <c r="A499" s="22"/>
      <c r="D499" s="22"/>
      <c r="E499" s="22"/>
    </row>
    <row r="500" spans="1:5" x14ac:dyDescent="0.3">
      <c r="A500" s="22"/>
      <c r="D500" s="22"/>
      <c r="E500" s="22"/>
    </row>
    <row r="501" spans="1:5" x14ac:dyDescent="0.3">
      <c r="A501" s="22"/>
      <c r="D501" s="22"/>
      <c r="E501" s="22"/>
    </row>
    <row r="502" spans="1:5" x14ac:dyDescent="0.3">
      <c r="A502" s="22"/>
      <c r="D502" s="22"/>
      <c r="E502" s="22"/>
    </row>
    <row r="503" spans="1:5" x14ac:dyDescent="0.3">
      <c r="A503" s="22"/>
      <c r="D503" s="22"/>
      <c r="E503" s="22"/>
    </row>
    <row r="504" spans="1:5" x14ac:dyDescent="0.3">
      <c r="A504" s="22"/>
      <c r="D504" s="22"/>
      <c r="E504" s="22"/>
    </row>
    <row r="505" spans="1:5" x14ac:dyDescent="0.3">
      <c r="A505" s="22"/>
      <c r="D505" s="22"/>
      <c r="E505" s="22"/>
    </row>
    <row r="506" spans="1:5" x14ac:dyDescent="0.3">
      <c r="A506" s="22"/>
      <c r="D506" s="22"/>
      <c r="E506" s="22"/>
    </row>
    <row r="507" spans="1:5" x14ac:dyDescent="0.3">
      <c r="A507" s="22"/>
      <c r="D507" s="22"/>
      <c r="E507" s="22"/>
    </row>
    <row r="508" spans="1:5" x14ac:dyDescent="0.3">
      <c r="A508" s="22"/>
      <c r="D508" s="22"/>
      <c r="E508" s="22"/>
    </row>
    <row r="509" spans="1:5" x14ac:dyDescent="0.3">
      <c r="A509" s="22"/>
      <c r="D509" s="22"/>
      <c r="E509" s="22"/>
    </row>
    <row r="510" spans="1:5" x14ac:dyDescent="0.3">
      <c r="A510" s="22"/>
      <c r="D510" s="22"/>
      <c r="E510" s="22"/>
    </row>
    <row r="511" spans="1:5" x14ac:dyDescent="0.3">
      <c r="A511" s="22"/>
      <c r="D511" s="22"/>
      <c r="E511" s="22"/>
    </row>
    <row r="512" spans="1:5" x14ac:dyDescent="0.3">
      <c r="A512" s="22"/>
      <c r="D512" s="22"/>
      <c r="E512" s="22"/>
    </row>
    <row r="513" spans="1:5" x14ac:dyDescent="0.3">
      <c r="A513" s="22"/>
      <c r="D513" s="22"/>
      <c r="E513" s="22"/>
    </row>
    <row r="514" spans="1:5" x14ac:dyDescent="0.3">
      <c r="A514" s="22"/>
      <c r="D514" s="22"/>
      <c r="E514" s="22"/>
    </row>
    <row r="515" spans="1:5" x14ac:dyDescent="0.3">
      <c r="A515" s="22"/>
      <c r="D515" s="22"/>
      <c r="E515" s="22"/>
    </row>
    <row r="516" spans="1:5" x14ac:dyDescent="0.3">
      <c r="A516" s="22"/>
      <c r="D516" s="22"/>
      <c r="E516" s="22"/>
    </row>
    <row r="517" spans="1:5" x14ac:dyDescent="0.3">
      <c r="A517" s="22"/>
      <c r="D517" s="22"/>
      <c r="E517" s="22"/>
    </row>
    <row r="518" spans="1:5" x14ac:dyDescent="0.3">
      <c r="A518" s="22"/>
      <c r="D518" s="22"/>
      <c r="E518" s="22"/>
    </row>
    <row r="519" spans="1:5" x14ac:dyDescent="0.3">
      <c r="A519" s="22"/>
      <c r="D519" s="22"/>
      <c r="E519" s="22"/>
    </row>
    <row r="520" spans="1:5" x14ac:dyDescent="0.3">
      <c r="A520" s="22"/>
      <c r="D520" s="22"/>
      <c r="E520" s="22"/>
    </row>
    <row r="521" spans="1:5" x14ac:dyDescent="0.3">
      <c r="A521" s="22"/>
      <c r="D521" s="22"/>
      <c r="E521" s="22"/>
    </row>
    <row r="522" spans="1:5" x14ac:dyDescent="0.3">
      <c r="A522" s="22"/>
      <c r="D522" s="22"/>
      <c r="E522" s="22"/>
    </row>
    <row r="523" spans="1:5" x14ac:dyDescent="0.3">
      <c r="A523" s="22"/>
      <c r="D523" s="22"/>
      <c r="E523" s="22"/>
    </row>
    <row r="524" spans="1:5" x14ac:dyDescent="0.3">
      <c r="A524" s="22"/>
      <c r="D524" s="22"/>
      <c r="E524" s="22"/>
    </row>
    <row r="525" spans="1:5" x14ac:dyDescent="0.3">
      <c r="A525" s="22"/>
      <c r="D525" s="22"/>
      <c r="E525" s="22"/>
    </row>
    <row r="526" spans="1:5" x14ac:dyDescent="0.3">
      <c r="A526" s="22"/>
      <c r="D526" s="22"/>
      <c r="E526" s="22"/>
    </row>
    <row r="527" spans="1:5" x14ac:dyDescent="0.3">
      <c r="A527" s="22"/>
      <c r="D527" s="22"/>
      <c r="E527" s="22"/>
    </row>
    <row r="528" spans="1:5" x14ac:dyDescent="0.3">
      <c r="A528" s="22"/>
      <c r="D528" s="22"/>
      <c r="E528" s="22"/>
    </row>
    <row r="529" spans="1:5" x14ac:dyDescent="0.3">
      <c r="A529" s="22"/>
      <c r="D529" s="22"/>
      <c r="E529" s="22"/>
    </row>
    <row r="530" spans="1:5" x14ac:dyDescent="0.3">
      <c r="A530" s="22"/>
      <c r="D530" s="22"/>
      <c r="E530" s="22"/>
    </row>
    <row r="531" spans="1:5" x14ac:dyDescent="0.3">
      <c r="A531" s="22"/>
      <c r="D531" s="22"/>
      <c r="E531" s="22"/>
    </row>
    <row r="532" spans="1:5" x14ac:dyDescent="0.3">
      <c r="A532" s="22"/>
      <c r="D532" s="22"/>
      <c r="E532" s="22"/>
    </row>
    <row r="533" spans="1:5" x14ac:dyDescent="0.3">
      <c r="A533" s="22"/>
      <c r="D533" s="22"/>
      <c r="E533" s="22"/>
    </row>
    <row r="534" spans="1:5" x14ac:dyDescent="0.3">
      <c r="A534" s="22"/>
      <c r="D534" s="22"/>
      <c r="E534" s="22"/>
    </row>
    <row r="535" spans="1:5" x14ac:dyDescent="0.3">
      <c r="A535" s="22"/>
      <c r="D535" s="22"/>
      <c r="E535" s="22"/>
    </row>
    <row r="536" spans="1:5" x14ac:dyDescent="0.3">
      <c r="A536" s="22"/>
      <c r="D536" s="22"/>
      <c r="E536" s="22"/>
    </row>
    <row r="537" spans="1:5" x14ac:dyDescent="0.3">
      <c r="A537" s="22"/>
      <c r="D537" s="22"/>
      <c r="E537" s="22"/>
    </row>
    <row r="538" spans="1:5" x14ac:dyDescent="0.3">
      <c r="A538" s="22"/>
      <c r="D538" s="22"/>
      <c r="E538" s="22"/>
    </row>
    <row r="539" spans="1:5" x14ac:dyDescent="0.3">
      <c r="A539" s="22"/>
      <c r="D539" s="22"/>
      <c r="E539" s="22"/>
    </row>
    <row r="540" spans="1:5" x14ac:dyDescent="0.3">
      <c r="A540" s="22"/>
      <c r="D540" s="22"/>
      <c r="E540" s="22"/>
    </row>
    <row r="541" spans="1:5" x14ac:dyDescent="0.3">
      <c r="A541" s="22"/>
      <c r="D541" s="22"/>
      <c r="E541" s="22"/>
    </row>
    <row r="542" spans="1:5" x14ac:dyDescent="0.3">
      <c r="A542" s="22"/>
      <c r="D542" s="22"/>
      <c r="E542" s="22"/>
    </row>
    <row r="543" spans="1:5" x14ac:dyDescent="0.3">
      <c r="A543" s="22"/>
      <c r="D543" s="22"/>
      <c r="E543" s="22"/>
    </row>
    <row r="544" spans="1:5" x14ac:dyDescent="0.3">
      <c r="A544" s="22"/>
      <c r="D544" s="22"/>
      <c r="E544" s="22"/>
    </row>
    <row r="545" spans="1:5" x14ac:dyDescent="0.3">
      <c r="A545" s="22"/>
      <c r="D545" s="22"/>
      <c r="E545" s="22"/>
    </row>
    <row r="546" spans="1:5" x14ac:dyDescent="0.3">
      <c r="A546" s="22"/>
      <c r="D546" s="22"/>
      <c r="E546" s="22"/>
    </row>
    <row r="547" spans="1:5" x14ac:dyDescent="0.3">
      <c r="A547" s="22"/>
      <c r="D547" s="22"/>
      <c r="E547" s="22"/>
    </row>
    <row r="548" spans="1:5" x14ac:dyDescent="0.3">
      <c r="A548" s="22"/>
      <c r="D548" s="22"/>
      <c r="E548" s="22"/>
    </row>
    <row r="549" spans="1:5" x14ac:dyDescent="0.3">
      <c r="A549" s="22"/>
      <c r="D549" s="22"/>
      <c r="E549" s="22"/>
    </row>
    <row r="550" spans="1:5" x14ac:dyDescent="0.3">
      <c r="A550" s="22"/>
      <c r="D550" s="22"/>
      <c r="E550" s="22"/>
    </row>
    <row r="551" spans="1:5" x14ac:dyDescent="0.3">
      <c r="A551" s="22"/>
      <c r="D551" s="22"/>
      <c r="E551" s="22"/>
    </row>
    <row r="552" spans="1:5" x14ac:dyDescent="0.3">
      <c r="A552" s="22"/>
      <c r="D552" s="22"/>
      <c r="E552" s="22"/>
    </row>
    <row r="553" spans="1:5" x14ac:dyDescent="0.3">
      <c r="A553" s="22"/>
      <c r="D553" s="22"/>
      <c r="E553" s="22"/>
    </row>
    <row r="554" spans="1:5" x14ac:dyDescent="0.3">
      <c r="A554" s="22"/>
      <c r="D554" s="22"/>
      <c r="E554" s="22"/>
    </row>
    <row r="555" spans="1:5" x14ac:dyDescent="0.3">
      <c r="A555" s="22"/>
      <c r="D555" s="22"/>
      <c r="E555" s="22"/>
    </row>
    <row r="556" spans="1:5" x14ac:dyDescent="0.3">
      <c r="A556" s="22"/>
      <c r="D556" s="22"/>
      <c r="E556" s="22"/>
    </row>
    <row r="557" spans="1:5" x14ac:dyDescent="0.3">
      <c r="A557" s="22"/>
      <c r="D557" s="22"/>
      <c r="E557" s="22"/>
    </row>
    <row r="558" spans="1:5" x14ac:dyDescent="0.3">
      <c r="A558" s="22"/>
      <c r="D558" s="22"/>
      <c r="E558" s="22"/>
    </row>
    <row r="559" spans="1:5" x14ac:dyDescent="0.3">
      <c r="A559" s="22"/>
      <c r="D559" s="22"/>
      <c r="E559" s="22"/>
    </row>
    <row r="560" spans="1:5" x14ac:dyDescent="0.3">
      <c r="A560" s="22"/>
      <c r="D560" s="22"/>
      <c r="E560" s="22"/>
    </row>
    <row r="561" spans="1:5" x14ac:dyDescent="0.3">
      <c r="A561" s="22"/>
      <c r="D561" s="22"/>
      <c r="E561" s="22"/>
    </row>
    <row r="562" spans="1:5" x14ac:dyDescent="0.3">
      <c r="A562" s="22"/>
      <c r="D562" s="22"/>
      <c r="E562" s="22"/>
    </row>
    <row r="563" spans="1:5" x14ac:dyDescent="0.3">
      <c r="A563" s="22"/>
      <c r="D563" s="22"/>
      <c r="E563" s="22"/>
    </row>
    <row r="564" spans="1:5" x14ac:dyDescent="0.3">
      <c r="A564" s="22"/>
      <c r="D564" s="22"/>
      <c r="E564" s="22"/>
    </row>
    <row r="565" spans="1:5" x14ac:dyDescent="0.3">
      <c r="A565" s="22"/>
      <c r="D565" s="22"/>
      <c r="E565" s="22"/>
    </row>
    <row r="566" spans="1:5" x14ac:dyDescent="0.3">
      <c r="A566" s="22"/>
      <c r="D566" s="22"/>
      <c r="E566" s="22"/>
    </row>
    <row r="567" spans="1:5" x14ac:dyDescent="0.3">
      <c r="A567" s="22"/>
      <c r="D567" s="22"/>
      <c r="E567" s="22"/>
    </row>
    <row r="568" spans="1:5" x14ac:dyDescent="0.3">
      <c r="A568" s="22"/>
      <c r="D568" s="22"/>
      <c r="E568" s="22"/>
    </row>
    <row r="569" spans="1:5" x14ac:dyDescent="0.3">
      <c r="A569" s="22"/>
      <c r="D569" s="22"/>
      <c r="E569" s="22"/>
    </row>
    <row r="570" spans="1:5" x14ac:dyDescent="0.3">
      <c r="A570" s="22"/>
      <c r="D570" s="22"/>
      <c r="E570" s="22"/>
    </row>
    <row r="571" spans="1:5" x14ac:dyDescent="0.3">
      <c r="A571" s="22"/>
      <c r="D571" s="22"/>
      <c r="E571" s="22"/>
    </row>
    <row r="572" spans="1:5" x14ac:dyDescent="0.3">
      <c r="A572" s="22"/>
      <c r="D572" s="22"/>
      <c r="E572" s="22"/>
    </row>
    <row r="573" spans="1:5" x14ac:dyDescent="0.3">
      <c r="A573" s="22"/>
      <c r="D573" s="22"/>
      <c r="E573" s="22"/>
    </row>
    <row r="574" spans="1:5" x14ac:dyDescent="0.3">
      <c r="A574" s="22"/>
      <c r="D574" s="22"/>
      <c r="E574" s="22"/>
    </row>
    <row r="575" spans="1:5" x14ac:dyDescent="0.3">
      <c r="A575" s="22"/>
      <c r="D575" s="22"/>
      <c r="E575" s="22"/>
    </row>
    <row r="576" spans="1:5" x14ac:dyDescent="0.3">
      <c r="A576" s="22"/>
      <c r="D576" s="22"/>
      <c r="E576" s="22"/>
    </row>
    <row r="577" spans="1:5" x14ac:dyDescent="0.3">
      <c r="A577" s="22"/>
      <c r="D577" s="22"/>
      <c r="E577" s="22"/>
    </row>
    <row r="578" spans="1:5" x14ac:dyDescent="0.3">
      <c r="A578" s="22"/>
      <c r="D578" s="22"/>
      <c r="E578" s="22"/>
    </row>
    <row r="579" spans="1:5" x14ac:dyDescent="0.3">
      <c r="A579" s="22"/>
      <c r="D579" s="22"/>
      <c r="E579" s="22"/>
    </row>
    <row r="580" spans="1:5" x14ac:dyDescent="0.3">
      <c r="A580" s="22"/>
      <c r="D580" s="22"/>
      <c r="E580" s="22"/>
    </row>
    <row r="581" spans="1:5" x14ac:dyDescent="0.3">
      <c r="A581" s="22"/>
      <c r="D581" s="22"/>
      <c r="E581" s="22"/>
    </row>
    <row r="582" spans="1:5" x14ac:dyDescent="0.3">
      <c r="A582" s="22"/>
      <c r="D582" s="22"/>
      <c r="E582" s="22"/>
    </row>
    <row r="583" spans="1:5" x14ac:dyDescent="0.3">
      <c r="A583" s="22"/>
      <c r="D583" s="22"/>
      <c r="E583" s="22"/>
    </row>
    <row r="584" spans="1:5" x14ac:dyDescent="0.3">
      <c r="A584" s="22"/>
      <c r="D584" s="22"/>
      <c r="E584" s="22"/>
    </row>
    <row r="585" spans="1:5" x14ac:dyDescent="0.3">
      <c r="A585" s="22"/>
      <c r="D585" s="22"/>
      <c r="E585" s="22"/>
    </row>
    <row r="586" spans="1:5" x14ac:dyDescent="0.3">
      <c r="A586" s="22"/>
      <c r="D586" s="22"/>
      <c r="E586" s="22"/>
    </row>
    <row r="587" spans="1:5" x14ac:dyDescent="0.3">
      <c r="A587" s="22"/>
      <c r="D587" s="22"/>
      <c r="E587" s="22"/>
    </row>
    <row r="588" spans="1:5" x14ac:dyDescent="0.3">
      <c r="A588" s="22"/>
      <c r="D588" s="22"/>
      <c r="E588" s="22"/>
    </row>
    <row r="589" spans="1:5" x14ac:dyDescent="0.3">
      <c r="A589" s="22"/>
      <c r="D589" s="22"/>
      <c r="E589" s="22"/>
    </row>
    <row r="590" spans="1:5" x14ac:dyDescent="0.3">
      <c r="A590" s="22"/>
      <c r="D590" s="22"/>
      <c r="E590" s="22"/>
    </row>
    <row r="591" spans="1:5" x14ac:dyDescent="0.3">
      <c r="A591" s="22"/>
      <c r="D591" s="22"/>
      <c r="E591" s="22"/>
    </row>
    <row r="592" spans="1:5" x14ac:dyDescent="0.3">
      <c r="A592" s="22"/>
      <c r="D592" s="22"/>
      <c r="E592" s="22"/>
    </row>
    <row r="593" spans="1:5" x14ac:dyDescent="0.3">
      <c r="A593" s="22"/>
      <c r="D593" s="22"/>
      <c r="E593" s="22"/>
    </row>
    <row r="594" spans="1:5" x14ac:dyDescent="0.3">
      <c r="A594" s="22"/>
      <c r="D594" s="22"/>
      <c r="E594" s="22"/>
    </row>
    <row r="595" spans="1:5" x14ac:dyDescent="0.3">
      <c r="A595" s="22"/>
      <c r="D595" s="22"/>
      <c r="E595" s="22"/>
    </row>
    <row r="596" spans="1:5" x14ac:dyDescent="0.3">
      <c r="A596" s="22"/>
      <c r="D596" s="22"/>
      <c r="E596" s="22"/>
    </row>
    <row r="597" spans="1:5" x14ac:dyDescent="0.3">
      <c r="A597" s="22"/>
      <c r="D597" s="22"/>
      <c r="E597" s="22"/>
    </row>
    <row r="598" spans="1:5" x14ac:dyDescent="0.3">
      <c r="A598" s="22"/>
      <c r="D598" s="22"/>
      <c r="E598" s="22"/>
    </row>
    <row r="599" spans="1:5" x14ac:dyDescent="0.3">
      <c r="A599" s="22"/>
      <c r="D599" s="22"/>
      <c r="E599" s="22"/>
    </row>
    <row r="600" spans="1:5" x14ac:dyDescent="0.3">
      <c r="A600" s="22"/>
      <c r="D600" s="22"/>
      <c r="E600" s="22"/>
    </row>
    <row r="601" spans="1:5" x14ac:dyDescent="0.3">
      <c r="A601" s="22"/>
      <c r="D601" s="22"/>
      <c r="E601" s="22"/>
    </row>
    <row r="602" spans="1:5" x14ac:dyDescent="0.3">
      <c r="A602" s="22"/>
      <c r="D602" s="22"/>
      <c r="E602" s="22"/>
    </row>
    <row r="603" spans="1:5" x14ac:dyDescent="0.3">
      <c r="A603" s="22"/>
      <c r="D603" s="22"/>
      <c r="E603" s="22"/>
    </row>
    <row r="604" spans="1:5" x14ac:dyDescent="0.3">
      <c r="A604" s="22"/>
      <c r="D604" s="22"/>
      <c r="E604" s="22"/>
    </row>
    <row r="605" spans="1:5" x14ac:dyDescent="0.3">
      <c r="A605" s="22"/>
      <c r="D605" s="22"/>
      <c r="E605" s="22"/>
    </row>
    <row r="606" spans="1:5" x14ac:dyDescent="0.3">
      <c r="A606" s="22"/>
      <c r="D606" s="22"/>
      <c r="E606" s="22"/>
    </row>
    <row r="607" spans="1:5" x14ac:dyDescent="0.3">
      <c r="A607" s="22"/>
      <c r="D607" s="22"/>
      <c r="E607" s="22"/>
    </row>
    <row r="608" spans="1:5" x14ac:dyDescent="0.3">
      <c r="A608" s="22"/>
      <c r="D608" s="22"/>
      <c r="E608" s="22"/>
    </row>
    <row r="609" spans="1:5" x14ac:dyDescent="0.3">
      <c r="A609" s="22"/>
      <c r="D609" s="22"/>
      <c r="E609" s="22"/>
    </row>
    <row r="610" spans="1:5" x14ac:dyDescent="0.3">
      <c r="A610" s="22"/>
      <c r="D610" s="22"/>
      <c r="E610" s="22"/>
    </row>
    <row r="611" spans="1:5" x14ac:dyDescent="0.3">
      <c r="A611" s="22"/>
      <c r="D611" s="22"/>
      <c r="E611" s="22"/>
    </row>
    <row r="612" spans="1:5" x14ac:dyDescent="0.3">
      <c r="A612" s="22"/>
      <c r="D612" s="22"/>
      <c r="E612" s="22"/>
    </row>
    <row r="613" spans="1:5" x14ac:dyDescent="0.3">
      <c r="A613" s="22"/>
      <c r="D613" s="22"/>
      <c r="E613" s="22"/>
    </row>
    <row r="614" spans="1:5" x14ac:dyDescent="0.3">
      <c r="A614" s="22"/>
      <c r="D614" s="22"/>
      <c r="E614" s="22"/>
    </row>
    <row r="615" spans="1:5" x14ac:dyDescent="0.3">
      <c r="A615" s="22"/>
      <c r="D615" s="22"/>
      <c r="E615" s="22"/>
    </row>
    <row r="616" spans="1:5" x14ac:dyDescent="0.3">
      <c r="A616" s="22"/>
      <c r="D616" s="22"/>
      <c r="E616" s="22"/>
    </row>
    <row r="617" spans="1:5" x14ac:dyDescent="0.3">
      <c r="A617" s="22"/>
      <c r="D617" s="22"/>
      <c r="E617" s="22"/>
    </row>
    <row r="618" spans="1:5" x14ac:dyDescent="0.3">
      <c r="A618" s="22"/>
      <c r="D618" s="22"/>
      <c r="E618" s="22"/>
    </row>
    <row r="619" spans="1:5" x14ac:dyDescent="0.3">
      <c r="A619" s="22"/>
      <c r="D619" s="22"/>
      <c r="E619" s="22"/>
    </row>
    <row r="620" spans="1:5" x14ac:dyDescent="0.3">
      <c r="A620" s="22"/>
      <c r="D620" s="22"/>
      <c r="E620" s="22"/>
    </row>
    <row r="621" spans="1:5" x14ac:dyDescent="0.3">
      <c r="A621" s="22"/>
      <c r="D621" s="22"/>
      <c r="E621" s="22"/>
    </row>
    <row r="622" spans="1:5" x14ac:dyDescent="0.3">
      <c r="A622" s="22"/>
      <c r="D622" s="22"/>
      <c r="E622" s="22"/>
    </row>
    <row r="623" spans="1:5" x14ac:dyDescent="0.3">
      <c r="A623" s="22"/>
      <c r="D623" s="22"/>
      <c r="E623" s="22"/>
    </row>
    <row r="624" spans="1:5" x14ac:dyDescent="0.3">
      <c r="A624" s="22"/>
      <c r="D624" s="22"/>
      <c r="E624" s="22"/>
    </row>
    <row r="625" spans="1:5" x14ac:dyDescent="0.3">
      <c r="A625" s="22"/>
      <c r="D625" s="22"/>
      <c r="E625" s="22"/>
    </row>
    <row r="626" spans="1:5" x14ac:dyDescent="0.3">
      <c r="A626" s="22"/>
      <c r="D626" s="22"/>
      <c r="E626" s="22"/>
    </row>
    <row r="627" spans="1:5" x14ac:dyDescent="0.3">
      <c r="A627" s="22"/>
      <c r="D627" s="22"/>
      <c r="E627" s="22"/>
    </row>
    <row r="628" spans="1:5" x14ac:dyDescent="0.3">
      <c r="A628" s="22"/>
      <c r="D628" s="22"/>
      <c r="E628" s="22"/>
    </row>
    <row r="629" spans="1:5" x14ac:dyDescent="0.3">
      <c r="A629" s="22"/>
      <c r="D629" s="22"/>
      <c r="E629" s="22"/>
    </row>
    <row r="630" spans="1:5" x14ac:dyDescent="0.3">
      <c r="A630" s="22"/>
      <c r="D630" s="22"/>
      <c r="E630" s="22"/>
    </row>
    <row r="631" spans="1:5" x14ac:dyDescent="0.3">
      <c r="A631" s="22"/>
      <c r="D631" s="22"/>
      <c r="E631" s="22"/>
    </row>
    <row r="632" spans="1:5" x14ac:dyDescent="0.3">
      <c r="A632" s="22"/>
      <c r="D632" s="22"/>
      <c r="E632" s="22"/>
    </row>
    <row r="633" spans="1:5" x14ac:dyDescent="0.3">
      <c r="A633" s="22"/>
      <c r="D633" s="22"/>
      <c r="E633" s="22"/>
    </row>
    <row r="634" spans="1:5" x14ac:dyDescent="0.3">
      <c r="A634" s="22"/>
      <c r="D634" s="22"/>
      <c r="E634" s="22"/>
    </row>
    <row r="635" spans="1:5" x14ac:dyDescent="0.3">
      <c r="A635" s="22"/>
      <c r="D635" s="22"/>
      <c r="E635" s="22"/>
    </row>
    <row r="636" spans="1:5" x14ac:dyDescent="0.3">
      <c r="A636" s="22"/>
      <c r="D636" s="22"/>
      <c r="E636" s="22"/>
    </row>
    <row r="637" spans="1:5" x14ac:dyDescent="0.3">
      <c r="A637" s="22"/>
      <c r="D637" s="22"/>
      <c r="E637" s="22"/>
    </row>
    <row r="638" spans="1:5" x14ac:dyDescent="0.3">
      <c r="A638" s="22"/>
      <c r="D638" s="22"/>
      <c r="E638" s="22"/>
    </row>
    <row r="639" spans="1:5" x14ac:dyDescent="0.3">
      <c r="A639" s="22"/>
      <c r="D639" s="22"/>
      <c r="E639" s="22"/>
    </row>
    <row r="640" spans="1:5" x14ac:dyDescent="0.3">
      <c r="A640" s="22"/>
      <c r="D640" s="22"/>
      <c r="E640" s="22"/>
    </row>
    <row r="641" spans="1:5" x14ac:dyDescent="0.3">
      <c r="A641" s="22"/>
      <c r="D641" s="22"/>
      <c r="E641" s="22"/>
    </row>
    <row r="642" spans="1:5" x14ac:dyDescent="0.3">
      <c r="A642" s="22"/>
      <c r="D642" s="22"/>
      <c r="E642" s="22"/>
    </row>
    <row r="643" spans="1:5" x14ac:dyDescent="0.3">
      <c r="A643" s="22"/>
      <c r="D643" s="22"/>
      <c r="E643" s="22"/>
    </row>
    <row r="644" spans="1:5" x14ac:dyDescent="0.3">
      <c r="A644" s="22"/>
      <c r="D644" s="22"/>
      <c r="E644" s="22"/>
    </row>
    <row r="645" spans="1:5" x14ac:dyDescent="0.3">
      <c r="A645" s="22"/>
      <c r="D645" s="22"/>
      <c r="E645" s="22"/>
    </row>
    <row r="646" spans="1:5" x14ac:dyDescent="0.3">
      <c r="A646" s="22"/>
      <c r="D646" s="22"/>
      <c r="E646" s="22"/>
    </row>
    <row r="647" spans="1:5" x14ac:dyDescent="0.3">
      <c r="A647" s="22"/>
      <c r="D647" s="22"/>
      <c r="E647" s="22"/>
    </row>
    <row r="648" spans="1:5" x14ac:dyDescent="0.3">
      <c r="A648" s="22"/>
      <c r="D648" s="22"/>
      <c r="E648" s="22"/>
    </row>
    <row r="649" spans="1:5" x14ac:dyDescent="0.3">
      <c r="A649" s="22"/>
      <c r="D649" s="22"/>
      <c r="E649" s="22"/>
    </row>
    <row r="650" spans="1:5" x14ac:dyDescent="0.3">
      <c r="A650" s="22"/>
      <c r="D650" s="22"/>
      <c r="E650" s="22"/>
    </row>
    <row r="651" spans="1:5" x14ac:dyDescent="0.3">
      <c r="A651" s="22"/>
      <c r="D651" s="22"/>
      <c r="E651" s="22"/>
    </row>
    <row r="652" spans="1:5" x14ac:dyDescent="0.3">
      <c r="A652" s="22"/>
      <c r="D652" s="22"/>
      <c r="E652" s="22"/>
    </row>
    <row r="653" spans="1:5" x14ac:dyDescent="0.3">
      <c r="A653" s="22"/>
      <c r="D653" s="22"/>
      <c r="E653" s="22"/>
    </row>
    <row r="654" spans="1:5" x14ac:dyDescent="0.3">
      <c r="A654" s="22"/>
      <c r="D654" s="22"/>
      <c r="E654" s="22"/>
    </row>
    <row r="655" spans="1:5" x14ac:dyDescent="0.3">
      <c r="A655" s="22"/>
      <c r="D655" s="22"/>
      <c r="E655" s="22"/>
    </row>
    <row r="656" spans="1:5" x14ac:dyDescent="0.3">
      <c r="A656" s="22"/>
      <c r="D656" s="22"/>
      <c r="E656" s="22"/>
    </row>
    <row r="657" spans="1:5" x14ac:dyDescent="0.3">
      <c r="A657" s="22"/>
      <c r="D657" s="22"/>
      <c r="E657" s="22"/>
    </row>
    <row r="658" spans="1:5" x14ac:dyDescent="0.3">
      <c r="A658" s="22"/>
      <c r="D658" s="22"/>
      <c r="E658" s="22"/>
    </row>
    <row r="659" spans="1:5" x14ac:dyDescent="0.3">
      <c r="A659" s="22"/>
      <c r="D659" s="22"/>
      <c r="E659" s="22"/>
    </row>
    <row r="660" spans="1:5" x14ac:dyDescent="0.3">
      <c r="A660" s="22"/>
      <c r="D660" s="22"/>
      <c r="E660" s="22"/>
    </row>
    <row r="661" spans="1:5" x14ac:dyDescent="0.3">
      <c r="A661" s="22"/>
      <c r="D661" s="22"/>
      <c r="E661" s="22"/>
    </row>
    <row r="662" spans="1:5" x14ac:dyDescent="0.3">
      <c r="A662" s="22"/>
      <c r="D662" s="22"/>
      <c r="E662" s="22"/>
    </row>
    <row r="663" spans="1:5" x14ac:dyDescent="0.3">
      <c r="A663" s="22"/>
      <c r="D663" s="22"/>
      <c r="E663" s="22"/>
    </row>
    <row r="664" spans="1:5" x14ac:dyDescent="0.3">
      <c r="A664" s="22"/>
      <c r="D664" s="22"/>
      <c r="E664" s="22"/>
    </row>
    <row r="665" spans="1:5" x14ac:dyDescent="0.3">
      <c r="A665" s="22"/>
      <c r="D665" s="22"/>
      <c r="E665" s="22"/>
    </row>
    <row r="666" spans="1:5" x14ac:dyDescent="0.3">
      <c r="A666" s="22"/>
      <c r="D666" s="22"/>
      <c r="E666" s="22"/>
    </row>
    <row r="667" spans="1:5" x14ac:dyDescent="0.3">
      <c r="A667" s="22"/>
      <c r="D667" s="22"/>
      <c r="E667" s="22"/>
    </row>
    <row r="668" spans="1:5" x14ac:dyDescent="0.3">
      <c r="A668" s="22"/>
      <c r="D668" s="22"/>
      <c r="E668" s="22"/>
    </row>
    <row r="669" spans="1:5" x14ac:dyDescent="0.3">
      <c r="A669" s="22"/>
      <c r="D669" s="22"/>
      <c r="E669" s="22"/>
    </row>
    <row r="670" spans="1:5" x14ac:dyDescent="0.3">
      <c r="A670" s="22"/>
      <c r="D670" s="22"/>
      <c r="E670" s="22"/>
    </row>
    <row r="671" spans="1:5" x14ac:dyDescent="0.3">
      <c r="A671" s="22"/>
      <c r="D671" s="22"/>
      <c r="E671" s="22"/>
    </row>
    <row r="672" spans="1:5" x14ac:dyDescent="0.3">
      <c r="A672" s="22"/>
      <c r="D672" s="22"/>
      <c r="E672" s="22"/>
    </row>
    <row r="673" spans="1:5" x14ac:dyDescent="0.3">
      <c r="A673" s="22"/>
      <c r="D673" s="22"/>
      <c r="E673" s="22"/>
    </row>
    <row r="674" spans="1:5" x14ac:dyDescent="0.3">
      <c r="A674" s="22"/>
      <c r="D674" s="22"/>
      <c r="E674" s="22"/>
    </row>
    <row r="675" spans="1:5" x14ac:dyDescent="0.3">
      <c r="A675" s="22"/>
      <c r="D675" s="22"/>
      <c r="E675" s="22"/>
    </row>
    <row r="676" spans="1:5" x14ac:dyDescent="0.3">
      <c r="A676" s="22"/>
      <c r="D676" s="22"/>
      <c r="E676" s="22"/>
    </row>
    <row r="677" spans="1:5" x14ac:dyDescent="0.3">
      <c r="A677" s="22"/>
      <c r="D677" s="22"/>
      <c r="E677" s="22"/>
    </row>
    <row r="678" spans="1:5" x14ac:dyDescent="0.3">
      <c r="A678" s="22"/>
      <c r="D678" s="22"/>
      <c r="E678" s="22"/>
    </row>
    <row r="679" spans="1:5" x14ac:dyDescent="0.3">
      <c r="A679" s="22"/>
      <c r="D679" s="22"/>
      <c r="E679" s="22"/>
    </row>
    <row r="680" spans="1:5" x14ac:dyDescent="0.3">
      <c r="A680" s="22"/>
      <c r="D680" s="22"/>
      <c r="E680" s="22"/>
    </row>
    <row r="681" spans="1:5" x14ac:dyDescent="0.3">
      <c r="A681" s="22"/>
      <c r="D681" s="22"/>
      <c r="E681" s="22"/>
    </row>
    <row r="682" spans="1:5" x14ac:dyDescent="0.3">
      <c r="A682" s="22"/>
      <c r="D682" s="22"/>
      <c r="E682" s="22"/>
    </row>
    <row r="683" spans="1:5" x14ac:dyDescent="0.3">
      <c r="A683" s="22"/>
      <c r="D683" s="22"/>
      <c r="E683" s="22"/>
    </row>
    <row r="684" spans="1:5" x14ac:dyDescent="0.3">
      <c r="A684" s="22"/>
      <c r="D684" s="22"/>
      <c r="E684" s="22"/>
    </row>
    <row r="685" spans="1:5" x14ac:dyDescent="0.3">
      <c r="A685" s="22"/>
      <c r="D685" s="22"/>
      <c r="E685" s="22"/>
    </row>
    <row r="686" spans="1:5" x14ac:dyDescent="0.3">
      <c r="A686" s="22"/>
      <c r="D686" s="22"/>
      <c r="E686" s="22"/>
    </row>
    <row r="687" spans="1:5" x14ac:dyDescent="0.3">
      <c r="A687" s="22"/>
      <c r="D687" s="22"/>
      <c r="E687" s="22"/>
    </row>
    <row r="688" spans="1:5" x14ac:dyDescent="0.3">
      <c r="A688" s="22"/>
      <c r="D688" s="22"/>
      <c r="E688" s="22"/>
    </row>
    <row r="689" spans="1:5" x14ac:dyDescent="0.3">
      <c r="A689" s="22"/>
      <c r="D689" s="22"/>
      <c r="E689" s="22"/>
    </row>
    <row r="690" spans="1:5" x14ac:dyDescent="0.3">
      <c r="A690" s="22"/>
      <c r="D690" s="22"/>
      <c r="E690" s="22"/>
    </row>
    <row r="691" spans="1:5" x14ac:dyDescent="0.3">
      <c r="A691" s="22"/>
      <c r="D691" s="22"/>
      <c r="E691" s="22"/>
    </row>
    <row r="692" spans="1:5" x14ac:dyDescent="0.3">
      <c r="A692" s="22"/>
      <c r="D692" s="22"/>
      <c r="E692" s="22"/>
    </row>
    <row r="693" spans="1:5" x14ac:dyDescent="0.3">
      <c r="A693" s="22"/>
      <c r="D693" s="22"/>
      <c r="E693" s="22"/>
    </row>
    <row r="694" spans="1:5" x14ac:dyDescent="0.3">
      <c r="A694" s="22"/>
      <c r="D694" s="22"/>
      <c r="E694" s="22"/>
    </row>
    <row r="695" spans="1:5" x14ac:dyDescent="0.3">
      <c r="A695" s="22"/>
      <c r="D695" s="22"/>
      <c r="E695" s="22"/>
    </row>
    <row r="696" spans="1:5" x14ac:dyDescent="0.3">
      <c r="A696" s="22"/>
      <c r="D696" s="22"/>
      <c r="E696" s="22"/>
    </row>
    <row r="697" spans="1:5" x14ac:dyDescent="0.3">
      <c r="A697" s="22"/>
      <c r="D697" s="22"/>
      <c r="E697" s="22"/>
    </row>
    <row r="698" spans="1:5" x14ac:dyDescent="0.3">
      <c r="A698" s="22"/>
      <c r="D698" s="22"/>
      <c r="E698" s="22"/>
    </row>
    <row r="699" spans="1:5" x14ac:dyDescent="0.3">
      <c r="A699" s="22"/>
      <c r="D699" s="22"/>
      <c r="E699" s="22"/>
    </row>
    <row r="700" spans="1:5" x14ac:dyDescent="0.3">
      <c r="A700" s="22"/>
      <c r="D700" s="22"/>
      <c r="E700" s="22"/>
    </row>
    <row r="701" spans="1:5" x14ac:dyDescent="0.3">
      <c r="A701" s="22"/>
      <c r="D701" s="22"/>
      <c r="E701" s="22"/>
    </row>
    <row r="702" spans="1:5" x14ac:dyDescent="0.3">
      <c r="A702" s="22"/>
      <c r="D702" s="22"/>
      <c r="E702" s="22"/>
    </row>
    <row r="703" spans="1:5" x14ac:dyDescent="0.3">
      <c r="A703" s="22"/>
      <c r="D703" s="22"/>
      <c r="E703" s="22"/>
    </row>
    <row r="704" spans="1:5" x14ac:dyDescent="0.3">
      <c r="A704" s="22"/>
      <c r="D704" s="22"/>
      <c r="E704" s="22"/>
    </row>
    <row r="705" spans="1:5" x14ac:dyDescent="0.3">
      <c r="A705" s="22"/>
      <c r="D705" s="22"/>
      <c r="E705" s="22"/>
    </row>
    <row r="706" spans="1:5" x14ac:dyDescent="0.3">
      <c r="A706" s="22"/>
      <c r="D706" s="22"/>
      <c r="E706" s="22"/>
    </row>
    <row r="707" spans="1:5" x14ac:dyDescent="0.3">
      <c r="A707" s="22"/>
      <c r="D707" s="22"/>
      <c r="E707" s="22"/>
    </row>
    <row r="708" spans="1:5" x14ac:dyDescent="0.3">
      <c r="A708" s="22"/>
      <c r="D708" s="22"/>
      <c r="E708" s="22"/>
    </row>
    <row r="709" spans="1:5" x14ac:dyDescent="0.3">
      <c r="A709" s="22"/>
      <c r="D709" s="22"/>
      <c r="E709" s="22"/>
    </row>
    <row r="710" spans="1:5" x14ac:dyDescent="0.3">
      <c r="A710" s="22"/>
      <c r="D710" s="22"/>
      <c r="E710" s="22"/>
    </row>
    <row r="711" spans="1:5" x14ac:dyDescent="0.3">
      <c r="A711" s="22"/>
      <c r="D711" s="22"/>
      <c r="E711" s="22"/>
    </row>
    <row r="712" spans="1:5" x14ac:dyDescent="0.3">
      <c r="A712" s="22"/>
      <c r="D712" s="22"/>
      <c r="E712" s="22"/>
    </row>
    <row r="713" spans="1:5" x14ac:dyDescent="0.3">
      <c r="A713" s="22"/>
      <c r="D713" s="22"/>
      <c r="E713" s="22"/>
    </row>
    <row r="714" spans="1:5" x14ac:dyDescent="0.3">
      <c r="A714" s="22"/>
      <c r="D714" s="22"/>
      <c r="E714" s="22"/>
    </row>
    <row r="715" spans="1:5" x14ac:dyDescent="0.3">
      <c r="A715" s="22"/>
      <c r="D715" s="22"/>
      <c r="E715" s="22"/>
    </row>
    <row r="716" spans="1:5" x14ac:dyDescent="0.3">
      <c r="A716" s="22"/>
      <c r="D716" s="22"/>
      <c r="E716" s="22"/>
    </row>
    <row r="717" spans="1:5" x14ac:dyDescent="0.3">
      <c r="A717" s="22"/>
      <c r="D717" s="22"/>
      <c r="E717" s="22"/>
    </row>
    <row r="718" spans="1:5" x14ac:dyDescent="0.3">
      <c r="A718" s="22"/>
      <c r="D718" s="22"/>
      <c r="E718" s="22"/>
    </row>
    <row r="719" spans="1:5" x14ac:dyDescent="0.3">
      <c r="A719" s="22"/>
      <c r="D719" s="22"/>
      <c r="E719" s="22"/>
    </row>
    <row r="720" spans="1:5" x14ac:dyDescent="0.3">
      <c r="A720" s="22"/>
      <c r="D720" s="22"/>
      <c r="E720" s="22"/>
    </row>
    <row r="721" spans="1:5" x14ac:dyDescent="0.3">
      <c r="A721" s="22"/>
      <c r="D721" s="22"/>
      <c r="E721" s="22"/>
    </row>
    <row r="722" spans="1:5" x14ac:dyDescent="0.3">
      <c r="A722" s="22"/>
      <c r="D722" s="22"/>
      <c r="E722" s="22"/>
    </row>
    <row r="723" spans="1:5" x14ac:dyDescent="0.3">
      <c r="A723" s="22"/>
      <c r="D723" s="22"/>
      <c r="E723" s="22"/>
    </row>
    <row r="724" spans="1:5" x14ac:dyDescent="0.3">
      <c r="A724" s="22"/>
      <c r="D724" s="22"/>
      <c r="E724" s="22"/>
    </row>
    <row r="725" spans="1:5" x14ac:dyDescent="0.3">
      <c r="A725" s="22"/>
      <c r="D725" s="22"/>
      <c r="E725" s="22"/>
    </row>
    <row r="726" spans="1:5" x14ac:dyDescent="0.3">
      <c r="A726" s="22"/>
      <c r="D726" s="22"/>
      <c r="E726" s="22"/>
    </row>
    <row r="727" spans="1:5" x14ac:dyDescent="0.3">
      <c r="A727" s="22"/>
      <c r="D727" s="22"/>
      <c r="E727" s="22"/>
    </row>
    <row r="728" spans="1:5" x14ac:dyDescent="0.3">
      <c r="A728" s="22"/>
      <c r="D728" s="22"/>
      <c r="E728" s="22"/>
    </row>
    <row r="729" spans="1:5" x14ac:dyDescent="0.3">
      <c r="A729" s="22"/>
      <c r="D729" s="22"/>
      <c r="E729" s="22"/>
    </row>
    <row r="730" spans="1:5" x14ac:dyDescent="0.3">
      <c r="A730" s="22"/>
      <c r="D730" s="22"/>
      <c r="E730" s="22"/>
    </row>
    <row r="731" spans="1:5" x14ac:dyDescent="0.3">
      <c r="A731" s="22"/>
      <c r="D731" s="22"/>
      <c r="E731" s="22"/>
    </row>
    <row r="732" spans="1:5" x14ac:dyDescent="0.3">
      <c r="A732" s="22"/>
      <c r="D732" s="22"/>
      <c r="E732" s="22"/>
    </row>
    <row r="733" spans="1:5" x14ac:dyDescent="0.3">
      <c r="A733" s="22"/>
      <c r="D733" s="22"/>
      <c r="E733" s="22"/>
    </row>
    <row r="734" spans="1:5" x14ac:dyDescent="0.3">
      <c r="A734" s="22"/>
      <c r="D734" s="22"/>
      <c r="E734" s="22"/>
    </row>
    <row r="735" spans="1:5" x14ac:dyDescent="0.3">
      <c r="A735" s="22"/>
      <c r="D735" s="22"/>
      <c r="E735" s="22"/>
    </row>
    <row r="736" spans="1:5" x14ac:dyDescent="0.3">
      <c r="A736" s="22"/>
      <c r="D736" s="22"/>
      <c r="E736" s="22"/>
    </row>
    <row r="737" spans="1:5" x14ac:dyDescent="0.3">
      <c r="A737" s="22"/>
      <c r="D737" s="22"/>
      <c r="E737" s="22"/>
    </row>
    <row r="738" spans="1:5" x14ac:dyDescent="0.3">
      <c r="A738" s="22"/>
      <c r="D738" s="22"/>
      <c r="E738" s="22"/>
    </row>
    <row r="739" spans="1:5" x14ac:dyDescent="0.3">
      <c r="A739" s="22"/>
      <c r="D739" s="22"/>
      <c r="E739" s="22"/>
    </row>
    <row r="740" spans="1:5" x14ac:dyDescent="0.3">
      <c r="A740" s="22"/>
      <c r="D740" s="22"/>
      <c r="E740" s="22"/>
    </row>
    <row r="741" spans="1:5" x14ac:dyDescent="0.3">
      <c r="A741" s="22"/>
      <c r="D741" s="22"/>
      <c r="E741" s="22"/>
    </row>
    <row r="742" spans="1:5" x14ac:dyDescent="0.3">
      <c r="A742" s="22"/>
      <c r="D742" s="22"/>
      <c r="E742" s="22"/>
    </row>
    <row r="743" spans="1:5" x14ac:dyDescent="0.3">
      <c r="A743" s="22"/>
      <c r="D743" s="22"/>
      <c r="E743" s="22"/>
    </row>
    <row r="744" spans="1:5" x14ac:dyDescent="0.3">
      <c r="A744" s="22"/>
      <c r="D744" s="22"/>
      <c r="E744" s="22"/>
    </row>
    <row r="745" spans="1:5" x14ac:dyDescent="0.3">
      <c r="A745" s="22"/>
      <c r="D745" s="22"/>
      <c r="E745" s="22"/>
    </row>
    <row r="746" spans="1:5" x14ac:dyDescent="0.3">
      <c r="A746" s="22"/>
      <c r="D746" s="22"/>
      <c r="E746" s="22"/>
    </row>
    <row r="747" spans="1:5" x14ac:dyDescent="0.3">
      <c r="A747" s="22"/>
      <c r="D747" s="22"/>
      <c r="E747" s="22"/>
    </row>
    <row r="748" spans="1:5" x14ac:dyDescent="0.3">
      <c r="A748" s="22"/>
      <c r="D748" s="22"/>
      <c r="E748" s="22"/>
    </row>
    <row r="749" spans="1:5" x14ac:dyDescent="0.3">
      <c r="A749" s="22"/>
      <c r="D749" s="22"/>
      <c r="E749" s="22"/>
    </row>
    <row r="750" spans="1:5" x14ac:dyDescent="0.3">
      <c r="A750" s="22"/>
      <c r="D750" s="22"/>
      <c r="E750" s="22"/>
    </row>
    <row r="751" spans="1:5" x14ac:dyDescent="0.3">
      <c r="A751" s="22"/>
      <c r="D751" s="22"/>
      <c r="E751" s="22"/>
    </row>
    <row r="752" spans="1:5" x14ac:dyDescent="0.3">
      <c r="A752" s="22"/>
      <c r="D752" s="22"/>
      <c r="E752" s="22"/>
    </row>
    <row r="753" spans="1:5" x14ac:dyDescent="0.3">
      <c r="A753" s="22"/>
      <c r="D753" s="22"/>
      <c r="E753" s="22"/>
    </row>
    <row r="754" spans="1:5" x14ac:dyDescent="0.3">
      <c r="A754" s="22"/>
      <c r="D754" s="22"/>
      <c r="E754" s="22"/>
    </row>
    <row r="755" spans="1:5" x14ac:dyDescent="0.3">
      <c r="A755" s="22"/>
      <c r="D755" s="22"/>
      <c r="E755" s="22"/>
    </row>
    <row r="756" spans="1:5" x14ac:dyDescent="0.3">
      <c r="A756" s="22"/>
      <c r="D756" s="22"/>
      <c r="E756" s="22"/>
    </row>
    <row r="757" spans="1:5" x14ac:dyDescent="0.3">
      <c r="A757" s="22"/>
      <c r="D757" s="22"/>
      <c r="E757" s="22"/>
    </row>
    <row r="758" spans="1:5" x14ac:dyDescent="0.3">
      <c r="A758" s="22"/>
      <c r="D758" s="22"/>
      <c r="E758" s="22"/>
    </row>
    <row r="759" spans="1:5" x14ac:dyDescent="0.3">
      <c r="A759" s="22"/>
      <c r="D759" s="22"/>
      <c r="E759" s="22"/>
    </row>
    <row r="760" spans="1:5" x14ac:dyDescent="0.3">
      <c r="A760" s="22"/>
      <c r="D760" s="22"/>
      <c r="E760" s="22"/>
    </row>
    <row r="761" spans="1:5" x14ac:dyDescent="0.3">
      <c r="A761" s="22"/>
      <c r="D761" s="22"/>
      <c r="E761" s="22"/>
    </row>
    <row r="762" spans="1:5" x14ac:dyDescent="0.3">
      <c r="A762" s="22"/>
      <c r="D762" s="22"/>
      <c r="E762" s="22"/>
    </row>
    <row r="763" spans="1:5" x14ac:dyDescent="0.3">
      <c r="A763" s="22"/>
      <c r="D763" s="22"/>
      <c r="E763" s="22"/>
    </row>
    <row r="764" spans="1:5" x14ac:dyDescent="0.3">
      <c r="A764" s="22"/>
      <c r="D764" s="22"/>
      <c r="E764" s="22"/>
    </row>
    <row r="765" spans="1:5" x14ac:dyDescent="0.3">
      <c r="A765" s="22"/>
      <c r="D765" s="22"/>
      <c r="E765" s="22"/>
    </row>
    <row r="766" spans="1:5" x14ac:dyDescent="0.3">
      <c r="A766" s="22"/>
      <c r="D766" s="22"/>
      <c r="E766" s="22"/>
    </row>
    <row r="767" spans="1:5" x14ac:dyDescent="0.3">
      <c r="A767" s="22"/>
      <c r="D767" s="22"/>
      <c r="E767" s="22"/>
    </row>
    <row r="768" spans="1:5" x14ac:dyDescent="0.3">
      <c r="A768" s="22"/>
      <c r="D768" s="22"/>
      <c r="E768" s="22"/>
    </row>
    <row r="769" spans="1:5" x14ac:dyDescent="0.3">
      <c r="A769" s="22"/>
      <c r="D769" s="22"/>
      <c r="E769" s="22"/>
    </row>
    <row r="770" spans="1:5" x14ac:dyDescent="0.3">
      <c r="A770" s="22"/>
      <c r="D770" s="22"/>
      <c r="E770" s="22"/>
    </row>
    <row r="771" spans="1:5" x14ac:dyDescent="0.3">
      <c r="A771" s="22"/>
      <c r="D771" s="22"/>
      <c r="E771" s="22"/>
    </row>
    <row r="772" spans="1:5" x14ac:dyDescent="0.3">
      <c r="A772" s="22"/>
      <c r="D772" s="22"/>
      <c r="E772" s="22"/>
    </row>
    <row r="773" spans="1:5" x14ac:dyDescent="0.3">
      <c r="A773" s="22"/>
      <c r="D773" s="22"/>
      <c r="E773" s="22"/>
    </row>
    <row r="774" spans="1:5" x14ac:dyDescent="0.3">
      <c r="A774" s="22"/>
      <c r="D774" s="22"/>
      <c r="E774" s="22"/>
    </row>
    <row r="775" spans="1:5" x14ac:dyDescent="0.3">
      <c r="A775" s="22"/>
      <c r="D775" s="22"/>
      <c r="E775" s="22"/>
    </row>
    <row r="776" spans="1:5" x14ac:dyDescent="0.3">
      <c r="A776" s="22"/>
      <c r="D776" s="22"/>
      <c r="E776" s="22"/>
    </row>
    <row r="777" spans="1:5" x14ac:dyDescent="0.3">
      <c r="A777" s="22"/>
      <c r="D777" s="22"/>
      <c r="E777" s="22"/>
    </row>
    <row r="778" spans="1:5" x14ac:dyDescent="0.3">
      <c r="A778" s="22"/>
      <c r="D778" s="22"/>
      <c r="E778" s="22"/>
    </row>
    <row r="779" spans="1:5" x14ac:dyDescent="0.3">
      <c r="A779" s="22"/>
      <c r="D779" s="22"/>
      <c r="E779" s="22"/>
    </row>
    <row r="780" spans="1:5" x14ac:dyDescent="0.3">
      <c r="A780" s="22"/>
      <c r="D780" s="22"/>
      <c r="E780" s="22"/>
    </row>
    <row r="781" spans="1:5" x14ac:dyDescent="0.3">
      <c r="A781" s="22"/>
      <c r="D781" s="22"/>
      <c r="E781" s="22"/>
    </row>
    <row r="782" spans="1:5" x14ac:dyDescent="0.3">
      <c r="A782" s="22"/>
      <c r="D782" s="22"/>
      <c r="E782" s="22"/>
    </row>
    <row r="783" spans="1:5" x14ac:dyDescent="0.3">
      <c r="A783" s="22"/>
      <c r="D783" s="22"/>
      <c r="E783" s="22"/>
    </row>
    <row r="784" spans="1:5" x14ac:dyDescent="0.3">
      <c r="A784" s="22"/>
      <c r="D784" s="22"/>
      <c r="E784" s="22"/>
    </row>
    <row r="785" spans="1:5" x14ac:dyDescent="0.3">
      <c r="A785" s="22"/>
      <c r="D785" s="22"/>
      <c r="E785" s="22"/>
    </row>
    <row r="786" spans="1:5" x14ac:dyDescent="0.3">
      <c r="A786" s="22"/>
      <c r="D786" s="22"/>
      <c r="E786" s="22"/>
    </row>
    <row r="787" spans="1:5" x14ac:dyDescent="0.3">
      <c r="A787" s="22"/>
      <c r="D787" s="22"/>
      <c r="E787" s="22"/>
    </row>
    <row r="788" spans="1:5" x14ac:dyDescent="0.3">
      <c r="A788" s="22"/>
      <c r="D788" s="22"/>
      <c r="E788" s="22"/>
    </row>
    <row r="789" spans="1:5" x14ac:dyDescent="0.3">
      <c r="A789" s="22"/>
      <c r="D789" s="22"/>
      <c r="E789" s="22"/>
    </row>
    <row r="790" spans="1:5" x14ac:dyDescent="0.3">
      <c r="A790" s="22"/>
      <c r="D790" s="22"/>
      <c r="E790" s="22"/>
    </row>
    <row r="791" spans="1:5" x14ac:dyDescent="0.3">
      <c r="A791" s="22"/>
      <c r="D791" s="22"/>
      <c r="E791" s="22"/>
    </row>
    <row r="792" spans="1:5" x14ac:dyDescent="0.3">
      <c r="A792" s="22"/>
      <c r="D792" s="22"/>
      <c r="E792" s="22"/>
    </row>
    <row r="793" spans="1:5" x14ac:dyDescent="0.3">
      <c r="A793" s="22"/>
      <c r="D793" s="22"/>
      <c r="E793" s="22"/>
    </row>
    <row r="794" spans="1:5" x14ac:dyDescent="0.3">
      <c r="A794" s="22"/>
      <c r="D794" s="22"/>
      <c r="E794" s="22"/>
    </row>
    <row r="795" spans="1:5" x14ac:dyDescent="0.3">
      <c r="A795" s="22"/>
      <c r="D795" s="22"/>
      <c r="E795" s="22"/>
    </row>
    <row r="796" spans="1:5" x14ac:dyDescent="0.3">
      <c r="A796" s="22"/>
      <c r="D796" s="22"/>
      <c r="E796" s="22"/>
    </row>
    <row r="797" spans="1:5" x14ac:dyDescent="0.3">
      <c r="A797" s="22"/>
      <c r="D797" s="22"/>
      <c r="E797" s="22"/>
    </row>
    <row r="798" spans="1:5" x14ac:dyDescent="0.3">
      <c r="A798" s="22"/>
      <c r="D798" s="22"/>
      <c r="E798" s="22"/>
    </row>
    <row r="799" spans="1:5" x14ac:dyDescent="0.3">
      <c r="A799" s="22"/>
      <c r="D799" s="22"/>
      <c r="E799" s="22"/>
    </row>
    <row r="800" spans="1:5" x14ac:dyDescent="0.3">
      <c r="A800" s="22"/>
      <c r="D800" s="22"/>
      <c r="E800" s="22"/>
    </row>
    <row r="801" spans="1:5" x14ac:dyDescent="0.3">
      <c r="A801" s="22"/>
      <c r="D801" s="22"/>
      <c r="E801" s="22"/>
    </row>
    <row r="802" spans="1:5" x14ac:dyDescent="0.3">
      <c r="A802" s="22"/>
      <c r="D802" s="22"/>
      <c r="E802" s="22"/>
    </row>
    <row r="803" spans="1:5" x14ac:dyDescent="0.3">
      <c r="A803" s="22"/>
      <c r="D803" s="22"/>
      <c r="E803" s="22"/>
    </row>
    <row r="804" spans="1:5" x14ac:dyDescent="0.3">
      <c r="A804" s="22"/>
      <c r="D804" s="22"/>
      <c r="E804" s="22"/>
    </row>
    <row r="805" spans="1:5" x14ac:dyDescent="0.3">
      <c r="A805" s="22"/>
      <c r="D805" s="22"/>
      <c r="E805" s="22"/>
    </row>
    <row r="806" spans="1:5" x14ac:dyDescent="0.3">
      <c r="A806" s="22"/>
      <c r="D806" s="22"/>
      <c r="E806" s="22"/>
    </row>
    <row r="807" spans="1:5" x14ac:dyDescent="0.3">
      <c r="A807" s="22"/>
      <c r="D807" s="22"/>
      <c r="E807" s="22"/>
    </row>
    <row r="808" spans="1:5" x14ac:dyDescent="0.3">
      <c r="A808" s="22"/>
      <c r="D808" s="22"/>
      <c r="E808" s="22"/>
    </row>
    <row r="809" spans="1:5" x14ac:dyDescent="0.3">
      <c r="A809" s="22"/>
      <c r="D809" s="22"/>
      <c r="E809" s="22"/>
    </row>
    <row r="810" spans="1:5" x14ac:dyDescent="0.3">
      <c r="A810" s="22"/>
      <c r="D810" s="22"/>
      <c r="E810" s="22"/>
    </row>
    <row r="811" spans="1:5" x14ac:dyDescent="0.3">
      <c r="A811" s="22"/>
      <c r="D811" s="22"/>
      <c r="E811" s="22"/>
    </row>
    <row r="812" spans="1:5" x14ac:dyDescent="0.3">
      <c r="A812" s="22"/>
      <c r="D812" s="22"/>
      <c r="E812" s="22"/>
    </row>
    <row r="813" spans="1:5" x14ac:dyDescent="0.3">
      <c r="A813" s="22"/>
      <c r="D813" s="22"/>
      <c r="E813" s="22"/>
    </row>
    <row r="814" spans="1:5" x14ac:dyDescent="0.3">
      <c r="A814" s="22"/>
      <c r="D814" s="22"/>
      <c r="E814" s="22"/>
    </row>
    <row r="815" spans="1:5" x14ac:dyDescent="0.3">
      <c r="A815" s="22"/>
      <c r="D815" s="22"/>
      <c r="E815" s="22"/>
    </row>
    <row r="816" spans="1:5" x14ac:dyDescent="0.3">
      <c r="A816" s="22"/>
      <c r="D816" s="22"/>
      <c r="E816" s="22"/>
    </row>
    <row r="817" spans="1:5" x14ac:dyDescent="0.3">
      <c r="A817" s="22"/>
      <c r="D817" s="22"/>
      <c r="E817" s="22"/>
    </row>
    <row r="818" spans="1:5" x14ac:dyDescent="0.3">
      <c r="A818" s="22"/>
      <c r="D818" s="22"/>
      <c r="E818" s="22"/>
    </row>
    <row r="819" spans="1:5" x14ac:dyDescent="0.3">
      <c r="A819" s="22"/>
      <c r="D819" s="22"/>
      <c r="E819" s="22"/>
    </row>
    <row r="820" spans="1:5" x14ac:dyDescent="0.3">
      <c r="A820" s="22"/>
      <c r="D820" s="22"/>
      <c r="E820" s="22"/>
    </row>
    <row r="821" spans="1:5" x14ac:dyDescent="0.3">
      <c r="A821" s="22"/>
      <c r="D821" s="22"/>
      <c r="E821" s="22"/>
    </row>
    <row r="822" spans="1:5" x14ac:dyDescent="0.3">
      <c r="A822" s="22"/>
      <c r="D822" s="22"/>
      <c r="E822" s="22"/>
    </row>
    <row r="823" spans="1:5" x14ac:dyDescent="0.3">
      <c r="A823" s="22"/>
      <c r="D823" s="22"/>
      <c r="E823" s="22"/>
    </row>
    <row r="824" spans="1:5" x14ac:dyDescent="0.3">
      <c r="A824" s="22"/>
      <c r="D824" s="22"/>
      <c r="E824" s="22"/>
    </row>
    <row r="825" spans="1:5" x14ac:dyDescent="0.3">
      <c r="A825" s="22"/>
      <c r="D825" s="22"/>
      <c r="E825" s="22"/>
    </row>
    <row r="826" spans="1:5" x14ac:dyDescent="0.3">
      <c r="A826" s="22"/>
      <c r="D826" s="22"/>
      <c r="E826" s="22"/>
    </row>
    <row r="827" spans="1:5" x14ac:dyDescent="0.3">
      <c r="A827" s="22"/>
      <c r="D827" s="22"/>
      <c r="E827" s="22"/>
    </row>
    <row r="828" spans="1:5" x14ac:dyDescent="0.3">
      <c r="A828" s="22"/>
      <c r="D828" s="22"/>
      <c r="E828" s="22"/>
    </row>
    <row r="829" spans="1:5" x14ac:dyDescent="0.3">
      <c r="A829" s="22"/>
      <c r="D829" s="22"/>
      <c r="E829" s="22"/>
    </row>
    <row r="830" spans="1:5" x14ac:dyDescent="0.3">
      <c r="A830" s="22"/>
      <c r="D830" s="22"/>
      <c r="E830" s="22"/>
    </row>
    <row r="831" spans="1:5" x14ac:dyDescent="0.3">
      <c r="A831" s="22"/>
      <c r="D831" s="22"/>
      <c r="E831" s="22"/>
    </row>
    <row r="832" spans="1:5" x14ac:dyDescent="0.3">
      <c r="A832" s="22"/>
      <c r="D832" s="22"/>
      <c r="E832" s="22"/>
    </row>
    <row r="833" spans="1:5" x14ac:dyDescent="0.3">
      <c r="A833" s="22"/>
      <c r="D833" s="22"/>
      <c r="E833" s="22"/>
    </row>
    <row r="834" spans="1:5" x14ac:dyDescent="0.3">
      <c r="A834" s="22"/>
      <c r="D834" s="22"/>
      <c r="E834" s="22"/>
    </row>
    <row r="835" spans="1:5" x14ac:dyDescent="0.3">
      <c r="A835" s="22"/>
      <c r="D835" s="22"/>
      <c r="E835" s="22"/>
    </row>
    <row r="836" spans="1:5" x14ac:dyDescent="0.3">
      <c r="A836" s="22"/>
      <c r="D836" s="22"/>
      <c r="E836" s="22"/>
    </row>
    <row r="837" spans="1:5" x14ac:dyDescent="0.3">
      <c r="A837" s="22"/>
      <c r="D837" s="22"/>
      <c r="E837" s="22"/>
    </row>
    <row r="838" spans="1:5" x14ac:dyDescent="0.3">
      <c r="A838" s="22"/>
      <c r="D838" s="22"/>
      <c r="E838" s="22"/>
    </row>
    <row r="839" spans="1:5" x14ac:dyDescent="0.3">
      <c r="A839" s="22"/>
      <c r="D839" s="22"/>
      <c r="E839" s="22"/>
    </row>
    <row r="840" spans="1:5" x14ac:dyDescent="0.3">
      <c r="A840" s="22"/>
      <c r="D840" s="22"/>
      <c r="E840" s="22"/>
    </row>
    <row r="841" spans="1:5" x14ac:dyDescent="0.3">
      <c r="A841" s="22"/>
      <c r="D841" s="22"/>
      <c r="E841" s="22"/>
    </row>
    <row r="842" spans="1:5" x14ac:dyDescent="0.3">
      <c r="A842" s="22"/>
      <c r="D842" s="22"/>
      <c r="E842" s="22"/>
    </row>
    <row r="843" spans="1:5" x14ac:dyDescent="0.3">
      <c r="A843" s="22"/>
      <c r="D843" s="22"/>
      <c r="E843" s="22"/>
    </row>
    <row r="844" spans="1:5" x14ac:dyDescent="0.3">
      <c r="A844" s="22"/>
      <c r="D844" s="22"/>
      <c r="E844" s="22"/>
    </row>
    <row r="845" spans="1:5" x14ac:dyDescent="0.3">
      <c r="A845" s="22"/>
      <c r="D845" s="22"/>
      <c r="E845" s="22"/>
    </row>
    <row r="846" spans="1:5" x14ac:dyDescent="0.3">
      <c r="A846" s="22"/>
      <c r="D846" s="22"/>
      <c r="E846" s="22"/>
    </row>
    <row r="847" spans="1:5" x14ac:dyDescent="0.3">
      <c r="A847" s="22"/>
      <c r="D847" s="22"/>
      <c r="E847" s="22"/>
    </row>
    <row r="848" spans="1:5" x14ac:dyDescent="0.3">
      <c r="A848" s="22"/>
      <c r="D848" s="22"/>
      <c r="E848" s="22"/>
    </row>
    <row r="849" spans="1:5" x14ac:dyDescent="0.3">
      <c r="A849" s="22"/>
      <c r="D849" s="22"/>
      <c r="E849" s="22"/>
    </row>
    <row r="850" spans="1:5" x14ac:dyDescent="0.3">
      <c r="A850" s="22"/>
      <c r="D850" s="22"/>
      <c r="E850" s="22"/>
    </row>
    <row r="851" spans="1:5" x14ac:dyDescent="0.3">
      <c r="A851" s="22"/>
      <c r="D851" s="22"/>
      <c r="E851" s="22"/>
    </row>
    <row r="852" spans="1:5" x14ac:dyDescent="0.3">
      <c r="A852" s="22"/>
      <c r="D852" s="22"/>
      <c r="E852" s="22"/>
    </row>
    <row r="853" spans="1:5" x14ac:dyDescent="0.3">
      <c r="A853" s="22"/>
      <c r="D853" s="22"/>
      <c r="E853" s="22"/>
    </row>
    <row r="854" spans="1:5" x14ac:dyDescent="0.3">
      <c r="A854" s="22"/>
      <c r="D854" s="22"/>
      <c r="E854" s="22"/>
    </row>
    <row r="855" spans="1:5" x14ac:dyDescent="0.3">
      <c r="A855" s="22"/>
      <c r="D855" s="22"/>
      <c r="E855" s="22"/>
    </row>
    <row r="856" spans="1:5" x14ac:dyDescent="0.3">
      <c r="A856" s="22"/>
      <c r="D856" s="22"/>
      <c r="E856" s="22"/>
    </row>
    <row r="857" spans="1:5" x14ac:dyDescent="0.3">
      <c r="A857" s="22"/>
      <c r="D857" s="22"/>
      <c r="E857" s="22"/>
    </row>
    <row r="858" spans="1:5" x14ac:dyDescent="0.3">
      <c r="A858" s="22"/>
      <c r="D858" s="22"/>
      <c r="E858" s="22"/>
    </row>
    <row r="859" spans="1:5" x14ac:dyDescent="0.3">
      <c r="A859" s="22"/>
      <c r="D859" s="22"/>
      <c r="E859" s="22"/>
    </row>
    <row r="860" spans="1:5" x14ac:dyDescent="0.3">
      <c r="A860" s="22"/>
      <c r="D860" s="22"/>
      <c r="E860" s="22"/>
    </row>
    <row r="861" spans="1:5" x14ac:dyDescent="0.3">
      <c r="A861" s="22"/>
      <c r="D861" s="22"/>
      <c r="E861" s="22"/>
    </row>
    <row r="862" spans="1:5" x14ac:dyDescent="0.3">
      <c r="A862" s="22"/>
      <c r="D862" s="22"/>
      <c r="E862" s="22"/>
    </row>
    <row r="863" spans="1:5" x14ac:dyDescent="0.3">
      <c r="A863" s="22"/>
      <c r="D863" s="22"/>
      <c r="E863" s="22"/>
    </row>
    <row r="864" spans="1:5" x14ac:dyDescent="0.3">
      <c r="A864" s="22"/>
      <c r="D864" s="22"/>
      <c r="E864" s="22"/>
    </row>
    <row r="865" spans="1:5" x14ac:dyDescent="0.3">
      <c r="A865" s="22"/>
      <c r="D865" s="22"/>
      <c r="E865" s="22"/>
    </row>
    <row r="866" spans="1:5" x14ac:dyDescent="0.3">
      <c r="A866" s="22"/>
      <c r="D866" s="22"/>
      <c r="E866" s="22"/>
    </row>
    <row r="867" spans="1:5" x14ac:dyDescent="0.3">
      <c r="A867" s="22"/>
      <c r="D867" s="22"/>
      <c r="E867" s="22"/>
    </row>
    <row r="868" spans="1:5" x14ac:dyDescent="0.3">
      <c r="A868" s="22"/>
      <c r="D868" s="22"/>
      <c r="E868" s="22"/>
    </row>
    <row r="869" spans="1:5" x14ac:dyDescent="0.3">
      <c r="A869" s="22"/>
      <c r="D869" s="22"/>
      <c r="E869" s="22"/>
    </row>
    <row r="870" spans="1:5" x14ac:dyDescent="0.3">
      <c r="A870" s="22"/>
      <c r="D870" s="22"/>
      <c r="E870" s="22"/>
    </row>
    <row r="871" spans="1:5" x14ac:dyDescent="0.3">
      <c r="A871" s="22"/>
      <c r="D871" s="22"/>
      <c r="E871" s="22"/>
    </row>
    <row r="872" spans="1:5" x14ac:dyDescent="0.3">
      <c r="A872" s="22"/>
      <c r="D872" s="22"/>
      <c r="E872" s="22"/>
    </row>
    <row r="873" spans="1:5" x14ac:dyDescent="0.3">
      <c r="A873" s="22"/>
      <c r="D873" s="22"/>
      <c r="E873" s="22"/>
    </row>
    <row r="874" spans="1:5" x14ac:dyDescent="0.3">
      <c r="A874" s="22"/>
      <c r="D874" s="22"/>
      <c r="E874" s="22"/>
    </row>
    <row r="875" spans="1:5" x14ac:dyDescent="0.3">
      <c r="A875" s="22"/>
      <c r="D875" s="22"/>
      <c r="E875" s="22"/>
    </row>
    <row r="876" spans="1:5" x14ac:dyDescent="0.3">
      <c r="A876" s="22"/>
      <c r="D876" s="22"/>
      <c r="E876" s="22"/>
    </row>
    <row r="877" spans="1:5" x14ac:dyDescent="0.3">
      <c r="A877" s="22"/>
      <c r="D877" s="22"/>
      <c r="E877" s="22"/>
    </row>
    <row r="878" spans="1:5" x14ac:dyDescent="0.3">
      <c r="A878" s="22"/>
      <c r="D878" s="22"/>
      <c r="E878" s="22"/>
    </row>
    <row r="879" spans="1:5" x14ac:dyDescent="0.3">
      <c r="A879" s="22"/>
      <c r="D879" s="22"/>
      <c r="E879" s="22"/>
    </row>
    <row r="880" spans="1:5" x14ac:dyDescent="0.3">
      <c r="A880" s="22"/>
      <c r="D880" s="22"/>
      <c r="E880" s="22"/>
    </row>
    <row r="881" spans="1:5" x14ac:dyDescent="0.3">
      <c r="A881" s="22"/>
      <c r="D881" s="22"/>
      <c r="E881" s="22"/>
    </row>
    <row r="882" spans="1:5" x14ac:dyDescent="0.3">
      <c r="A882" s="22"/>
      <c r="D882" s="22"/>
      <c r="E882" s="22"/>
    </row>
    <row r="883" spans="1:5" x14ac:dyDescent="0.3">
      <c r="A883" s="22"/>
      <c r="D883" s="22"/>
      <c r="E883" s="22"/>
    </row>
    <row r="884" spans="1:5" x14ac:dyDescent="0.3">
      <c r="A884" s="22"/>
      <c r="D884" s="22"/>
      <c r="E884" s="22"/>
    </row>
    <row r="885" spans="1:5" x14ac:dyDescent="0.3">
      <c r="A885" s="22"/>
      <c r="D885" s="22"/>
      <c r="E885" s="22"/>
    </row>
    <row r="886" spans="1:5" x14ac:dyDescent="0.3">
      <c r="A886" s="22"/>
      <c r="D886" s="22"/>
      <c r="E886" s="22"/>
    </row>
    <row r="887" spans="1:5" x14ac:dyDescent="0.3">
      <c r="A887" s="22"/>
      <c r="D887" s="22"/>
      <c r="E887" s="22"/>
    </row>
    <row r="888" spans="1:5" x14ac:dyDescent="0.3">
      <c r="A888" s="22"/>
      <c r="D888" s="22"/>
      <c r="E888" s="22"/>
    </row>
    <row r="889" spans="1:5" x14ac:dyDescent="0.3">
      <c r="A889" s="22"/>
      <c r="D889" s="22"/>
      <c r="E889" s="22"/>
    </row>
    <row r="890" spans="1:5" x14ac:dyDescent="0.3">
      <c r="A890" s="22"/>
      <c r="D890" s="22"/>
      <c r="E890" s="22"/>
    </row>
    <row r="891" spans="1:5" x14ac:dyDescent="0.3">
      <c r="A891" s="22"/>
      <c r="D891" s="22"/>
      <c r="E891" s="22"/>
    </row>
    <row r="892" spans="1:5" x14ac:dyDescent="0.3">
      <c r="A892" s="22"/>
      <c r="D892" s="22"/>
      <c r="E892" s="22"/>
    </row>
    <row r="893" spans="1:5" x14ac:dyDescent="0.3">
      <c r="A893" s="22"/>
      <c r="D893" s="22"/>
      <c r="E893" s="22"/>
    </row>
    <row r="894" spans="1:5" x14ac:dyDescent="0.3">
      <c r="A894" s="22"/>
      <c r="D894" s="22"/>
      <c r="E894" s="22"/>
    </row>
    <row r="895" spans="1:5" x14ac:dyDescent="0.3">
      <c r="A895" s="22"/>
      <c r="D895" s="22"/>
      <c r="E895" s="22"/>
    </row>
    <row r="896" spans="1:5" x14ac:dyDescent="0.3">
      <c r="A896" s="22"/>
      <c r="D896" s="22"/>
      <c r="E896" s="22"/>
    </row>
    <row r="897" spans="1:5" x14ac:dyDescent="0.3">
      <c r="A897" s="22"/>
      <c r="D897" s="22"/>
      <c r="E897" s="22"/>
    </row>
    <row r="898" spans="1:5" x14ac:dyDescent="0.3">
      <c r="A898" s="22"/>
      <c r="D898" s="22"/>
      <c r="E898" s="22"/>
    </row>
    <row r="899" spans="1:5" x14ac:dyDescent="0.3">
      <c r="A899" s="22"/>
      <c r="D899" s="22"/>
      <c r="E899" s="22"/>
    </row>
    <row r="900" spans="1:5" x14ac:dyDescent="0.3">
      <c r="A900" s="22"/>
      <c r="D900" s="22"/>
      <c r="E900" s="22"/>
    </row>
    <row r="901" spans="1:5" x14ac:dyDescent="0.3">
      <c r="A901" s="22"/>
      <c r="D901" s="22"/>
      <c r="E901" s="22"/>
    </row>
    <row r="902" spans="1:5" x14ac:dyDescent="0.3">
      <c r="A902" s="22"/>
      <c r="D902" s="22"/>
      <c r="E902" s="22"/>
    </row>
    <row r="903" spans="1:5" x14ac:dyDescent="0.3">
      <c r="A903" s="22"/>
      <c r="D903" s="22"/>
      <c r="E903" s="22"/>
    </row>
    <row r="904" spans="1:5" x14ac:dyDescent="0.3">
      <c r="A904" s="22"/>
      <c r="D904" s="22"/>
      <c r="E904" s="22"/>
    </row>
    <row r="905" spans="1:5" x14ac:dyDescent="0.3">
      <c r="A905" s="22"/>
      <c r="D905" s="22"/>
      <c r="E905" s="22"/>
    </row>
    <row r="906" spans="1:5" x14ac:dyDescent="0.3">
      <c r="A906" s="22"/>
      <c r="D906" s="22"/>
      <c r="E906" s="22"/>
    </row>
    <row r="907" spans="1:5" x14ac:dyDescent="0.3">
      <c r="A907" s="22"/>
      <c r="D907" s="22"/>
      <c r="E907" s="22"/>
    </row>
    <row r="908" spans="1:5" x14ac:dyDescent="0.3">
      <c r="A908" s="22"/>
      <c r="D908" s="22"/>
      <c r="E908" s="22"/>
    </row>
    <row r="909" spans="1:5" x14ac:dyDescent="0.3">
      <c r="A909" s="22"/>
      <c r="D909" s="22"/>
      <c r="E909" s="22"/>
    </row>
    <row r="910" spans="1:5" x14ac:dyDescent="0.3">
      <c r="A910" s="22"/>
      <c r="D910" s="22"/>
      <c r="E910" s="22"/>
    </row>
    <row r="911" spans="1:5" x14ac:dyDescent="0.3">
      <c r="A911" s="22"/>
      <c r="D911" s="22"/>
      <c r="E911" s="22"/>
    </row>
    <row r="912" spans="1:5" x14ac:dyDescent="0.3">
      <c r="A912" s="22"/>
      <c r="D912" s="22"/>
      <c r="E912" s="22"/>
    </row>
    <row r="913" spans="1:5" x14ac:dyDescent="0.3">
      <c r="A913" s="22"/>
      <c r="D913" s="22"/>
      <c r="E913" s="22"/>
    </row>
    <row r="914" spans="1:5" x14ac:dyDescent="0.3">
      <c r="A914" s="22"/>
      <c r="D914" s="22"/>
      <c r="E914" s="22"/>
    </row>
    <row r="915" spans="1:5" x14ac:dyDescent="0.3">
      <c r="A915" s="22"/>
      <c r="D915" s="22"/>
      <c r="E915" s="22"/>
    </row>
    <row r="916" spans="1:5" x14ac:dyDescent="0.3">
      <c r="A916" s="22"/>
      <c r="D916" s="22"/>
      <c r="E916" s="22"/>
    </row>
    <row r="917" spans="1:5" x14ac:dyDescent="0.3">
      <c r="A917" s="22"/>
      <c r="D917" s="22"/>
      <c r="E917" s="22"/>
    </row>
    <row r="918" spans="1:5" x14ac:dyDescent="0.3">
      <c r="A918" s="22"/>
      <c r="D918" s="22"/>
      <c r="E918" s="22"/>
    </row>
    <row r="919" spans="1:5" x14ac:dyDescent="0.3">
      <c r="A919" s="22"/>
      <c r="D919" s="22"/>
      <c r="E919" s="22"/>
    </row>
    <row r="920" spans="1:5" x14ac:dyDescent="0.3">
      <c r="A920" s="22"/>
      <c r="D920" s="22"/>
      <c r="E920" s="22"/>
    </row>
    <row r="921" spans="1:5" x14ac:dyDescent="0.3">
      <c r="A921" s="22"/>
      <c r="D921" s="22"/>
      <c r="E921" s="22"/>
    </row>
    <row r="922" spans="1:5" x14ac:dyDescent="0.3">
      <c r="A922" s="22"/>
      <c r="D922" s="22"/>
      <c r="E922" s="22"/>
    </row>
    <row r="923" spans="1:5" x14ac:dyDescent="0.3">
      <c r="A923" s="22"/>
      <c r="D923" s="22"/>
      <c r="E923" s="22"/>
    </row>
    <row r="924" spans="1:5" x14ac:dyDescent="0.3">
      <c r="A924" s="22"/>
      <c r="D924" s="22"/>
      <c r="E924" s="22"/>
    </row>
    <row r="925" spans="1:5" x14ac:dyDescent="0.3">
      <c r="A925" s="22"/>
      <c r="D925" s="22"/>
      <c r="E925" s="22"/>
    </row>
    <row r="926" spans="1:5" x14ac:dyDescent="0.3">
      <c r="A926" s="22"/>
      <c r="D926" s="22"/>
      <c r="E926" s="22"/>
    </row>
    <row r="927" spans="1:5" x14ac:dyDescent="0.3">
      <c r="A927" s="22"/>
      <c r="D927" s="22"/>
      <c r="E927" s="22"/>
    </row>
    <row r="928" spans="1:5" x14ac:dyDescent="0.3">
      <c r="A928" s="22"/>
      <c r="D928" s="22"/>
      <c r="E928" s="22"/>
    </row>
    <row r="929" spans="1:5" x14ac:dyDescent="0.3">
      <c r="A929" s="22"/>
      <c r="D929" s="22"/>
      <c r="E929" s="22"/>
    </row>
    <row r="930" spans="1:5" x14ac:dyDescent="0.3">
      <c r="A930" s="22"/>
      <c r="D930" s="22"/>
      <c r="E930" s="22"/>
    </row>
  </sheetData>
  <mergeCells count="4">
    <mergeCell ref="R11:S11"/>
    <mergeCell ref="M25:N25"/>
    <mergeCell ref="R10:S10"/>
    <mergeCell ref="B2:H3"/>
  </mergeCells>
  <printOptions horizontalCentered="1"/>
  <pageMargins left="0.4" right="0.4" top="1" bottom="0.5" header="0.3" footer="0.3"/>
  <pageSetup paperSize="9" scale="30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  <pageSetUpPr fitToPage="1"/>
  </sheetPr>
  <dimension ref="A1:Y18"/>
  <sheetViews>
    <sheetView topLeftCell="M1" zoomScale="115" zoomScaleNormal="11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5.66406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12.25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241</v>
      </c>
      <c r="F1" s="47" t="s">
        <v>46</v>
      </c>
      <c r="G1" s="13">
        <f>D1/B1</f>
        <v>241</v>
      </c>
      <c r="H1" s="47" t="s">
        <v>71</v>
      </c>
      <c r="I1" s="46" t="s">
        <v>72</v>
      </c>
      <c r="M1" s="22"/>
      <c r="U1" s="235" t="s">
        <v>321</v>
      </c>
      <c r="V1" s="232">
        <v>239</v>
      </c>
    </row>
    <row r="2" spans="1:25" ht="14.25" customHeight="1" x14ac:dyDescent="0.3">
      <c r="A2" s="59"/>
      <c r="B2" s="242" t="s">
        <v>73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4</v>
      </c>
      <c r="B5" s="14" t="s">
        <v>144</v>
      </c>
      <c r="C5" s="19" t="s">
        <v>5</v>
      </c>
      <c r="D5" s="18">
        <v>2</v>
      </c>
      <c r="E5" s="15">
        <f t="shared" ref="E5:E10" si="0">$G$1</f>
        <v>241</v>
      </c>
      <c r="F5" s="16">
        <v>1</v>
      </c>
      <c r="G5" s="15">
        <f t="shared" ref="G5:G10" si="1">E5*D5</f>
        <v>482</v>
      </c>
      <c r="H5" s="167">
        <f t="shared" ref="H5:H10" si="2">G5*F5</f>
        <v>482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 t="shared" ref="K5:K10" si="3">(H5/I5)</f>
        <v>502.08333333333337</v>
      </c>
      <c r="L5" s="169">
        <f t="shared" ref="L5" si="4">J5*K5</f>
        <v>217.56944444444446</v>
      </c>
    </row>
    <row r="6" spans="1:25" ht="14.75" customHeight="1" x14ac:dyDescent="0.35">
      <c r="A6" s="14" t="s">
        <v>12</v>
      </c>
      <c r="B6" s="14" t="s">
        <v>200</v>
      </c>
      <c r="C6" s="19" t="s">
        <v>7</v>
      </c>
      <c r="D6" s="18">
        <f>M6/182</f>
        <v>20.329670329670328</v>
      </c>
      <c r="E6" s="15">
        <f t="shared" si="0"/>
        <v>241</v>
      </c>
      <c r="F6" s="16">
        <v>1</v>
      </c>
      <c r="G6" s="15">
        <f t="shared" si="1"/>
        <v>4899.4505494505493</v>
      </c>
      <c r="H6" s="167">
        <f t="shared" si="2"/>
        <v>4899.4505494505493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9" si="5">((H6/(I6))/1000)</f>
        <v>4.8994505494505489</v>
      </c>
      <c r="L6" s="169">
        <f t="shared" ref="L6:L10" si="6">J6*K6</f>
        <v>73.49175824175822</v>
      </c>
      <c r="M6">
        <v>3700</v>
      </c>
    </row>
    <row r="7" spans="1:25" ht="14.75" customHeight="1" x14ac:dyDescent="0.35">
      <c r="A7" s="14" t="s">
        <v>12</v>
      </c>
      <c r="B7" s="14" t="s">
        <v>169</v>
      </c>
      <c r="C7" s="19" t="s">
        <v>7</v>
      </c>
      <c r="D7" s="18">
        <f>M7/182</f>
        <v>2.802197802197802</v>
      </c>
      <c r="E7" s="15">
        <f t="shared" si="0"/>
        <v>241</v>
      </c>
      <c r="F7" s="16">
        <v>1</v>
      </c>
      <c r="G7" s="15">
        <f t="shared" si="1"/>
        <v>675.32967032967031</v>
      </c>
      <c r="H7" s="167">
        <f t="shared" si="2"/>
        <v>675.32967032967031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5"/>
        <v>0.67532967032967028</v>
      </c>
      <c r="L7" s="169">
        <f t="shared" si="6"/>
        <v>9.1476473526473523</v>
      </c>
      <c r="M7">
        <v>510</v>
      </c>
    </row>
    <row r="8" spans="1:25" ht="14.75" customHeight="1" x14ac:dyDescent="0.35">
      <c r="A8" s="14" t="s">
        <v>40</v>
      </c>
      <c r="B8" s="14" t="s">
        <v>176</v>
      </c>
      <c r="C8" s="19" t="s">
        <v>7</v>
      </c>
      <c r="D8" s="18">
        <f>M8/182</f>
        <v>0.2032967032967033</v>
      </c>
      <c r="E8" s="15">
        <f t="shared" si="0"/>
        <v>241</v>
      </c>
      <c r="F8" s="16">
        <v>1</v>
      </c>
      <c r="G8" s="15">
        <f t="shared" si="1"/>
        <v>48.994505494505496</v>
      </c>
      <c r="H8" s="167">
        <f t="shared" si="2"/>
        <v>48.994505494505496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5"/>
        <v>4.89945054945055E-2</v>
      </c>
      <c r="L8" s="169">
        <f t="shared" si="6"/>
        <v>1.5188296703296704</v>
      </c>
      <c r="M8">
        <v>37</v>
      </c>
      <c r="V8" s="171" t="s">
        <v>277</v>
      </c>
      <c r="W8" s="172">
        <v>1</v>
      </c>
      <c r="X8" s="171" t="s">
        <v>80</v>
      </c>
      <c r="Y8" s="173">
        <f>SUM(L5:L10)/S15</f>
        <v>1.7523886668886672</v>
      </c>
    </row>
    <row r="9" spans="1:25" ht="14.75" customHeight="1" x14ac:dyDescent="0.35">
      <c r="A9" s="14" t="s">
        <v>40</v>
      </c>
      <c r="B9" s="14" t="s">
        <v>175</v>
      </c>
      <c r="C9" s="19" t="s">
        <v>7</v>
      </c>
      <c r="D9" s="18">
        <f>M9/182</f>
        <v>0.5494505494505495</v>
      </c>
      <c r="E9" s="15">
        <f t="shared" si="0"/>
        <v>241</v>
      </c>
      <c r="F9" s="16">
        <v>1</v>
      </c>
      <c r="G9" s="15">
        <f t="shared" si="1"/>
        <v>132.41758241758242</v>
      </c>
      <c r="H9" s="167">
        <f t="shared" si="2"/>
        <v>132.41758241758242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5"/>
        <v>0.13241758241758242</v>
      </c>
      <c r="L9" s="169">
        <f t="shared" si="6"/>
        <v>9.7989010989010986E-2</v>
      </c>
      <c r="M9">
        <v>100</v>
      </c>
    </row>
    <row r="10" spans="1:25" ht="14.75" customHeight="1" x14ac:dyDescent="0.35">
      <c r="A10" s="14" t="s">
        <v>38</v>
      </c>
      <c r="B10" s="14" t="s">
        <v>359</v>
      </c>
      <c r="C10" s="19" t="s">
        <v>5</v>
      </c>
      <c r="D10" s="18">
        <v>1</v>
      </c>
      <c r="E10" s="15">
        <f t="shared" si="0"/>
        <v>241</v>
      </c>
      <c r="F10" s="16">
        <v>1</v>
      </c>
      <c r="G10" s="15">
        <f t="shared" si="1"/>
        <v>241</v>
      </c>
      <c r="H10" s="167">
        <f t="shared" si="2"/>
        <v>241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3"/>
        <v>241</v>
      </c>
      <c r="L10" s="169">
        <f t="shared" si="6"/>
        <v>120.5</v>
      </c>
      <c r="M10" s="84"/>
      <c r="R10" s="244" t="s">
        <v>6</v>
      </c>
      <c r="S10" s="245"/>
    </row>
    <row r="11" spans="1:25" x14ac:dyDescent="0.3">
      <c r="I11" s="94"/>
      <c r="J11" s="94"/>
      <c r="K11" s="94"/>
      <c r="L11" s="84"/>
      <c r="M11" s="84"/>
      <c r="R11" s="236" t="s">
        <v>62</v>
      </c>
      <c r="S11" s="246"/>
    </row>
    <row r="12" spans="1:25" ht="14.75" customHeight="1" thickBot="1" x14ac:dyDescent="0.35">
      <c r="I12" s="94"/>
      <c r="J12" s="94"/>
      <c r="K12" s="94"/>
      <c r="L12" s="84"/>
      <c r="M12" s="84"/>
      <c r="R12" s="177" t="s">
        <v>63</v>
      </c>
      <c r="S12" s="178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R13" s="179" t="s">
        <v>82</v>
      </c>
      <c r="S13" s="180">
        <f>V1</f>
        <v>239</v>
      </c>
    </row>
    <row r="14" spans="1:25" ht="14.75" customHeight="1" thickBot="1" x14ac:dyDescent="0.35">
      <c r="I14" s="94"/>
      <c r="J14" s="94"/>
      <c r="K14" s="94"/>
      <c r="L14" s="84"/>
      <c r="M14" s="84"/>
      <c r="R14" s="179" t="s">
        <v>83</v>
      </c>
      <c r="S14" s="181">
        <v>2</v>
      </c>
    </row>
    <row r="15" spans="1:25" x14ac:dyDescent="0.3">
      <c r="I15" s="94"/>
      <c r="J15" s="94"/>
      <c r="K15" s="94"/>
      <c r="L15" s="84"/>
      <c r="M15" s="84"/>
      <c r="R15" s="182" t="s">
        <v>84</v>
      </c>
      <c r="S15" s="183">
        <f>S13+S14</f>
        <v>241</v>
      </c>
    </row>
    <row r="16" spans="1:25" x14ac:dyDescent="0.3">
      <c r="I16" s="94"/>
      <c r="J16" s="94"/>
      <c r="K16" s="94"/>
      <c r="L16" s="84"/>
      <c r="M16" s="84"/>
      <c r="R16" s="35" t="s">
        <v>80</v>
      </c>
      <c r="S16" s="39">
        <f>SUM(L5:L10)</f>
        <v>422.32566872016878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  <pageSetUpPr fitToPage="1"/>
  </sheetPr>
  <dimension ref="A1:Y18"/>
  <sheetViews>
    <sheetView topLeftCell="J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0.25" customWidth="1"/>
    <col min="13" max="14" width="1.6640625" customWidth="1"/>
    <col min="15" max="15" width="8.58203125" customWidth="1"/>
    <col min="16" max="16" width="10.83203125" customWidth="1"/>
    <col min="17" max="17" width="1.66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105</v>
      </c>
      <c r="F1" s="47" t="s">
        <v>46</v>
      </c>
      <c r="G1" s="13">
        <f>D1/B1</f>
        <v>105</v>
      </c>
      <c r="H1" s="47" t="s">
        <v>85</v>
      </c>
      <c r="I1" s="13">
        <v>50</v>
      </c>
      <c r="K1" s="49" t="s">
        <v>86</v>
      </c>
      <c r="U1" s="235" t="s">
        <v>321</v>
      </c>
      <c r="V1" s="232">
        <v>103</v>
      </c>
    </row>
    <row r="2" spans="1:25" ht="14.25" customHeight="1" x14ac:dyDescent="0.3">
      <c r="A2" s="59"/>
      <c r="B2" s="242" t="s">
        <v>87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$G$1</f>
        <v>105</v>
      </c>
      <c r="F5" s="16">
        <v>1</v>
      </c>
      <c r="G5" s="15">
        <f>E5*D5</f>
        <v>105</v>
      </c>
      <c r="H5" s="167">
        <f>G5*F5</f>
        <v>105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105</v>
      </c>
      <c r="L5" s="169">
        <f>J5*K5</f>
        <v>262.5</v>
      </c>
    </row>
    <row r="6" spans="1:25" ht="14.75" customHeight="1" x14ac:dyDescent="0.35">
      <c r="A6" s="14" t="s">
        <v>26</v>
      </c>
      <c r="B6" s="14" t="s">
        <v>128</v>
      </c>
      <c r="C6" s="19" t="s">
        <v>7</v>
      </c>
      <c r="D6" s="18">
        <v>15</v>
      </c>
      <c r="E6" s="15">
        <f>$G$1</f>
        <v>105</v>
      </c>
      <c r="F6" s="16">
        <v>1</v>
      </c>
      <c r="G6" s="15">
        <f>E6*D6</f>
        <v>1575</v>
      </c>
      <c r="H6" s="167">
        <f>G6*F6</f>
        <v>1575</v>
      </c>
      <c r="I6" s="167">
        <f>VLOOKUP(B6,Ordering!$A$1:$J$88,6,FALSE)</f>
        <v>1</v>
      </c>
      <c r="J6" s="167">
        <f>VLOOKUP(B6,Ordering!$A$1:$J$88,10,FALSE)</f>
        <v>4.25</v>
      </c>
      <c r="K6" s="167">
        <f t="shared" ref="K6:K7" si="0">((H6/(I6))/1000)</f>
        <v>1.575</v>
      </c>
      <c r="L6" s="169">
        <f>J6*K6</f>
        <v>6.6937499999999996</v>
      </c>
    </row>
    <row r="7" spans="1:25" ht="14.75" customHeight="1" x14ac:dyDescent="0.35">
      <c r="A7" s="14"/>
      <c r="B7" s="14" t="s">
        <v>333</v>
      </c>
      <c r="C7" s="19" t="s">
        <v>7</v>
      </c>
      <c r="D7" s="18">
        <v>35</v>
      </c>
      <c r="E7" s="15">
        <f>$G$1</f>
        <v>105</v>
      </c>
      <c r="F7" s="16">
        <v>1</v>
      </c>
      <c r="G7" s="15">
        <f>E7*D7</f>
        <v>3675</v>
      </c>
      <c r="H7" s="167">
        <f>G7*F7</f>
        <v>3675</v>
      </c>
      <c r="I7" s="167">
        <f>VLOOKUP(B7,Ordering!$A$1:$J$88,6,FALSE)</f>
        <v>1</v>
      </c>
      <c r="J7" s="167">
        <f>VLOOKUP(B7,Ordering!$A$1:$J$88,10,FALSE)</f>
        <v>21.527777777777779</v>
      </c>
      <c r="K7" s="167">
        <f t="shared" si="0"/>
        <v>3.6749999999999998</v>
      </c>
      <c r="L7" s="169">
        <f>J7*K7</f>
        <v>79.114583333333329</v>
      </c>
      <c r="V7" s="171" t="s">
        <v>277</v>
      </c>
      <c r="W7" s="172">
        <v>1</v>
      </c>
      <c r="X7" s="171" t="s">
        <v>80</v>
      </c>
      <c r="Y7" s="173">
        <f>SUM(L5:L7)/S15</f>
        <v>3.3172222222222221</v>
      </c>
    </row>
    <row r="8" spans="1:25" x14ac:dyDescent="0.3">
      <c r="H8" s="219"/>
      <c r="I8" s="217"/>
      <c r="J8" s="217"/>
      <c r="K8" s="217"/>
      <c r="L8" s="219"/>
    </row>
    <row r="9" spans="1:25" x14ac:dyDescent="0.3">
      <c r="H9" s="219"/>
      <c r="I9" s="217"/>
      <c r="J9" s="217"/>
      <c r="K9" s="217"/>
      <c r="L9" s="219"/>
    </row>
    <row r="10" spans="1:25" x14ac:dyDescent="0.3">
      <c r="H10" s="219"/>
      <c r="I10" s="217"/>
      <c r="J10" s="217"/>
      <c r="K10" s="217"/>
      <c r="L10" s="219"/>
      <c r="R10" s="244" t="s">
        <v>8</v>
      </c>
      <c r="S10" s="241"/>
    </row>
    <row r="11" spans="1:25" x14ac:dyDescent="0.3">
      <c r="H11" s="84"/>
      <c r="I11" s="94"/>
      <c r="J11" s="94"/>
      <c r="K11" s="94"/>
      <c r="L11" s="84"/>
      <c r="R11" s="236" t="s">
        <v>62</v>
      </c>
      <c r="S11" s="237"/>
    </row>
    <row r="12" spans="1:25" ht="14.75" customHeight="1" thickBot="1" x14ac:dyDescent="0.35">
      <c r="H12" s="84"/>
      <c r="I12" s="94"/>
      <c r="J12" s="94"/>
      <c r="K12" s="94"/>
      <c r="L12" s="84"/>
      <c r="R12" s="5" t="s">
        <v>63</v>
      </c>
      <c r="S12" s="6" t="s">
        <v>81</v>
      </c>
    </row>
    <row r="13" spans="1:25" ht="14.75" customHeight="1" thickBot="1" x14ac:dyDescent="0.35">
      <c r="H13" s="84"/>
      <c r="I13" s="94"/>
      <c r="J13" s="94"/>
      <c r="K13" s="94"/>
      <c r="L13" s="84"/>
      <c r="R13" s="7" t="s">
        <v>82</v>
      </c>
      <c r="S13" s="8">
        <f>V1</f>
        <v>103</v>
      </c>
    </row>
    <row r="14" spans="1:25" ht="14.75" customHeight="1" thickBot="1" x14ac:dyDescent="0.35">
      <c r="H14" s="84"/>
      <c r="I14" s="94"/>
      <c r="J14" s="94"/>
      <c r="K14" s="94"/>
      <c r="L14" s="84"/>
      <c r="R14" s="7" t="s">
        <v>83</v>
      </c>
      <c r="S14" s="9">
        <v>2</v>
      </c>
    </row>
    <row r="15" spans="1:25" x14ac:dyDescent="0.3">
      <c r="H15" s="84"/>
      <c r="I15" s="94"/>
      <c r="J15" s="94"/>
      <c r="K15" s="94"/>
      <c r="L15" s="84"/>
      <c r="R15" s="10" t="s">
        <v>84</v>
      </c>
      <c r="S15" s="11">
        <f>S13+S14</f>
        <v>105</v>
      </c>
    </row>
    <row r="16" spans="1:25" x14ac:dyDescent="0.3">
      <c r="H16" s="84"/>
      <c r="I16" s="94"/>
      <c r="J16" s="94"/>
      <c r="K16" s="94"/>
      <c r="L16" s="84"/>
      <c r="R16" s="35" t="s">
        <v>80</v>
      </c>
      <c r="S16" s="39">
        <f>SUM(L5:L10)</f>
        <v>348.30833333333334</v>
      </c>
    </row>
    <row r="17" spans="8:12" x14ac:dyDescent="0.3">
      <c r="H17" s="84"/>
      <c r="I17" s="94"/>
      <c r="J17" s="94"/>
      <c r="K17" s="94"/>
      <c r="L17" s="84"/>
    </row>
    <row r="18" spans="8:12" x14ac:dyDescent="0.3">
      <c r="H18" s="84"/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  <pageSetUpPr fitToPage="1"/>
  </sheetPr>
  <dimension ref="A1:Y19"/>
  <sheetViews>
    <sheetView topLeftCell="G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16</v>
      </c>
      <c r="F1" s="47" t="s">
        <v>46</v>
      </c>
      <c r="G1" s="13">
        <f>D1/B1</f>
        <v>16</v>
      </c>
      <c r="H1" s="47" t="s">
        <v>85</v>
      </c>
      <c r="I1" s="13" t="s">
        <v>88</v>
      </c>
      <c r="K1" s="49" t="s">
        <v>86</v>
      </c>
      <c r="U1" s="235" t="s">
        <v>321</v>
      </c>
      <c r="V1" s="232">
        <v>14</v>
      </c>
    </row>
    <row r="2" spans="1:25" ht="14.25" customHeight="1" x14ac:dyDescent="0.3">
      <c r="A2" s="59"/>
      <c r="B2" s="242" t="s">
        <v>89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5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5.5" customHeight="1" thickTop="1" thickBot="1" x14ac:dyDescent="0.4">
      <c r="A5" s="14" t="s">
        <v>4</v>
      </c>
      <c r="B5" s="14" t="s">
        <v>375</v>
      </c>
      <c r="C5" s="19" t="s">
        <v>7</v>
      </c>
      <c r="D5" s="18">
        <f>N5*0.75</f>
        <v>14.25</v>
      </c>
      <c r="E5" s="15">
        <f t="shared" ref="E5:E10" si="0">$G$1</f>
        <v>16</v>
      </c>
      <c r="F5" s="16">
        <v>1</v>
      </c>
      <c r="G5" s="155">
        <f t="shared" ref="G5:G10" si="1">E5*D5</f>
        <v>228</v>
      </c>
      <c r="H5" s="167">
        <f t="shared" ref="H5:H10" si="2">G5*F5</f>
        <v>228</v>
      </c>
      <c r="I5" s="167">
        <f>VLOOKUP(B5,Ordering!$A$1:$J$88,6,FALSE)</f>
        <v>1</v>
      </c>
      <c r="J5" s="167">
        <f>VLOOKUP(B5,Ordering!$A$1:$J$88,10,FALSE)</f>
        <v>65</v>
      </c>
      <c r="K5" s="167">
        <f t="shared" ref="K5:K8" si="3">((H5/(I5))/1000)</f>
        <v>0.22800000000000001</v>
      </c>
      <c r="L5" s="169">
        <f t="shared" ref="L5:L10" si="4">J5*K5</f>
        <v>14.82</v>
      </c>
      <c r="N5" s="1">
        <v>19</v>
      </c>
    </row>
    <row r="6" spans="1:25" ht="15.5" customHeight="1" thickTop="1" thickBot="1" x14ac:dyDescent="0.4">
      <c r="A6" s="14" t="s">
        <v>26</v>
      </c>
      <c r="B6" s="14" t="s">
        <v>381</v>
      </c>
      <c r="C6" s="19" t="s">
        <v>7</v>
      </c>
      <c r="D6" s="18">
        <f>36*0.75</f>
        <v>27</v>
      </c>
      <c r="E6" s="15">
        <f t="shared" si="0"/>
        <v>16</v>
      </c>
      <c r="F6" s="16">
        <v>1</v>
      </c>
      <c r="G6" s="155">
        <f t="shared" si="1"/>
        <v>432</v>
      </c>
      <c r="H6" s="167">
        <f t="shared" si="2"/>
        <v>432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3"/>
        <v>0.65454545454545454</v>
      </c>
      <c r="L6" s="169">
        <f t="shared" si="4"/>
        <v>2.290909090909091</v>
      </c>
      <c r="N6" s="1">
        <v>30</v>
      </c>
    </row>
    <row r="7" spans="1:25" ht="15.5" customHeight="1" thickTop="1" thickBot="1" x14ac:dyDescent="0.4">
      <c r="A7" s="14" t="s">
        <v>26</v>
      </c>
      <c r="B7" s="14" t="s">
        <v>377</v>
      </c>
      <c r="C7" s="19" t="s">
        <v>7</v>
      </c>
      <c r="D7" s="18">
        <f>N7*0.75</f>
        <v>3.75</v>
      </c>
      <c r="E7" s="15">
        <f t="shared" si="0"/>
        <v>16</v>
      </c>
      <c r="F7" s="16">
        <v>1</v>
      </c>
      <c r="G7" s="155">
        <f t="shared" si="1"/>
        <v>60</v>
      </c>
      <c r="H7" s="167">
        <f t="shared" si="2"/>
        <v>60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3"/>
        <v>0.10526315789473685</v>
      </c>
      <c r="L7" s="169">
        <f t="shared" si="4"/>
        <v>0.89473684210526327</v>
      </c>
      <c r="N7" s="1">
        <v>5</v>
      </c>
      <c r="V7" s="212"/>
    </row>
    <row r="8" spans="1:25" ht="15.5" customHeight="1" thickTop="1" thickBot="1" x14ac:dyDescent="0.4">
      <c r="A8" s="14" t="s">
        <v>41</v>
      </c>
      <c r="B8" s="14" t="s">
        <v>185</v>
      </c>
      <c r="C8" s="19" t="s">
        <v>7</v>
      </c>
      <c r="D8" s="18">
        <f>N8*0.75</f>
        <v>2.625</v>
      </c>
      <c r="E8" s="15">
        <f t="shared" si="0"/>
        <v>16</v>
      </c>
      <c r="F8" s="16">
        <v>1</v>
      </c>
      <c r="G8" s="155">
        <f t="shared" si="1"/>
        <v>42</v>
      </c>
      <c r="H8" s="167">
        <f t="shared" si="2"/>
        <v>42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3"/>
        <v>4.2000000000000003E-2</v>
      </c>
      <c r="L8" s="169">
        <f t="shared" si="4"/>
        <v>0.26959459459459462</v>
      </c>
      <c r="N8" s="1">
        <v>3.5</v>
      </c>
      <c r="V8" s="171" t="s">
        <v>277</v>
      </c>
      <c r="W8" s="172">
        <v>1</v>
      </c>
      <c r="X8" s="171" t="s">
        <v>80</v>
      </c>
      <c r="Y8" s="185">
        <f>(SUM(L5:L10)/S15)*W8</f>
        <v>2.1147025329755591</v>
      </c>
    </row>
    <row r="9" spans="1:25" ht="15.5" customHeight="1" thickTop="1" x14ac:dyDescent="0.35">
      <c r="A9" s="14" t="s">
        <v>12</v>
      </c>
      <c r="B9" s="14" t="s">
        <v>331</v>
      </c>
      <c r="C9" s="19" t="s">
        <v>5</v>
      </c>
      <c r="D9" s="18">
        <f>1*0.75</f>
        <v>0.75</v>
      </c>
      <c r="E9" s="15">
        <f t="shared" si="0"/>
        <v>16</v>
      </c>
      <c r="F9" s="16">
        <v>1</v>
      </c>
      <c r="G9" s="155">
        <f t="shared" si="1"/>
        <v>12</v>
      </c>
      <c r="H9" s="167">
        <f t="shared" si="2"/>
        <v>12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ref="K9:K10" si="5">(H9/I9)</f>
        <v>12</v>
      </c>
      <c r="L9" s="169">
        <f t="shared" si="4"/>
        <v>7</v>
      </c>
    </row>
    <row r="10" spans="1:25" ht="15.5" customHeight="1" x14ac:dyDescent="0.35">
      <c r="A10" s="14" t="s">
        <v>38</v>
      </c>
      <c r="B10" s="14" t="s">
        <v>363</v>
      </c>
      <c r="C10" s="19" t="s">
        <v>5</v>
      </c>
      <c r="D10" s="18">
        <v>2</v>
      </c>
      <c r="E10" s="15">
        <f t="shared" si="0"/>
        <v>16</v>
      </c>
      <c r="F10" s="16">
        <v>1</v>
      </c>
      <c r="G10" s="155">
        <f t="shared" si="1"/>
        <v>32</v>
      </c>
      <c r="H10" s="167">
        <f t="shared" si="2"/>
        <v>32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5"/>
        <v>32</v>
      </c>
      <c r="L10" s="169">
        <f t="shared" si="4"/>
        <v>8.5599999999999987</v>
      </c>
      <c r="R10" s="244" t="s">
        <v>24</v>
      </c>
      <c r="S10" s="241"/>
    </row>
    <row r="11" spans="1:25" ht="15" customHeight="1" x14ac:dyDescent="0.3">
      <c r="I11" s="94"/>
      <c r="J11" s="94"/>
      <c r="K11" s="94"/>
      <c r="L11" s="84"/>
      <c r="R11" s="236" t="s">
        <v>62</v>
      </c>
      <c r="S11" s="237"/>
    </row>
    <row r="12" spans="1:25" ht="15" customHeight="1" thickBot="1" x14ac:dyDescent="0.35">
      <c r="I12" s="94"/>
      <c r="J12" s="94"/>
      <c r="K12" s="94"/>
      <c r="L12" s="84"/>
      <c r="R12" s="5" t="s">
        <v>63</v>
      </c>
      <c r="S12" s="6" t="s">
        <v>81</v>
      </c>
    </row>
    <row r="13" spans="1:25" ht="15" customHeight="1" thickBot="1" x14ac:dyDescent="0.35">
      <c r="I13" s="94"/>
      <c r="J13" s="94"/>
      <c r="K13" s="94"/>
      <c r="L13" s="84"/>
      <c r="R13" s="7" t="s">
        <v>82</v>
      </c>
      <c r="S13" s="8">
        <f>V1</f>
        <v>14</v>
      </c>
    </row>
    <row r="14" spans="1:25" ht="1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5" ht="14.75" customHeight="1" x14ac:dyDescent="0.3">
      <c r="I15" s="94"/>
      <c r="J15" s="94"/>
      <c r="K15" s="94"/>
      <c r="L15" s="84"/>
      <c r="R15" s="10" t="s">
        <v>84</v>
      </c>
      <c r="S15" s="11">
        <f>S13+S14</f>
        <v>16</v>
      </c>
    </row>
    <row r="16" spans="1:25" x14ac:dyDescent="0.3">
      <c r="I16" s="94"/>
      <c r="J16" s="94"/>
      <c r="K16" s="94"/>
      <c r="L16" s="84"/>
      <c r="R16" s="35" t="s">
        <v>80</v>
      </c>
      <c r="S16" s="204">
        <f>SUM(L5:L10)</f>
        <v>33.835240527608946</v>
      </c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8" tint="-0.249977111117893"/>
    <pageSetUpPr fitToPage="1"/>
  </sheetPr>
  <dimension ref="A1:Y18"/>
  <sheetViews>
    <sheetView topLeftCell="I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4.83203125" customWidth="1"/>
    <col min="13" max="14" width="3.9140625" customWidth="1"/>
    <col min="15" max="15" width="11.4140625" customWidth="1"/>
    <col min="16" max="16" width="9.83203125" customWidth="1"/>
    <col min="17" max="17" width="3.9140625" customWidth="1"/>
    <col min="19" max="19" width="8.5" bestFit="1" customWidth="1"/>
  </cols>
  <sheetData>
    <row r="1" spans="1:25" ht="26" customHeight="1" x14ac:dyDescent="0.3">
      <c r="A1" s="47" t="s">
        <v>70</v>
      </c>
      <c r="B1" s="12">
        <v>1</v>
      </c>
      <c r="C1" s="47" t="s">
        <v>45</v>
      </c>
      <c r="D1" s="13">
        <f>S15</f>
        <v>64</v>
      </c>
      <c r="F1" s="47" t="s">
        <v>46</v>
      </c>
      <c r="G1" s="13">
        <f>D1/B1</f>
        <v>64</v>
      </c>
      <c r="H1" s="47" t="s">
        <v>90</v>
      </c>
      <c r="I1" s="24">
        <f>L26/M1</f>
        <v>0</v>
      </c>
      <c r="J1" s="47" t="s">
        <v>91</v>
      </c>
      <c r="K1" s="22" t="s">
        <v>92</v>
      </c>
      <c r="L1" s="23" t="s">
        <v>93</v>
      </c>
      <c r="M1" s="50">
        <f>1100/1200</f>
        <v>0.91666666666666663</v>
      </c>
      <c r="U1" s="235" t="s">
        <v>321</v>
      </c>
      <c r="V1" s="232">
        <v>62</v>
      </c>
    </row>
    <row r="2" spans="1:25" ht="14.25" customHeight="1" x14ac:dyDescent="0.3">
      <c r="A2" s="59"/>
      <c r="B2" s="242" t="s">
        <v>94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12</v>
      </c>
      <c r="B5" s="14" t="s">
        <v>167</v>
      </c>
      <c r="C5" s="19" t="s">
        <v>7</v>
      </c>
      <c r="D5" s="18">
        <v>160</v>
      </c>
      <c r="E5" s="15">
        <f>$G$1</f>
        <v>64</v>
      </c>
      <c r="F5" s="16">
        <v>1</v>
      </c>
      <c r="G5" s="15">
        <f>E5*D5</f>
        <v>10240</v>
      </c>
      <c r="H5" s="167">
        <f>G5*F5</f>
        <v>10240</v>
      </c>
      <c r="I5" s="167">
        <f>VLOOKUP(B5,Ordering!$A$1:$J$88,6,FALSE)</f>
        <v>1</v>
      </c>
      <c r="J5" s="167">
        <f>VLOOKUP(B5,Ordering!$A$1:$J$88,10,FALSE)</f>
        <v>6.6959999999999997</v>
      </c>
      <c r="K5" s="167">
        <f t="shared" ref="K5:K6" si="0">((H5/(I5))/1000)</f>
        <v>10.24</v>
      </c>
      <c r="L5" s="169">
        <f>J5*K5</f>
        <v>68.567040000000006</v>
      </c>
    </row>
    <row r="6" spans="1:25" ht="14.75" customHeight="1" x14ac:dyDescent="0.35">
      <c r="A6" s="14" t="s">
        <v>42</v>
      </c>
      <c r="B6" s="14" t="s">
        <v>351</v>
      </c>
      <c r="C6" s="19" t="s">
        <v>7</v>
      </c>
      <c r="D6" s="18">
        <v>35</v>
      </c>
      <c r="E6" s="15">
        <f>$G$1</f>
        <v>64</v>
      </c>
      <c r="F6" s="16">
        <v>1</v>
      </c>
      <c r="G6" s="15">
        <f>E6*D6</f>
        <v>2240</v>
      </c>
      <c r="H6" s="167">
        <f>G6*F6</f>
        <v>2240</v>
      </c>
      <c r="I6" s="167">
        <f>VLOOKUP(B6,Ordering!$A$1:$J$88,6,FALSE)</f>
        <v>1</v>
      </c>
      <c r="J6" s="167">
        <f>VLOOKUP(B6,Ordering!$A$1:$J$88,10,FALSE)</f>
        <v>35.833333333333336</v>
      </c>
      <c r="K6" s="167">
        <f t="shared" si="0"/>
        <v>2.2400000000000002</v>
      </c>
      <c r="L6" s="169">
        <f>J6*K6</f>
        <v>80.26666666666668</v>
      </c>
    </row>
    <row r="7" spans="1:25" ht="14.75" customHeight="1" x14ac:dyDescent="0.35">
      <c r="A7" s="14" t="s">
        <v>37</v>
      </c>
      <c r="B7" s="14" t="s">
        <v>385</v>
      </c>
      <c r="C7" s="19" t="s">
        <v>95</v>
      </c>
      <c r="D7" s="18">
        <v>3</v>
      </c>
      <c r="E7" s="15">
        <f>$G$1</f>
        <v>64</v>
      </c>
      <c r="F7" s="16">
        <v>1</v>
      </c>
      <c r="G7" s="15">
        <f>E7*D7</f>
        <v>192</v>
      </c>
      <c r="H7" s="167">
        <f>G7*F7</f>
        <v>192</v>
      </c>
      <c r="I7" s="167">
        <f>VLOOKUP(B7,Ordering!$A$1:$J$88,6,FALSE)</f>
        <v>1</v>
      </c>
      <c r="J7" s="167">
        <f>VLOOKUP(B7,Ordering!$A$1:$J$88,10,FALSE)</f>
        <v>136</v>
      </c>
      <c r="K7" s="167">
        <f t="shared" ref="K7" si="1">(H7/I7)</f>
        <v>192</v>
      </c>
      <c r="L7" s="169">
        <f>J7*K7</f>
        <v>26112</v>
      </c>
    </row>
    <row r="8" spans="1:25" ht="14.75" customHeight="1" x14ac:dyDescent="0.35">
      <c r="A8" s="14" t="s">
        <v>39</v>
      </c>
      <c r="B8" s="14" t="s">
        <v>369</v>
      </c>
      <c r="C8" s="19" t="s">
        <v>7</v>
      </c>
      <c r="D8" s="18">
        <f>(20*0.67)/M1</f>
        <v>14.618181818181819</v>
      </c>
      <c r="E8" s="15">
        <f>$G$1</f>
        <v>64</v>
      </c>
      <c r="F8" s="16">
        <v>1</v>
      </c>
      <c r="G8" s="15">
        <f>E8*D8</f>
        <v>935.56363636363642</v>
      </c>
      <c r="H8" s="167">
        <f>G8*F8</f>
        <v>935.56363636363642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ref="K8:K9" si="2">((H8/(I8))/1000)</f>
        <v>0.93556363636363638</v>
      </c>
      <c r="L8" s="169">
        <f>J8*K8</f>
        <v>11.261414141414141</v>
      </c>
      <c r="V8" s="171" t="s">
        <v>277</v>
      </c>
      <c r="W8" s="172">
        <v>1</v>
      </c>
      <c r="X8" s="171" t="s">
        <v>80</v>
      </c>
      <c r="Y8" s="185">
        <f>SUM(L5:L9)/S15</f>
        <v>410.62388626262629</v>
      </c>
    </row>
    <row r="9" spans="1:25" ht="14.75" customHeight="1" x14ac:dyDescent="0.35">
      <c r="A9" s="14" t="s">
        <v>42</v>
      </c>
      <c r="B9" s="14" t="s">
        <v>187</v>
      </c>
      <c r="C9" s="19" t="s">
        <v>7</v>
      </c>
      <c r="D9" s="18">
        <f>(20*0.33)/M1</f>
        <v>7.2000000000000011</v>
      </c>
      <c r="E9" s="15">
        <f>$G$1</f>
        <v>64</v>
      </c>
      <c r="F9" s="16">
        <v>1</v>
      </c>
      <c r="G9" s="15">
        <f>E9*D9</f>
        <v>460.80000000000007</v>
      </c>
      <c r="H9" s="167">
        <f>G9*F9</f>
        <v>460.80000000000007</v>
      </c>
      <c r="I9" s="167">
        <f>VLOOKUP(B9,Ordering!$A$1:$J$88,6,FALSE)</f>
        <v>1</v>
      </c>
      <c r="J9" s="167">
        <f>VLOOKUP(B9,Ordering!$A$1:$J$88,10,FALSE)</f>
        <v>17</v>
      </c>
      <c r="K9" s="167">
        <f t="shared" si="2"/>
        <v>0.46080000000000004</v>
      </c>
      <c r="L9" s="169">
        <f>J9*K9</f>
        <v>7.8336000000000006</v>
      </c>
      <c r="M9" s="84"/>
    </row>
    <row r="10" spans="1:25" ht="14.75" customHeight="1" x14ac:dyDescent="0.3">
      <c r="H10" s="218"/>
      <c r="I10" s="217"/>
      <c r="J10" s="217"/>
      <c r="K10" s="217"/>
      <c r="L10" s="219"/>
      <c r="M10" s="84"/>
      <c r="R10" s="244" t="s">
        <v>10</v>
      </c>
      <c r="S10" s="241"/>
    </row>
    <row r="11" spans="1:25" ht="14.75" customHeight="1" x14ac:dyDescent="0.3">
      <c r="I11" s="94"/>
      <c r="J11" s="94"/>
      <c r="K11" s="94"/>
      <c r="L11" s="84"/>
      <c r="M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R12" s="5" t="s">
        <v>63</v>
      </c>
      <c r="S12" s="6" t="s">
        <v>81</v>
      </c>
    </row>
    <row r="13" spans="1:25" ht="14.5" thickBot="1" x14ac:dyDescent="0.35">
      <c r="I13" s="94"/>
      <c r="J13" s="94"/>
      <c r="K13" s="94"/>
      <c r="L13" s="84"/>
      <c r="M13" s="84"/>
      <c r="R13" s="7" t="s">
        <v>82</v>
      </c>
      <c r="S13" s="8">
        <f>V1</f>
        <v>62</v>
      </c>
    </row>
    <row r="14" spans="1:25" ht="14.5" thickBot="1" x14ac:dyDescent="0.35"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R15" s="10" t="s">
        <v>84</v>
      </c>
      <c r="S15" s="11">
        <f>S13+S14</f>
        <v>64</v>
      </c>
    </row>
    <row r="16" spans="1:25" x14ac:dyDescent="0.3">
      <c r="I16" s="94"/>
      <c r="J16" s="94"/>
      <c r="K16" s="94"/>
      <c r="L16" s="84"/>
      <c r="M16" s="84"/>
      <c r="R16" s="35" t="s">
        <v>80</v>
      </c>
      <c r="S16" s="39">
        <f>SUM(L5:L9)</f>
        <v>26279.928720808082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</sheetData>
  <mergeCells count="3">
    <mergeCell ref="R11:S11"/>
    <mergeCell ref="R10:S10"/>
    <mergeCell ref="B2:H3"/>
  </mergeCells>
  <printOptions horizontalCentered="1"/>
  <pageMargins left="0.4" right="0.4" top="1" bottom="0.5" header="0.3" footer="0.3"/>
  <pageSetup paperSize="9" scale="45" orientation="landscape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3">
    <tabColor theme="8" tint="-0.249977111117893"/>
    <pageSetUpPr fitToPage="1"/>
  </sheetPr>
  <dimension ref="A1:Y19"/>
  <sheetViews>
    <sheetView topLeftCell="H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0.5" customWidth="1"/>
    <col min="13" max="17" width="3.082031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201</v>
      </c>
      <c r="F1" s="47" t="s">
        <v>46</v>
      </c>
      <c r="G1" s="13">
        <f>D1/B1</f>
        <v>201</v>
      </c>
      <c r="H1" s="47" t="s">
        <v>85</v>
      </c>
      <c r="I1" s="13"/>
      <c r="K1" s="49" t="s">
        <v>86</v>
      </c>
      <c r="U1" s="235" t="s">
        <v>321</v>
      </c>
      <c r="V1" s="232">
        <v>199</v>
      </c>
    </row>
    <row r="2" spans="1:25" ht="14.25" customHeight="1" x14ac:dyDescent="0.3">
      <c r="A2" s="59"/>
      <c r="B2" s="242" t="s">
        <v>125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.75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47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$G$1</f>
        <v>201</v>
      </c>
      <c r="F5" s="16">
        <v>1</v>
      </c>
      <c r="G5" s="15">
        <f>E5*D5</f>
        <v>201</v>
      </c>
      <c r="H5" s="167">
        <f>G5*F5</f>
        <v>201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201</v>
      </c>
      <c r="L5" s="218">
        <f>J5*K5</f>
        <v>502.5</v>
      </c>
    </row>
    <row r="6" spans="1:25" ht="14.75" customHeight="1" x14ac:dyDescent="0.35">
      <c r="A6" s="14" t="s">
        <v>4</v>
      </c>
      <c r="B6" s="14" t="s">
        <v>375</v>
      </c>
      <c r="C6" s="19" t="s">
        <v>7</v>
      </c>
      <c r="D6" s="18">
        <v>40</v>
      </c>
      <c r="E6" s="15">
        <f>$G$1</f>
        <v>201</v>
      </c>
      <c r="F6" s="16">
        <v>1</v>
      </c>
      <c r="G6" s="15">
        <f>E6*D6</f>
        <v>8040</v>
      </c>
      <c r="H6" s="167">
        <f>G6*F6</f>
        <v>8040</v>
      </c>
      <c r="I6" s="167">
        <f>VLOOKUP(B6,Ordering!$A$1:$J$88,6,FALSE)</f>
        <v>1</v>
      </c>
      <c r="J6" s="167">
        <f>VLOOKUP(B6,Ordering!$A$1:$J$88,10,FALSE)</f>
        <v>65</v>
      </c>
      <c r="K6" s="167">
        <f t="shared" ref="K6:K8" si="0">((H6/(I6))/1000)</f>
        <v>8.0399999999999991</v>
      </c>
      <c r="L6" s="218">
        <f>J6*K6</f>
        <v>522.59999999999991</v>
      </c>
    </row>
    <row r="7" spans="1:25" ht="14.75" customHeight="1" x14ac:dyDescent="0.35">
      <c r="A7" s="14" t="s">
        <v>26</v>
      </c>
      <c r="B7" s="14" t="s">
        <v>377</v>
      </c>
      <c r="C7" s="19" t="s">
        <v>7</v>
      </c>
      <c r="D7" s="18">
        <v>8</v>
      </c>
      <c r="E7" s="15">
        <f>$G$1</f>
        <v>201</v>
      </c>
      <c r="F7" s="16">
        <v>1</v>
      </c>
      <c r="G7" s="15">
        <f>E7*D7</f>
        <v>1608</v>
      </c>
      <c r="H7" s="167">
        <f>G7*F7</f>
        <v>1608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0"/>
        <v>2.8210526315789477</v>
      </c>
      <c r="L7" s="218">
        <f>J7*K7</f>
        <v>23.978947368421057</v>
      </c>
    </row>
    <row r="8" spans="1:25" ht="14.75" customHeight="1" x14ac:dyDescent="0.35">
      <c r="A8" s="14" t="s">
        <v>26</v>
      </c>
      <c r="B8" s="14" t="s">
        <v>381</v>
      </c>
      <c r="C8" s="19" t="s">
        <v>7</v>
      </c>
      <c r="D8" s="18">
        <v>43</v>
      </c>
      <c r="E8" s="15">
        <f>$G$1</f>
        <v>201</v>
      </c>
      <c r="F8" s="16">
        <v>1</v>
      </c>
      <c r="G8" s="15">
        <f>E8*D8</f>
        <v>8643</v>
      </c>
      <c r="H8" s="167">
        <f>G8*F8</f>
        <v>8643</v>
      </c>
      <c r="I8" s="167">
        <f>VLOOKUP(B8,Ordering!$A$1:$J$88,6,FALSE)</f>
        <v>0.66</v>
      </c>
      <c r="J8" s="167">
        <f>VLOOKUP(B8,Ordering!$A$1:$J$88,10,FALSE)</f>
        <v>3.5</v>
      </c>
      <c r="K8" s="167">
        <f t="shared" si="0"/>
        <v>13.095454545454544</v>
      </c>
      <c r="L8" s="218">
        <f>J8*K8</f>
        <v>45.834090909090904</v>
      </c>
      <c r="V8" s="171" t="s">
        <v>277</v>
      </c>
      <c r="W8" s="172">
        <v>1</v>
      </c>
      <c r="X8" s="171" t="s">
        <v>80</v>
      </c>
      <c r="Y8" s="184">
        <f>SUM(L5:L8)/S15</f>
        <v>5.4473285486443386</v>
      </c>
    </row>
    <row r="9" spans="1:25" ht="14.75" customHeight="1" x14ac:dyDescent="0.3">
      <c r="A9" s="84"/>
      <c r="B9" s="84"/>
      <c r="C9" s="84"/>
      <c r="D9" s="84"/>
      <c r="E9" s="84"/>
      <c r="F9" s="84"/>
      <c r="G9" s="84"/>
      <c r="H9" s="219"/>
      <c r="I9" s="219"/>
      <c r="J9" s="220"/>
      <c r="K9" s="220"/>
      <c r="L9" s="219"/>
      <c r="M9" s="84"/>
    </row>
    <row r="10" spans="1:25" ht="14.75" customHeight="1" x14ac:dyDescent="0.3">
      <c r="A10" s="84"/>
      <c r="B10" s="84"/>
      <c r="C10" s="84"/>
      <c r="D10" s="84"/>
      <c r="E10" s="84"/>
      <c r="F10" s="84"/>
      <c r="G10" s="84"/>
      <c r="H10" s="219"/>
      <c r="I10" s="219"/>
      <c r="J10" s="217"/>
      <c r="K10" s="217"/>
      <c r="L10" s="219"/>
      <c r="M10" s="84"/>
      <c r="R10" s="244" t="s">
        <v>36</v>
      </c>
      <c r="S10" s="241"/>
    </row>
    <row r="11" spans="1:25" x14ac:dyDescent="0.3">
      <c r="A11" s="84"/>
      <c r="B11" s="84"/>
      <c r="C11" s="84"/>
      <c r="D11" s="84"/>
      <c r="E11" s="84"/>
      <c r="F11" s="84"/>
      <c r="G11" s="84"/>
      <c r="H11" s="84"/>
      <c r="I11" s="84"/>
      <c r="J11" s="94"/>
      <c r="K11" s="94"/>
      <c r="L11" s="84"/>
      <c r="M11" s="84"/>
      <c r="R11" s="236" t="s">
        <v>62</v>
      </c>
      <c r="S11" s="237"/>
    </row>
    <row r="12" spans="1:25" ht="14.75" customHeight="1" thickBot="1" x14ac:dyDescent="0.35">
      <c r="A12" s="84"/>
      <c r="B12" s="84"/>
      <c r="C12" s="84"/>
      <c r="D12" s="84"/>
      <c r="E12" s="84"/>
      <c r="F12" s="84"/>
      <c r="G12" s="84"/>
      <c r="H12" s="84"/>
      <c r="I12" s="84"/>
      <c r="J12" s="94"/>
      <c r="K12" s="94"/>
      <c r="L12" s="84"/>
      <c r="M12" s="84"/>
      <c r="R12" s="5" t="s">
        <v>63</v>
      </c>
      <c r="S12" s="6" t="s">
        <v>81</v>
      </c>
    </row>
    <row r="13" spans="1:25" ht="14.75" customHeight="1" thickBot="1" x14ac:dyDescent="0.35">
      <c r="A13" s="84"/>
      <c r="B13" s="84"/>
      <c r="C13" s="84"/>
      <c r="D13" s="84"/>
      <c r="E13" s="84"/>
      <c r="F13" s="84"/>
      <c r="G13" s="84"/>
      <c r="H13" s="84"/>
      <c r="I13" s="84"/>
      <c r="J13" s="94"/>
      <c r="K13" s="94"/>
      <c r="L13" s="84"/>
      <c r="M13" s="84"/>
      <c r="R13" s="7" t="s">
        <v>82</v>
      </c>
      <c r="S13" s="8">
        <f>V1</f>
        <v>199</v>
      </c>
    </row>
    <row r="14" spans="1:25" ht="14.75" customHeight="1" thickBot="1" x14ac:dyDescent="0.35">
      <c r="H14" s="84"/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H15" s="84"/>
      <c r="I15" s="94"/>
      <c r="J15" s="94"/>
      <c r="K15" s="94"/>
      <c r="L15" s="84"/>
      <c r="M15" s="84"/>
      <c r="R15" s="10" t="s">
        <v>84</v>
      </c>
      <c r="S15" s="11">
        <f>S13+S14</f>
        <v>201</v>
      </c>
    </row>
    <row r="16" spans="1:25" x14ac:dyDescent="0.3">
      <c r="H16" s="84"/>
      <c r="I16" s="94"/>
      <c r="J16" s="94"/>
      <c r="K16" s="94"/>
      <c r="L16" s="84"/>
      <c r="M16" s="84"/>
      <c r="R16" s="35" t="s">
        <v>80</v>
      </c>
      <c r="S16" s="39">
        <f>SUM(L5:L8)</f>
        <v>1094.913038277512</v>
      </c>
    </row>
    <row r="17" spans="8:13" x14ac:dyDescent="0.3">
      <c r="H17" s="84"/>
      <c r="I17" s="94"/>
      <c r="J17" s="94"/>
      <c r="K17" s="94"/>
      <c r="L17" s="84"/>
      <c r="M17" s="84"/>
    </row>
    <row r="18" spans="8:13" x14ac:dyDescent="0.3">
      <c r="H18" s="84"/>
      <c r="I18" s="94"/>
      <c r="J18" s="94"/>
      <c r="K18" s="94"/>
      <c r="L18" s="84"/>
      <c r="M18" s="84"/>
    </row>
    <row r="19" spans="8:13" x14ac:dyDescent="0.3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8" tint="-0.249977111117893"/>
    <pageSetUpPr fitToPage="1"/>
  </sheetPr>
  <dimension ref="A1:Y19"/>
  <sheetViews>
    <sheetView topLeftCell="J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2.66406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4.25" bestFit="1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323</v>
      </c>
      <c r="F1" s="47" t="s">
        <v>46</v>
      </c>
      <c r="G1" s="13">
        <f>D1/B1</f>
        <v>323</v>
      </c>
      <c r="H1" s="47" t="s">
        <v>71</v>
      </c>
      <c r="I1" s="46">
        <v>100</v>
      </c>
      <c r="K1" s="49" t="s">
        <v>86</v>
      </c>
      <c r="U1" s="235" t="s">
        <v>321</v>
      </c>
      <c r="V1" s="232">
        <v>321</v>
      </c>
    </row>
    <row r="2" spans="1:25" ht="14.25" customHeight="1" x14ac:dyDescent="0.3">
      <c r="A2" s="59"/>
      <c r="B2" s="242" t="s">
        <v>96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5.5" customHeight="1" thickTop="1" thickBot="1" x14ac:dyDescent="0.4">
      <c r="A5" s="14" t="s">
        <v>4</v>
      </c>
      <c r="B5" s="14" t="s">
        <v>373</v>
      </c>
      <c r="C5" s="19" t="s">
        <v>7</v>
      </c>
      <c r="D5" s="18">
        <f t="shared" ref="D5:D11" si="0">N5/218</f>
        <v>80.275229357798167</v>
      </c>
      <c r="E5" s="15">
        <f t="shared" ref="E5:E12" si="1">$G$1</f>
        <v>323</v>
      </c>
      <c r="F5" s="16">
        <v>1</v>
      </c>
      <c r="G5" s="15">
        <f t="shared" ref="G5:G12" si="2">E5*D5</f>
        <v>25928.899082568809</v>
      </c>
      <c r="H5" s="167">
        <f t="shared" ref="H5:H12" si="3">G5*F5</f>
        <v>25928.899082568809</v>
      </c>
      <c r="I5" s="167">
        <f>VLOOKUP(B5,Ordering!$A$1:$J$88,6,FALSE)</f>
        <v>0.7</v>
      </c>
      <c r="J5" s="167">
        <f>VLOOKUP(B5,Ordering!$A$1:$J$88,10,FALSE)</f>
        <v>22.857142857142858</v>
      </c>
      <c r="K5" s="167">
        <f t="shared" ref="K5:K11" si="4">((H5/(I5))/1000)</f>
        <v>37.041284403669728</v>
      </c>
      <c r="L5" s="169">
        <f t="shared" ref="L5:L12" si="5">J5*K5</f>
        <v>846.65792922673666</v>
      </c>
      <c r="N5" s="134">
        <v>17500</v>
      </c>
    </row>
    <row r="6" spans="1:25" ht="15.5" customHeight="1" thickTop="1" thickBot="1" x14ac:dyDescent="0.4">
      <c r="A6" s="14" t="s">
        <v>41</v>
      </c>
      <c r="B6" s="14" t="s">
        <v>185</v>
      </c>
      <c r="C6" s="19" t="s">
        <v>7</v>
      </c>
      <c r="D6" s="18">
        <f>N6/218</f>
        <v>9.1743119266055047</v>
      </c>
      <c r="E6" s="15">
        <f t="shared" si="1"/>
        <v>323</v>
      </c>
      <c r="F6" s="16">
        <v>1</v>
      </c>
      <c r="G6" s="15">
        <f t="shared" si="2"/>
        <v>2963.3027522935781</v>
      </c>
      <c r="H6" s="167">
        <f>G6*F6</f>
        <v>2963.3027522935781</v>
      </c>
      <c r="I6" s="167">
        <f>VLOOKUP(B6,Ordering!$A$1:$J$88,6,FALSE)</f>
        <v>1</v>
      </c>
      <c r="J6" s="167">
        <f>VLOOKUP(B6,Ordering!$A$1:$J$88,10,FALSE)</f>
        <v>6.4189189189189184</v>
      </c>
      <c r="K6" s="167">
        <f t="shared" si="4"/>
        <v>2.9633027522935782</v>
      </c>
      <c r="L6" s="169">
        <f t="shared" si="5"/>
        <v>19.021200099181751</v>
      </c>
      <c r="N6" s="134">
        <v>2000</v>
      </c>
    </row>
    <row r="7" spans="1:25" ht="15.5" customHeight="1" thickTop="1" thickBot="1" x14ac:dyDescent="0.4">
      <c r="A7" s="14" t="s">
        <v>26</v>
      </c>
      <c r="B7" s="14" t="s">
        <v>190</v>
      </c>
      <c r="C7" s="19" t="s">
        <v>7</v>
      </c>
      <c r="D7" s="18">
        <f t="shared" si="0"/>
        <v>9.1743119266055047</v>
      </c>
      <c r="E7" s="15">
        <f t="shared" si="1"/>
        <v>323</v>
      </c>
      <c r="F7" s="16">
        <v>1</v>
      </c>
      <c r="G7" s="15">
        <f t="shared" si="2"/>
        <v>2963.3027522935781</v>
      </c>
      <c r="H7" s="167">
        <f t="shared" si="3"/>
        <v>2963.3027522935781</v>
      </c>
      <c r="I7" s="167">
        <f>VLOOKUP(B7,Ordering!$A$1:$J$88,6,FALSE)</f>
        <v>1</v>
      </c>
      <c r="J7" s="167">
        <f>VLOOKUP(B7,Ordering!$A$1:$J$88,10,FALSE)</f>
        <v>10.196078431372548</v>
      </c>
      <c r="K7" s="167">
        <f t="shared" si="4"/>
        <v>2.9633027522935782</v>
      </c>
      <c r="L7" s="169">
        <f t="shared" si="5"/>
        <v>30.214067278287462</v>
      </c>
      <c r="N7" s="134">
        <v>2000</v>
      </c>
    </row>
    <row r="8" spans="1:25" ht="15.5" customHeight="1" thickTop="1" thickBot="1" x14ac:dyDescent="0.4">
      <c r="A8" s="14" t="s">
        <v>41</v>
      </c>
      <c r="B8" s="14" t="s">
        <v>184</v>
      </c>
      <c r="C8" s="19" t="s">
        <v>7</v>
      </c>
      <c r="D8" s="18">
        <f t="shared" si="0"/>
        <v>1.261467889908257</v>
      </c>
      <c r="E8" s="15">
        <f t="shared" si="1"/>
        <v>323</v>
      </c>
      <c r="F8" s="16">
        <v>1</v>
      </c>
      <c r="G8" s="15">
        <f t="shared" si="2"/>
        <v>407.45412844036701</v>
      </c>
      <c r="H8" s="167">
        <f t="shared" si="3"/>
        <v>407.45412844036701</v>
      </c>
      <c r="I8" s="167">
        <f>VLOOKUP(B8,Ordering!$A$1:$J$88,6,FALSE)</f>
        <v>1</v>
      </c>
      <c r="J8" s="167">
        <f>VLOOKUP(B8,Ordering!$A$1:$J$88,10,FALSE)</f>
        <v>11.243386243386244</v>
      </c>
      <c r="K8" s="167">
        <f t="shared" si="4"/>
        <v>0.40745412844036699</v>
      </c>
      <c r="L8" s="169">
        <f t="shared" si="5"/>
        <v>4.5811641425173537</v>
      </c>
      <c r="N8" s="134">
        <v>275</v>
      </c>
      <c r="V8" s="171" t="s">
        <v>277</v>
      </c>
      <c r="W8" s="172">
        <v>1</v>
      </c>
      <c r="X8" s="171" t="s">
        <v>80</v>
      </c>
      <c r="Y8" s="184">
        <f>SUM(L5:L12)/S15</f>
        <v>3.7937178777343377</v>
      </c>
    </row>
    <row r="9" spans="1:25" ht="15.5" customHeight="1" thickTop="1" thickBot="1" x14ac:dyDescent="0.4">
      <c r="A9" s="14" t="s">
        <v>40</v>
      </c>
      <c r="B9" s="14" t="s">
        <v>176</v>
      </c>
      <c r="C9" s="19" t="s">
        <v>7</v>
      </c>
      <c r="D9" s="18">
        <f t="shared" si="0"/>
        <v>9.1743119266055051E-2</v>
      </c>
      <c r="E9" s="15">
        <f t="shared" si="1"/>
        <v>323</v>
      </c>
      <c r="F9" s="16">
        <v>1</v>
      </c>
      <c r="G9" s="15">
        <f t="shared" si="2"/>
        <v>29.63302752293578</v>
      </c>
      <c r="H9" s="167">
        <f t="shared" si="3"/>
        <v>29.63302752293578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4"/>
        <v>2.9633027522935781E-2</v>
      </c>
      <c r="L9" s="169">
        <f t="shared" si="5"/>
        <v>0.91862385321100926</v>
      </c>
      <c r="N9" s="134">
        <v>20</v>
      </c>
    </row>
    <row r="10" spans="1:25" ht="15.5" customHeight="1" thickTop="1" thickBot="1" x14ac:dyDescent="0.4">
      <c r="A10" s="14" t="s">
        <v>40</v>
      </c>
      <c r="B10" s="14" t="s">
        <v>180</v>
      </c>
      <c r="C10" s="19" t="s">
        <v>7</v>
      </c>
      <c r="D10" s="18">
        <f t="shared" si="0"/>
        <v>0.13761467889908258</v>
      </c>
      <c r="E10" s="15">
        <f t="shared" si="1"/>
        <v>323</v>
      </c>
      <c r="F10" s="16">
        <v>1</v>
      </c>
      <c r="G10" s="15">
        <f t="shared" si="2"/>
        <v>44.449541284403672</v>
      </c>
      <c r="H10" s="167">
        <f t="shared" si="3"/>
        <v>44.449541284403672</v>
      </c>
      <c r="I10" s="167">
        <f>VLOOKUP(B10,Ordering!$A$1:$J$88,6,FALSE)</f>
        <v>1</v>
      </c>
      <c r="J10" s="167">
        <f>VLOOKUP(B10,Ordering!$A$1:$J$88,10,FALSE)</f>
        <v>10</v>
      </c>
      <c r="K10" s="167">
        <f t="shared" si="4"/>
        <v>4.4449541284403669E-2</v>
      </c>
      <c r="L10" s="169">
        <f t="shared" si="5"/>
        <v>0.44449541284403671</v>
      </c>
      <c r="N10" s="134">
        <v>30</v>
      </c>
      <c r="R10" s="244" t="s">
        <v>6</v>
      </c>
      <c r="S10" s="241"/>
    </row>
    <row r="11" spans="1:25" ht="15.5" customHeight="1" thickTop="1" thickBot="1" x14ac:dyDescent="0.4">
      <c r="A11" s="14" t="s">
        <v>40</v>
      </c>
      <c r="B11" s="14" t="s">
        <v>181</v>
      </c>
      <c r="C11" s="19" t="s">
        <v>7</v>
      </c>
      <c r="D11" s="18">
        <f t="shared" si="0"/>
        <v>0.13761467889908258</v>
      </c>
      <c r="E11" s="15">
        <f t="shared" si="1"/>
        <v>323</v>
      </c>
      <c r="F11" s="16">
        <v>1</v>
      </c>
      <c r="G11" s="15">
        <f t="shared" si="2"/>
        <v>44.449541284403672</v>
      </c>
      <c r="H11" s="15">
        <f t="shared" si="3"/>
        <v>44.449541284403672</v>
      </c>
      <c r="I11" s="14">
        <f>VLOOKUP(B11,Ordering!$A$1:$J$88,6,FALSE)</f>
        <v>1</v>
      </c>
      <c r="J11" s="52">
        <f>VLOOKUP(B11,Ordering!$A$1:$J$88,10,FALSE)</f>
        <v>12</v>
      </c>
      <c r="K11" s="18">
        <f t="shared" si="4"/>
        <v>4.4449541284403669E-2</v>
      </c>
      <c r="L11" s="170">
        <f t="shared" si="5"/>
        <v>0.53339449541284401</v>
      </c>
      <c r="M11">
        <v>170</v>
      </c>
      <c r="N11" s="134">
        <v>30</v>
      </c>
      <c r="R11" s="236" t="s">
        <v>62</v>
      </c>
      <c r="S11" s="237"/>
    </row>
    <row r="12" spans="1:25" ht="15.5" customHeight="1" thickTop="1" thickBot="1" x14ac:dyDescent="0.4">
      <c r="A12" s="14" t="s">
        <v>38</v>
      </c>
      <c r="B12" s="14" t="s">
        <v>359</v>
      </c>
      <c r="C12" s="19" t="s">
        <v>5</v>
      </c>
      <c r="D12" s="18">
        <v>2</v>
      </c>
      <c r="E12" s="15">
        <f t="shared" si="1"/>
        <v>323</v>
      </c>
      <c r="F12" s="16">
        <v>1</v>
      </c>
      <c r="G12" s="15">
        <f t="shared" si="2"/>
        <v>646</v>
      </c>
      <c r="H12" s="15">
        <f t="shared" si="3"/>
        <v>646</v>
      </c>
      <c r="I12" s="14">
        <f>VLOOKUP(B12,Ordering!$A$1:$J$88,6,FALSE)</f>
        <v>1</v>
      </c>
      <c r="J12" s="52">
        <f>VLOOKUP(B12,Ordering!$A$1:$J$88,10,FALSE)</f>
        <v>0.5</v>
      </c>
      <c r="K12" s="52">
        <f t="shared" ref="K12" si="6">(H12/I12)</f>
        <v>646</v>
      </c>
      <c r="L12" s="170">
        <f t="shared" si="5"/>
        <v>323</v>
      </c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R13" s="7" t="s">
        <v>82</v>
      </c>
      <c r="S13" s="8">
        <f>V1</f>
        <v>321</v>
      </c>
    </row>
    <row r="14" spans="1:25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R15" s="10" t="s">
        <v>84</v>
      </c>
      <c r="S15" s="11">
        <f>S13+S14</f>
        <v>323</v>
      </c>
    </row>
    <row r="16" spans="1:25" x14ac:dyDescent="0.3">
      <c r="I16" s="94"/>
      <c r="J16" s="94"/>
      <c r="K16" s="94"/>
      <c r="L16" s="84"/>
      <c r="R16" s="35" t="s">
        <v>80</v>
      </c>
      <c r="S16" s="39">
        <f>SUM(L5:L12)</f>
        <v>1225.370874508191</v>
      </c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8" tint="-0.249977111117893"/>
    <pageSetUpPr fitToPage="1"/>
  </sheetPr>
  <dimension ref="A1:Y20"/>
  <sheetViews>
    <sheetView topLeftCell="Q1" zoomScaleNormal="100" zoomScaleSheetLayoutView="100" workbookViewId="0">
      <selection activeCell="V12" sqref="V12"/>
    </sheetView>
  </sheetViews>
  <sheetFormatPr defaultRowHeight="14" x14ac:dyDescent="0.3"/>
  <cols>
    <col min="1" max="1" width="18.582031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3.25" bestFit="1" customWidth="1"/>
    <col min="19" max="19" width="13.08203125" customWidth="1"/>
  </cols>
  <sheetData>
    <row r="1" spans="1:25" ht="25.25" customHeight="1" x14ac:dyDescent="0.3">
      <c r="A1" s="47" t="s">
        <v>70</v>
      </c>
      <c r="B1" s="12">
        <v>1</v>
      </c>
      <c r="E1" s="47" t="s">
        <v>45</v>
      </c>
      <c r="F1" s="13">
        <f>S15</f>
        <v>28</v>
      </c>
      <c r="H1" s="47" t="s">
        <v>46</v>
      </c>
      <c r="I1" s="13">
        <f>F1/B1</f>
        <v>28</v>
      </c>
      <c r="J1" s="4"/>
      <c r="K1" s="48" t="s">
        <v>86</v>
      </c>
      <c r="U1" s="235" t="s">
        <v>321</v>
      </c>
      <c r="V1" s="232">
        <v>26</v>
      </c>
    </row>
    <row r="2" spans="1:25" ht="14.25" customHeight="1" x14ac:dyDescent="0.3">
      <c r="A2" s="59"/>
      <c r="B2" s="242" t="s">
        <v>143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26</v>
      </c>
      <c r="B5" s="14" t="s">
        <v>347</v>
      </c>
      <c r="C5" s="19" t="s">
        <v>97</v>
      </c>
      <c r="D5" s="18">
        <v>20</v>
      </c>
      <c r="E5" s="15">
        <f t="shared" ref="E5:E11" si="0">$I$1</f>
        <v>28</v>
      </c>
      <c r="F5" s="16">
        <v>1</v>
      </c>
      <c r="G5" s="15">
        <f t="shared" ref="G5:G11" si="1">E5*D5</f>
        <v>560</v>
      </c>
      <c r="H5" s="167">
        <f t="shared" ref="H5:H11" si="2">G5*F5</f>
        <v>560</v>
      </c>
      <c r="I5" s="167">
        <f>VLOOKUP(B5,Ordering!$A$1:$J$88,6,FALSE)</f>
        <v>1</v>
      </c>
      <c r="J5" s="167">
        <f>VLOOKUP(B5,Ordering!$A$1:$J$88,10,FALSE)</f>
        <v>10.416666666666666</v>
      </c>
      <c r="K5" s="167">
        <f t="shared" ref="K5:K9" si="3">((H5/(I5))/1000)</f>
        <v>0.56000000000000005</v>
      </c>
      <c r="L5" s="169">
        <f t="shared" ref="L5:L11" si="4">J5*K5</f>
        <v>5.8333333333333339</v>
      </c>
    </row>
    <row r="6" spans="1:25" ht="14.75" customHeight="1" x14ac:dyDescent="0.35">
      <c r="A6" s="14" t="s">
        <v>26</v>
      </c>
      <c r="B6" s="14" t="s">
        <v>345</v>
      </c>
      <c r="C6" s="19" t="s">
        <v>97</v>
      </c>
      <c r="D6" s="18">
        <v>20</v>
      </c>
      <c r="E6" s="15">
        <f t="shared" si="0"/>
        <v>28</v>
      </c>
      <c r="F6" s="16">
        <v>1</v>
      </c>
      <c r="G6" s="15">
        <f t="shared" si="1"/>
        <v>560</v>
      </c>
      <c r="H6" s="167">
        <f t="shared" si="2"/>
        <v>560</v>
      </c>
      <c r="I6" s="167">
        <f>VLOOKUP(B6,Ordering!$A$1:$J$88,6,FALSE)</f>
        <v>1</v>
      </c>
      <c r="J6" s="167">
        <f>VLOOKUP(B6,Ordering!$A$1:$J$88,10,FALSE)</f>
        <v>6.5883838383838373</v>
      </c>
      <c r="K6" s="167">
        <f t="shared" si="3"/>
        <v>0.56000000000000005</v>
      </c>
      <c r="L6" s="169">
        <f t="shared" si="4"/>
        <v>3.6894949494949492</v>
      </c>
    </row>
    <row r="7" spans="1:25" ht="14.75" customHeight="1" x14ac:dyDescent="0.35">
      <c r="A7" s="14" t="s">
        <v>12</v>
      </c>
      <c r="B7" s="14" t="s">
        <v>169</v>
      </c>
      <c r="C7" s="19" t="s">
        <v>97</v>
      </c>
      <c r="D7" s="18">
        <v>50</v>
      </c>
      <c r="E7" s="15">
        <f t="shared" si="0"/>
        <v>28</v>
      </c>
      <c r="F7" s="16">
        <v>1</v>
      </c>
      <c r="G7" s="15">
        <f t="shared" si="1"/>
        <v>1400</v>
      </c>
      <c r="H7" s="167">
        <f t="shared" si="2"/>
        <v>1400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3"/>
        <v>1.4</v>
      </c>
      <c r="L7" s="169">
        <f t="shared" si="4"/>
        <v>18.963636363636361</v>
      </c>
      <c r="V7" s="212"/>
    </row>
    <row r="8" spans="1:25" ht="14.75" customHeight="1" x14ac:dyDescent="0.35">
      <c r="A8" s="14" t="s">
        <v>4</v>
      </c>
      <c r="B8" s="14" t="s">
        <v>144</v>
      </c>
      <c r="C8" s="19" t="s">
        <v>5</v>
      </c>
      <c r="D8" s="18">
        <v>1</v>
      </c>
      <c r="E8" s="15">
        <f t="shared" si="0"/>
        <v>28</v>
      </c>
      <c r="F8" s="16">
        <v>1</v>
      </c>
      <c r="G8" s="15">
        <f t="shared" si="1"/>
        <v>28</v>
      </c>
      <c r="H8" s="167">
        <f t="shared" si="2"/>
        <v>28</v>
      </c>
      <c r="I8" s="167">
        <f>VLOOKUP(B8,Ordering!$A$1:$J$88,6,FALSE)</f>
        <v>0.96</v>
      </c>
      <c r="J8" s="167">
        <f>VLOOKUP(B8,Ordering!$A$1:$J$88,10,FALSE)</f>
        <v>0.43333333333333335</v>
      </c>
      <c r="K8" s="167">
        <f>(H8/I8)</f>
        <v>29.166666666666668</v>
      </c>
      <c r="L8" s="169">
        <f t="shared" si="4"/>
        <v>12.638888888888889</v>
      </c>
      <c r="V8" s="171" t="s">
        <v>277</v>
      </c>
      <c r="W8" s="172">
        <v>1</v>
      </c>
      <c r="X8" s="171" t="s">
        <v>80</v>
      </c>
      <c r="Y8" s="184">
        <f>(SUM(L5:L11)/S15)*W8</f>
        <v>2.080262626262626</v>
      </c>
    </row>
    <row r="9" spans="1:25" ht="14.75" customHeight="1" x14ac:dyDescent="0.35">
      <c r="A9" s="14" t="s">
        <v>40</v>
      </c>
      <c r="B9" s="14" t="s">
        <v>341</v>
      </c>
      <c r="C9" s="19" t="s">
        <v>97</v>
      </c>
      <c r="D9" s="18">
        <v>0.3</v>
      </c>
      <c r="E9" s="15">
        <f t="shared" si="0"/>
        <v>28</v>
      </c>
      <c r="F9" s="16">
        <v>1</v>
      </c>
      <c r="G9" s="15">
        <f t="shared" si="1"/>
        <v>8.4</v>
      </c>
      <c r="H9" s="167">
        <f t="shared" si="2"/>
        <v>8.4</v>
      </c>
      <c r="I9" s="167">
        <f>VLOOKUP(B9,Ordering!$A$1:$J$88,6,FALSE)</f>
        <v>1</v>
      </c>
      <c r="J9" s="167">
        <f>VLOOKUP(B9,Ordering!$A$1:$J$88,10,FALSE)</f>
        <v>5</v>
      </c>
      <c r="K9" s="167">
        <f t="shared" si="3"/>
        <v>8.4000000000000012E-3</v>
      </c>
      <c r="L9" s="169">
        <f t="shared" si="4"/>
        <v>4.200000000000001E-2</v>
      </c>
    </row>
    <row r="10" spans="1:25" ht="14.75" customHeight="1" x14ac:dyDescent="0.35">
      <c r="A10" s="14" t="s">
        <v>38</v>
      </c>
      <c r="B10" s="14" t="s">
        <v>365</v>
      </c>
      <c r="C10" s="19" t="s">
        <v>5</v>
      </c>
      <c r="D10" s="18">
        <v>1</v>
      </c>
      <c r="E10" s="15">
        <f t="shared" si="0"/>
        <v>28</v>
      </c>
      <c r="F10" s="16">
        <v>1</v>
      </c>
      <c r="G10" s="15">
        <f t="shared" si="1"/>
        <v>28</v>
      </c>
      <c r="H10" s="167">
        <f t="shared" si="2"/>
        <v>28</v>
      </c>
      <c r="I10" s="167">
        <f>VLOOKUP(B10,Ordering!$A$1:$J$88,6,FALSE)</f>
        <v>1</v>
      </c>
      <c r="J10" s="167">
        <f>VLOOKUP(B10,Ordering!$A$1:$J$88,10,FALSE)</f>
        <v>0.25</v>
      </c>
      <c r="K10" s="167">
        <f t="shared" ref="K10:K11" si="5">(H10/I10)</f>
        <v>28</v>
      </c>
      <c r="L10" s="169">
        <f t="shared" si="4"/>
        <v>7</v>
      </c>
      <c r="R10" s="244" t="s">
        <v>143</v>
      </c>
      <c r="S10" s="241"/>
    </row>
    <row r="11" spans="1:25" ht="14.75" customHeight="1" x14ac:dyDescent="0.35">
      <c r="A11" s="14" t="s">
        <v>42</v>
      </c>
      <c r="B11" s="14" t="s">
        <v>355</v>
      </c>
      <c r="C11" s="19" t="s">
        <v>5</v>
      </c>
      <c r="D11" s="18">
        <v>1</v>
      </c>
      <c r="E11" s="15">
        <f t="shared" si="0"/>
        <v>28</v>
      </c>
      <c r="F11" s="16">
        <v>1</v>
      </c>
      <c r="G11" s="15">
        <f t="shared" si="1"/>
        <v>28</v>
      </c>
      <c r="H11" s="15">
        <f t="shared" si="2"/>
        <v>28</v>
      </c>
      <c r="I11" s="14">
        <f>VLOOKUP(B11,Ordering!$A$1:$J$88,6,FALSE)</f>
        <v>1</v>
      </c>
      <c r="J11" s="18">
        <f>VLOOKUP(B11,Ordering!$A$1:$J$88,10,FALSE)</f>
        <v>0.36</v>
      </c>
      <c r="K11" s="52">
        <f t="shared" si="5"/>
        <v>28</v>
      </c>
      <c r="L11" s="170">
        <f t="shared" si="4"/>
        <v>10.08</v>
      </c>
      <c r="M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R13" s="7" t="s">
        <v>82</v>
      </c>
      <c r="S13" s="8">
        <f>V1</f>
        <v>26</v>
      </c>
    </row>
    <row r="14" spans="1:25" ht="14.75" customHeight="1" thickBot="1" x14ac:dyDescent="0.35"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R15" s="10" t="s">
        <v>84</v>
      </c>
      <c r="S15" s="11">
        <f>S13+S14</f>
        <v>28</v>
      </c>
    </row>
    <row r="16" spans="1:25" x14ac:dyDescent="0.3">
      <c r="I16" s="94"/>
      <c r="J16" s="94"/>
      <c r="K16" s="94"/>
      <c r="L16" s="84"/>
      <c r="M16" s="84"/>
      <c r="R16" s="35" t="s">
        <v>80</v>
      </c>
      <c r="S16" s="205">
        <f>SUM(L5:L11)</f>
        <v>58.247353535353533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  <row r="19" spans="9:13" x14ac:dyDescent="0.3">
      <c r="I19" s="84"/>
      <c r="J19" s="84"/>
      <c r="K19" s="84"/>
      <c r="L19" s="84"/>
      <c r="M19" s="84"/>
    </row>
    <row r="20" spans="9:13" x14ac:dyDescent="0.3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8" tint="-0.249977111117893"/>
    <pageSetUpPr fitToPage="1"/>
  </sheetPr>
  <dimension ref="A1:Y18"/>
  <sheetViews>
    <sheetView topLeftCell="D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86</v>
      </c>
      <c r="F1" s="47" t="s">
        <v>46</v>
      </c>
      <c r="G1" s="13">
        <f>D1/B1</f>
        <v>86</v>
      </c>
      <c r="H1" s="47" t="s">
        <v>71</v>
      </c>
      <c r="I1" s="46" t="s">
        <v>88</v>
      </c>
      <c r="U1" s="235" t="s">
        <v>321</v>
      </c>
      <c r="V1" s="232">
        <v>84</v>
      </c>
    </row>
    <row r="2" spans="1:25" ht="14.25" customHeight="1" x14ac:dyDescent="0.3">
      <c r="A2" s="59"/>
      <c r="B2" s="242" t="s">
        <v>100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5.5" customHeight="1" thickTop="1" thickBot="1" x14ac:dyDescent="0.4">
      <c r="A5" s="14" t="s">
        <v>4</v>
      </c>
      <c r="B5" s="14" t="s">
        <v>144</v>
      </c>
      <c r="C5" s="19" t="s">
        <v>5</v>
      </c>
      <c r="D5" s="18">
        <f>2</f>
        <v>2</v>
      </c>
      <c r="E5" s="15">
        <f t="shared" ref="E5:E12" si="0">$G$1</f>
        <v>86</v>
      </c>
      <c r="F5" s="16">
        <v>1</v>
      </c>
      <c r="G5" s="15">
        <f t="shared" ref="G5:G11" si="1">E5*D5</f>
        <v>172</v>
      </c>
      <c r="H5" s="167">
        <f t="shared" ref="H5:H12" si="2">G5*F5</f>
        <v>172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179.16666666666669</v>
      </c>
      <c r="L5" s="169">
        <f t="shared" ref="L5:L12" si="3">J5*K5</f>
        <v>77.6388888888889</v>
      </c>
      <c r="N5" s="1"/>
    </row>
    <row r="6" spans="1:25" ht="15.5" customHeight="1" thickTop="1" thickBot="1" x14ac:dyDescent="0.4">
      <c r="A6" s="14" t="s">
        <v>26</v>
      </c>
      <c r="B6" s="14" t="s">
        <v>196</v>
      </c>
      <c r="C6" s="19" t="s">
        <v>7</v>
      </c>
      <c r="D6" s="18">
        <f t="shared" ref="D6:D10" si="4">N6/60</f>
        <v>16.666666666666668</v>
      </c>
      <c r="E6" s="15">
        <f t="shared" si="0"/>
        <v>86</v>
      </c>
      <c r="F6" s="16">
        <v>1</v>
      </c>
      <c r="G6" s="15">
        <f t="shared" si="1"/>
        <v>1433.3333333333335</v>
      </c>
      <c r="H6" s="167">
        <f t="shared" si="2"/>
        <v>1433.3333333333335</v>
      </c>
      <c r="I6" s="167">
        <f>VLOOKUP(B6,Ordering!$A$1:$J$88,6,FALSE)</f>
        <v>0.78</v>
      </c>
      <c r="J6" s="167">
        <f>VLOOKUP(B6,Ordering!$A$1:$J$88,10,FALSE)</f>
        <v>3.7</v>
      </c>
      <c r="K6" s="167">
        <f t="shared" ref="K6:K12" si="5">((H6/(I6))/1000)</f>
        <v>1.8376068376068377</v>
      </c>
      <c r="L6" s="169">
        <f t="shared" si="3"/>
        <v>6.7991452991452999</v>
      </c>
      <c r="N6" s="1">
        <v>1000</v>
      </c>
    </row>
    <row r="7" spans="1:25" ht="15.5" customHeight="1" thickTop="1" thickBot="1" x14ac:dyDescent="0.4">
      <c r="A7" s="14" t="s">
        <v>26</v>
      </c>
      <c r="B7" s="14" t="s">
        <v>197</v>
      </c>
      <c r="C7" s="19" t="s">
        <v>7</v>
      </c>
      <c r="D7" s="18">
        <f t="shared" si="4"/>
        <v>16.666666666666668</v>
      </c>
      <c r="E7" s="15">
        <f t="shared" si="0"/>
        <v>86</v>
      </c>
      <c r="F7" s="16">
        <v>1</v>
      </c>
      <c r="G7" s="15">
        <f t="shared" si="1"/>
        <v>1433.3333333333335</v>
      </c>
      <c r="H7" s="167">
        <f t="shared" si="2"/>
        <v>1433.3333333333335</v>
      </c>
      <c r="I7" s="167">
        <f>VLOOKUP(B7,Ordering!$A$1:$J$88,6,FALSE)</f>
        <v>0.84</v>
      </c>
      <c r="J7" s="167">
        <f>VLOOKUP(B7,Ordering!$A$1:$J$88,10,FALSE)</f>
        <v>2.6</v>
      </c>
      <c r="K7" s="167">
        <f t="shared" si="5"/>
        <v>1.7063492063492065</v>
      </c>
      <c r="L7" s="169">
        <f t="shared" si="3"/>
        <v>4.4365079365079367</v>
      </c>
      <c r="N7" s="1">
        <v>1000</v>
      </c>
    </row>
    <row r="8" spans="1:25" ht="15.5" customHeight="1" thickTop="1" thickBot="1" x14ac:dyDescent="0.4">
      <c r="A8" s="14" t="s">
        <v>39</v>
      </c>
      <c r="B8" s="14" t="s">
        <v>369</v>
      </c>
      <c r="C8" s="19" t="s">
        <v>7</v>
      </c>
      <c r="D8" s="18">
        <f t="shared" si="4"/>
        <v>16.666666666666668</v>
      </c>
      <c r="E8" s="15">
        <f t="shared" si="0"/>
        <v>86</v>
      </c>
      <c r="F8" s="16">
        <v>1</v>
      </c>
      <c r="G8" s="15">
        <f t="shared" si="1"/>
        <v>1433.3333333333335</v>
      </c>
      <c r="H8" s="167">
        <f t="shared" si="2"/>
        <v>1433.3333333333335</v>
      </c>
      <c r="I8" s="167">
        <f>VLOOKUP(B8,Ordering!$A$1:$J$88,6,FALSE)</f>
        <v>1</v>
      </c>
      <c r="J8" s="167">
        <f>VLOOKUP(B8,Ordering!$A$1:$J$88,10,FALSE)</f>
        <v>12.037037037037036</v>
      </c>
      <c r="K8" s="167">
        <f t="shared" si="5"/>
        <v>1.4333333333333336</v>
      </c>
      <c r="L8" s="169">
        <f t="shared" si="3"/>
        <v>17.253086419753089</v>
      </c>
      <c r="N8" s="1">
        <v>1000</v>
      </c>
      <c r="V8" s="171" t="s">
        <v>277</v>
      </c>
      <c r="W8" s="172">
        <v>1</v>
      </c>
      <c r="X8" s="171" t="s">
        <v>80</v>
      </c>
      <c r="Y8" s="184">
        <f>SUM(L5:L12)/S15</f>
        <v>1.8393440039697284</v>
      </c>
    </row>
    <row r="9" spans="1:25" ht="15.5" customHeight="1" thickTop="1" thickBot="1" x14ac:dyDescent="0.4">
      <c r="A9" s="14" t="s">
        <v>40</v>
      </c>
      <c r="B9" s="14" t="s">
        <v>176</v>
      </c>
      <c r="C9" s="19" t="s">
        <v>7</v>
      </c>
      <c r="D9" s="18">
        <f t="shared" si="4"/>
        <v>0.33333333333333331</v>
      </c>
      <c r="E9" s="15">
        <f t="shared" si="0"/>
        <v>86</v>
      </c>
      <c r="F9" s="16">
        <v>1</v>
      </c>
      <c r="G9" s="15">
        <f t="shared" si="1"/>
        <v>28.666666666666664</v>
      </c>
      <c r="H9" s="167">
        <f t="shared" si="2"/>
        <v>28.666666666666664</v>
      </c>
      <c r="I9" s="167">
        <f>VLOOKUP(B9,Ordering!$A$1:$J$88,6,FALSE)</f>
        <v>1</v>
      </c>
      <c r="J9" s="167">
        <f>VLOOKUP(B9,Ordering!$A$1:$J$88,10,FALSE)</f>
        <v>31</v>
      </c>
      <c r="K9" s="167">
        <f t="shared" si="5"/>
        <v>2.8666666666666663E-2</v>
      </c>
      <c r="L9" s="169">
        <f t="shared" si="3"/>
        <v>0.8886666666666666</v>
      </c>
      <c r="N9" s="1">
        <v>20</v>
      </c>
    </row>
    <row r="10" spans="1:25" ht="15.5" customHeight="1" thickTop="1" thickBot="1" x14ac:dyDescent="0.4">
      <c r="A10" s="14" t="s">
        <v>40</v>
      </c>
      <c r="B10" s="14" t="s">
        <v>175</v>
      </c>
      <c r="C10" s="19" t="s">
        <v>7</v>
      </c>
      <c r="D10" s="18">
        <f t="shared" si="4"/>
        <v>1.25</v>
      </c>
      <c r="E10" s="15">
        <f t="shared" si="0"/>
        <v>86</v>
      </c>
      <c r="F10" s="16">
        <v>1</v>
      </c>
      <c r="G10" s="15">
        <f t="shared" si="1"/>
        <v>107.5</v>
      </c>
      <c r="H10" s="167">
        <f t="shared" si="2"/>
        <v>107.5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0.1075</v>
      </c>
      <c r="L10" s="169">
        <f t="shared" si="3"/>
        <v>7.9549999999999996E-2</v>
      </c>
      <c r="N10" s="1">
        <v>75</v>
      </c>
      <c r="R10" s="244" t="s">
        <v>15</v>
      </c>
      <c r="S10" s="241"/>
    </row>
    <row r="11" spans="1:25" ht="15.5" customHeight="1" thickTop="1" thickBot="1" x14ac:dyDescent="0.4">
      <c r="A11" s="14" t="s">
        <v>12</v>
      </c>
      <c r="B11" s="14" t="s">
        <v>201</v>
      </c>
      <c r="C11" s="19" t="s">
        <v>7</v>
      </c>
      <c r="D11" s="18">
        <v>30</v>
      </c>
      <c r="E11" s="15">
        <f t="shared" si="0"/>
        <v>86</v>
      </c>
      <c r="F11" s="16">
        <v>1</v>
      </c>
      <c r="G11" s="15">
        <f t="shared" si="1"/>
        <v>2580</v>
      </c>
      <c r="H11" s="15">
        <f t="shared" si="2"/>
        <v>2580</v>
      </c>
      <c r="I11" s="14">
        <f>VLOOKUP(B11,Ordering!$A$1:$J$88,6,FALSE)</f>
        <v>1</v>
      </c>
      <c r="J11" s="14">
        <f>VLOOKUP(B11,Ordering!$A$1:$J$88,10,FALSE)</f>
        <v>17.934782608695652</v>
      </c>
      <c r="K11" s="18">
        <f t="shared" si="5"/>
        <v>2.58</v>
      </c>
      <c r="L11" s="168">
        <f t="shared" si="3"/>
        <v>46.271739130434781</v>
      </c>
      <c r="N11" s="1">
        <v>30</v>
      </c>
      <c r="R11" s="236" t="s">
        <v>62</v>
      </c>
      <c r="S11" s="237"/>
    </row>
    <row r="12" spans="1:25" ht="15.5" customHeight="1" thickTop="1" thickBot="1" x14ac:dyDescent="0.4">
      <c r="A12" s="14"/>
      <c r="B12" s="14" t="s">
        <v>295</v>
      </c>
      <c r="C12" s="19" t="s">
        <v>7</v>
      </c>
      <c r="D12" s="18">
        <v>8</v>
      </c>
      <c r="E12" s="15">
        <f t="shared" si="0"/>
        <v>86</v>
      </c>
      <c r="F12" s="16">
        <v>1</v>
      </c>
      <c r="G12" s="15">
        <f>E12*D12</f>
        <v>688</v>
      </c>
      <c r="H12" s="15">
        <f t="shared" si="2"/>
        <v>688</v>
      </c>
      <c r="I12" s="14">
        <f>VLOOKUP(B12,Ordering!$A$1:$J$88,6,FALSE)</f>
        <v>1</v>
      </c>
      <c r="J12" s="14">
        <f>VLOOKUP(B12,Ordering!$A$1:$J$88,10,FALSE)</f>
        <v>7</v>
      </c>
      <c r="K12" s="18">
        <f t="shared" si="5"/>
        <v>0.68799999999999994</v>
      </c>
      <c r="L12" s="170">
        <f t="shared" si="3"/>
        <v>4.8159999999999998</v>
      </c>
      <c r="M12" s="84"/>
      <c r="N12" s="1"/>
      <c r="R12" s="5" t="s">
        <v>63</v>
      </c>
      <c r="S12" s="6" t="s">
        <v>81</v>
      </c>
    </row>
    <row r="13" spans="1:25" ht="15.5" customHeight="1" thickTop="1" thickBot="1" x14ac:dyDescent="0.35">
      <c r="I13" s="94"/>
      <c r="J13" s="94"/>
      <c r="K13" s="94"/>
      <c r="L13" s="84"/>
      <c r="M13" s="84"/>
      <c r="N13" s="161"/>
      <c r="R13" s="7" t="s">
        <v>82</v>
      </c>
      <c r="S13" s="8">
        <f>V1</f>
        <v>84</v>
      </c>
    </row>
    <row r="14" spans="1:25" ht="15" customHeight="1" thickBot="1" x14ac:dyDescent="0.35">
      <c r="I14" s="94"/>
      <c r="J14" s="94"/>
      <c r="K14" s="94"/>
      <c r="L14" s="84"/>
      <c r="M14" s="84"/>
      <c r="N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N15" s="84"/>
      <c r="R15" s="10" t="s">
        <v>84</v>
      </c>
      <c r="S15" s="11">
        <f>S13+S14</f>
        <v>86</v>
      </c>
    </row>
    <row r="16" spans="1:25" x14ac:dyDescent="0.3">
      <c r="I16" s="94"/>
      <c r="J16" s="94"/>
      <c r="K16" s="94"/>
      <c r="L16" s="84"/>
      <c r="M16" s="84"/>
      <c r="N16" s="84"/>
      <c r="R16" s="187" t="s">
        <v>80</v>
      </c>
      <c r="S16" s="188">
        <f>SUM(L5:L12)</f>
        <v>158.18358434139665</v>
      </c>
    </row>
    <row r="17" spans="9:14" x14ac:dyDescent="0.3">
      <c r="I17" s="94"/>
      <c r="J17" s="94"/>
      <c r="K17" s="94"/>
      <c r="L17" s="84"/>
      <c r="M17" s="84"/>
      <c r="N17" s="84"/>
    </row>
    <row r="18" spans="9:14" x14ac:dyDescent="0.3">
      <c r="I18" s="94"/>
      <c r="J18" s="94"/>
      <c r="K18" s="94"/>
      <c r="L18" s="84"/>
      <c r="M18" s="84"/>
      <c r="N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8" tint="-0.249977111117893"/>
    <pageSetUpPr fitToPage="1"/>
  </sheetPr>
  <dimension ref="A1:Y19"/>
  <sheetViews>
    <sheetView topLeftCell="J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1.08203125" bestFit="1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42</v>
      </c>
      <c r="F1" s="47" t="s">
        <v>46</v>
      </c>
      <c r="G1" s="13">
        <f>D1/B1</f>
        <v>42</v>
      </c>
      <c r="H1" s="47" t="s">
        <v>71</v>
      </c>
      <c r="I1" s="46" t="s">
        <v>101</v>
      </c>
      <c r="M1" s="22">
        <v>0.5</v>
      </c>
      <c r="U1" s="235" t="s">
        <v>321</v>
      </c>
      <c r="V1" s="232">
        <v>40</v>
      </c>
    </row>
    <row r="2" spans="1:25" ht="14.25" customHeight="1" x14ac:dyDescent="0.3">
      <c r="A2" s="59"/>
      <c r="B2" s="242" t="s">
        <v>102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5.5" customHeight="1" thickTop="1" thickBot="1" x14ac:dyDescent="0.4">
      <c r="A5" s="14" t="s">
        <v>4</v>
      </c>
      <c r="B5" s="14" t="s">
        <v>144</v>
      </c>
      <c r="C5" s="19" t="s">
        <v>5</v>
      </c>
      <c r="D5" s="18">
        <v>2</v>
      </c>
      <c r="E5" s="15">
        <f t="shared" ref="E5:E12" si="0">$G$1</f>
        <v>42</v>
      </c>
      <c r="F5" s="16">
        <v>1</v>
      </c>
      <c r="G5" s="15">
        <f t="shared" ref="G5:G12" si="1">E5*D5</f>
        <v>84</v>
      </c>
      <c r="H5" s="167">
        <f t="shared" ref="H5:H12" si="2">G5*F5</f>
        <v>84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87.5</v>
      </c>
      <c r="L5" s="169">
        <f t="shared" ref="L5:L12" si="3">J5*K5</f>
        <v>37.916666666666671</v>
      </c>
      <c r="N5" s="1"/>
    </row>
    <row r="6" spans="1:25" ht="15.5" customHeight="1" thickTop="1" thickBot="1" x14ac:dyDescent="0.4">
      <c r="A6" s="14" t="s">
        <v>26</v>
      </c>
      <c r="B6" s="14" t="s">
        <v>383</v>
      </c>
      <c r="C6" s="19" t="s">
        <v>7</v>
      </c>
      <c r="D6" s="18">
        <f>N6/80</f>
        <v>25</v>
      </c>
      <c r="E6" s="15">
        <f t="shared" si="0"/>
        <v>42</v>
      </c>
      <c r="F6" s="16">
        <v>1</v>
      </c>
      <c r="G6" s="15">
        <f t="shared" si="1"/>
        <v>1050</v>
      </c>
      <c r="H6" s="167">
        <f t="shared" si="2"/>
        <v>1050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1" si="4">((H6/(I6))/1000)</f>
        <v>1.4583333333333335</v>
      </c>
      <c r="L6" s="169">
        <f t="shared" si="3"/>
        <v>12.395833333333334</v>
      </c>
      <c r="N6" s="1">
        <v>2000</v>
      </c>
    </row>
    <row r="7" spans="1:25" ht="15.5" customHeight="1" thickTop="1" thickBot="1" x14ac:dyDescent="0.4">
      <c r="A7" s="14" t="s">
        <v>26</v>
      </c>
      <c r="B7" s="14" t="s">
        <v>198</v>
      </c>
      <c r="C7" s="19" t="s">
        <v>7</v>
      </c>
      <c r="D7" s="18">
        <f>N7/80</f>
        <v>2.625</v>
      </c>
      <c r="E7" s="15">
        <f t="shared" si="0"/>
        <v>42</v>
      </c>
      <c r="F7" s="16">
        <v>1</v>
      </c>
      <c r="G7" s="15">
        <f t="shared" si="1"/>
        <v>110.25</v>
      </c>
      <c r="H7" s="167">
        <f t="shared" si="2"/>
        <v>110.25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4"/>
        <v>0.11025</v>
      </c>
      <c r="L7" s="169">
        <f t="shared" si="3"/>
        <v>2.4255</v>
      </c>
      <c r="N7" s="1">
        <v>210</v>
      </c>
    </row>
    <row r="8" spans="1:25" ht="15.5" customHeight="1" thickTop="1" thickBot="1" x14ac:dyDescent="0.4">
      <c r="A8" s="14" t="s">
        <v>26</v>
      </c>
      <c r="B8" s="14" t="s">
        <v>191</v>
      </c>
      <c r="C8" s="19" t="s">
        <v>7</v>
      </c>
      <c r="D8" s="18">
        <f>N8/80</f>
        <v>6.25</v>
      </c>
      <c r="E8" s="15">
        <f t="shared" si="0"/>
        <v>42</v>
      </c>
      <c r="F8" s="16">
        <v>1</v>
      </c>
      <c r="G8" s="15">
        <f t="shared" si="1"/>
        <v>262.5</v>
      </c>
      <c r="H8" s="167">
        <f t="shared" si="2"/>
        <v>262.5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4"/>
        <v>0.2678571428571429</v>
      </c>
      <c r="L8" s="169">
        <f t="shared" si="3"/>
        <v>0.93750000000000022</v>
      </c>
      <c r="N8" s="1">
        <v>500</v>
      </c>
      <c r="V8" s="171" t="s">
        <v>277</v>
      </c>
      <c r="W8" s="172">
        <v>1</v>
      </c>
      <c r="X8" s="171" t="s">
        <v>80</v>
      </c>
      <c r="Y8" s="184">
        <f>(SUM(L5:L12)/S15)*W8</f>
        <v>1.8418489285714283</v>
      </c>
    </row>
    <row r="9" spans="1:25" ht="15.5" customHeight="1" thickTop="1" thickBot="1" x14ac:dyDescent="0.4">
      <c r="A9" s="14" t="s">
        <v>26</v>
      </c>
      <c r="B9" s="14" t="s">
        <v>192</v>
      </c>
      <c r="C9" s="19" t="s">
        <v>7</v>
      </c>
      <c r="D9" s="18">
        <f>N9/80</f>
        <v>6.25</v>
      </c>
      <c r="E9" s="15">
        <f t="shared" si="0"/>
        <v>42</v>
      </c>
      <c r="F9" s="16">
        <v>1</v>
      </c>
      <c r="G9" s="15">
        <f t="shared" si="1"/>
        <v>262.5</v>
      </c>
      <c r="H9" s="167">
        <f t="shared" si="2"/>
        <v>262.5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4"/>
        <v>0.29166666666666669</v>
      </c>
      <c r="L9" s="169">
        <f t="shared" si="3"/>
        <v>0.875</v>
      </c>
      <c r="N9" s="1">
        <v>500</v>
      </c>
    </row>
    <row r="10" spans="1:25" ht="15.5" customHeight="1" thickTop="1" thickBot="1" x14ac:dyDescent="0.4">
      <c r="A10" s="14" t="s">
        <v>40</v>
      </c>
      <c r="B10" s="14" t="s">
        <v>175</v>
      </c>
      <c r="C10" s="19" t="s">
        <v>7</v>
      </c>
      <c r="D10" s="18">
        <f t="shared" ref="D10:D11" si="5">N10/80</f>
        <v>0.375</v>
      </c>
      <c r="E10" s="15">
        <f t="shared" si="0"/>
        <v>42</v>
      </c>
      <c r="F10" s="16">
        <v>1</v>
      </c>
      <c r="G10" s="15">
        <f t="shared" si="1"/>
        <v>15.75</v>
      </c>
      <c r="H10" s="167">
        <f t="shared" si="2"/>
        <v>15.75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4"/>
        <v>1.575E-2</v>
      </c>
      <c r="L10" s="169">
        <f t="shared" si="3"/>
        <v>1.1655E-2</v>
      </c>
      <c r="N10" s="1">
        <v>30</v>
      </c>
      <c r="R10" s="244" t="s">
        <v>16</v>
      </c>
      <c r="S10" s="241"/>
    </row>
    <row r="11" spans="1:25" ht="15.5" customHeight="1" thickTop="1" thickBot="1" x14ac:dyDescent="0.4">
      <c r="A11" s="14" t="s">
        <v>40</v>
      </c>
      <c r="B11" s="14" t="s">
        <v>176</v>
      </c>
      <c r="C11" s="19" t="s">
        <v>7</v>
      </c>
      <c r="D11" s="18">
        <f t="shared" si="5"/>
        <v>0.25</v>
      </c>
      <c r="E11" s="15">
        <f t="shared" si="0"/>
        <v>42</v>
      </c>
      <c r="F11" s="16">
        <v>1</v>
      </c>
      <c r="G11" s="15">
        <f t="shared" si="1"/>
        <v>10.5</v>
      </c>
      <c r="H11" s="15">
        <f t="shared" si="2"/>
        <v>10.5</v>
      </c>
      <c r="I11" s="14">
        <f>VLOOKUP(B11,Ordering!$A$1:$J$88,6,FALSE)</f>
        <v>1</v>
      </c>
      <c r="J11" s="18">
        <f>VLOOKUP(B11,Ordering!$A$1:$J$88,10,FALSE)</f>
        <v>31</v>
      </c>
      <c r="K11" s="18">
        <f t="shared" si="4"/>
        <v>1.0500000000000001E-2</v>
      </c>
      <c r="L11" s="168">
        <f t="shared" si="3"/>
        <v>0.32550000000000001</v>
      </c>
      <c r="N11" s="1">
        <v>20</v>
      </c>
      <c r="R11" s="236" t="s">
        <v>62</v>
      </c>
      <c r="S11" s="237"/>
    </row>
    <row r="12" spans="1:25" ht="15.5" customHeight="1" thickTop="1" thickBot="1" x14ac:dyDescent="0.4">
      <c r="A12" s="14" t="s">
        <v>38</v>
      </c>
      <c r="B12" s="14" t="s">
        <v>363</v>
      </c>
      <c r="C12" s="19" t="s">
        <v>5</v>
      </c>
      <c r="D12" s="18">
        <v>2</v>
      </c>
      <c r="E12" s="15">
        <f t="shared" si="0"/>
        <v>42</v>
      </c>
      <c r="F12" s="16">
        <v>1</v>
      </c>
      <c r="G12" s="15">
        <f t="shared" si="1"/>
        <v>84</v>
      </c>
      <c r="H12" s="15">
        <f t="shared" si="2"/>
        <v>84</v>
      </c>
      <c r="I12" s="14">
        <f>VLOOKUP(B12,Ordering!$A$1:$J$88,6,FALSE)</f>
        <v>1</v>
      </c>
      <c r="J12" s="18">
        <f>VLOOKUP(B12,Ordering!$A$1:$J$88,10,FALSE)</f>
        <v>0.26749999999999996</v>
      </c>
      <c r="K12" s="18">
        <f t="shared" ref="K12" si="6">(H12/I12)</f>
        <v>84</v>
      </c>
      <c r="L12" s="168">
        <f t="shared" si="3"/>
        <v>22.469999999999995</v>
      </c>
      <c r="N12" s="1"/>
      <c r="R12" s="5" t="s">
        <v>63</v>
      </c>
      <c r="S12" s="6">
        <v>38</v>
      </c>
    </row>
    <row r="13" spans="1:25" ht="15" customHeight="1" thickTop="1" thickBot="1" x14ac:dyDescent="0.35">
      <c r="I13" s="94"/>
      <c r="J13" s="94"/>
      <c r="K13" s="94"/>
      <c r="L13" s="84"/>
      <c r="R13" s="7" t="s">
        <v>82</v>
      </c>
      <c r="S13" s="8">
        <f>V1</f>
        <v>40</v>
      </c>
    </row>
    <row r="14" spans="1:25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R15" s="10" t="s">
        <v>84</v>
      </c>
      <c r="S15" s="11">
        <f>S13+S14</f>
        <v>42</v>
      </c>
    </row>
    <row r="16" spans="1:25" x14ac:dyDescent="0.3">
      <c r="I16" s="94"/>
      <c r="J16" s="94"/>
      <c r="K16" s="94"/>
      <c r="L16" s="84"/>
      <c r="R16" s="187" t="s">
        <v>80</v>
      </c>
      <c r="S16" s="215">
        <f>SUM(L5:L12)</f>
        <v>77.357654999999994</v>
      </c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7" tint="-0.249977111117893"/>
    <pageSetUpPr fitToPage="1"/>
  </sheetPr>
  <dimension ref="A1:Y16"/>
  <sheetViews>
    <sheetView topLeftCell="D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5.082031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2.08203125" bestFit="1" customWidth="1"/>
    <col min="15" max="17" width="5.6640625" customWidth="1"/>
    <col min="19" max="19" width="14.9140625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145</v>
      </c>
      <c r="F1" s="47" t="s">
        <v>46</v>
      </c>
      <c r="G1" s="13">
        <f>D1/B1</f>
        <v>145</v>
      </c>
      <c r="H1" s="47" t="s">
        <v>71</v>
      </c>
      <c r="I1" s="46" t="s">
        <v>103</v>
      </c>
      <c r="U1" s="235" t="s">
        <v>321</v>
      </c>
      <c r="V1" s="232">
        <v>140</v>
      </c>
    </row>
    <row r="2" spans="1:25" ht="14.25" customHeight="1" x14ac:dyDescent="0.3">
      <c r="A2" s="59"/>
      <c r="B2" s="242" t="s">
        <v>104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151" t="s">
        <v>80</v>
      </c>
    </row>
    <row r="5" spans="1:25" ht="14.75" customHeight="1" x14ac:dyDescent="0.35">
      <c r="A5" s="14" t="s">
        <v>4</v>
      </c>
      <c r="B5" s="14" t="s">
        <v>144</v>
      </c>
      <c r="C5" s="14" t="s">
        <v>5</v>
      </c>
      <c r="D5" s="18">
        <v>2</v>
      </c>
      <c r="E5" s="15">
        <f t="shared" ref="E5:E13" si="0">$G$1</f>
        <v>145</v>
      </c>
      <c r="F5" s="16">
        <v>1</v>
      </c>
      <c r="G5" s="15">
        <f t="shared" ref="G5:G13" si="1">E5*D5</f>
        <v>290</v>
      </c>
      <c r="H5" s="167">
        <f t="shared" ref="H5:H13" si="2">G5*F5</f>
        <v>290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302.08333333333337</v>
      </c>
      <c r="L5" s="169">
        <f t="shared" ref="L5:L13" si="3">J5*K5</f>
        <v>130.9027777777778</v>
      </c>
      <c r="N5" s="19">
        <v>2</v>
      </c>
    </row>
    <row r="6" spans="1:25" ht="14.75" customHeight="1" x14ac:dyDescent="0.35">
      <c r="A6" s="14" t="s">
        <v>26</v>
      </c>
      <c r="B6" s="14" t="s">
        <v>191</v>
      </c>
      <c r="C6" s="14" t="s">
        <v>7</v>
      </c>
      <c r="D6" s="19">
        <f>552/150</f>
        <v>3.68</v>
      </c>
      <c r="E6" s="15">
        <f t="shared" si="0"/>
        <v>145</v>
      </c>
      <c r="F6" s="16">
        <v>1</v>
      </c>
      <c r="G6" s="15">
        <f t="shared" si="1"/>
        <v>533.6</v>
      </c>
      <c r="H6" s="167">
        <f t="shared" si="2"/>
        <v>533.6</v>
      </c>
      <c r="I6" s="167">
        <f>VLOOKUP(B6,Ordering!$A$1:$J$88,6,FALSE)</f>
        <v>0.98</v>
      </c>
      <c r="J6" s="167">
        <f>VLOOKUP(B6,Ordering!$A$1:$J$88,10,FALSE)</f>
        <v>3.5</v>
      </c>
      <c r="K6" s="167">
        <f t="shared" ref="K6:K13" si="4">((H6/(I6))/1000)</f>
        <v>0.54448979591836733</v>
      </c>
      <c r="L6" s="169">
        <f t="shared" si="3"/>
        <v>1.9057142857142857</v>
      </c>
      <c r="N6" s="19">
        <v>552</v>
      </c>
    </row>
    <row r="7" spans="1:25" ht="14.75" customHeight="1" x14ac:dyDescent="0.35">
      <c r="A7" s="14" t="s">
        <v>26</v>
      </c>
      <c r="B7" s="14" t="s">
        <v>195</v>
      </c>
      <c r="C7" s="14" t="s">
        <v>7</v>
      </c>
      <c r="D7" s="51">
        <f>1330/150</f>
        <v>8.8666666666666671</v>
      </c>
      <c r="E7" s="15">
        <f t="shared" si="0"/>
        <v>145</v>
      </c>
      <c r="F7" s="16">
        <v>1</v>
      </c>
      <c r="G7" s="15">
        <f t="shared" si="1"/>
        <v>1285.6666666666667</v>
      </c>
      <c r="H7" s="167">
        <f t="shared" si="2"/>
        <v>1285.6666666666667</v>
      </c>
      <c r="I7" s="167">
        <f>VLOOKUP(B7,Ordering!$A$1:$J$88,6,FALSE)</f>
        <v>0.69</v>
      </c>
      <c r="J7" s="167">
        <f>VLOOKUP(B7,Ordering!$A$1:$J$88,10,FALSE)</f>
        <v>4</v>
      </c>
      <c r="K7" s="167">
        <f t="shared" si="4"/>
        <v>1.8632850241545895</v>
      </c>
      <c r="L7" s="169">
        <f t="shared" si="3"/>
        <v>7.4531400966183581</v>
      </c>
      <c r="N7" s="19">
        <v>1330</v>
      </c>
    </row>
    <row r="8" spans="1:25" ht="14.75" customHeight="1" x14ac:dyDescent="0.35">
      <c r="A8" s="14" t="s">
        <v>41</v>
      </c>
      <c r="B8" s="14" t="s">
        <v>183</v>
      </c>
      <c r="C8" s="14" t="s">
        <v>7</v>
      </c>
      <c r="D8" s="51">
        <f>400/150</f>
        <v>2.6666666666666665</v>
      </c>
      <c r="E8" s="15">
        <f t="shared" si="0"/>
        <v>145</v>
      </c>
      <c r="F8" s="16">
        <v>1</v>
      </c>
      <c r="G8" s="15">
        <f t="shared" si="1"/>
        <v>386.66666666666663</v>
      </c>
      <c r="H8" s="167">
        <f t="shared" si="2"/>
        <v>386.66666666666663</v>
      </c>
      <c r="I8" s="167">
        <f>VLOOKUP(B8,Ordering!$A$1:$J$88,6,FALSE)</f>
        <v>1</v>
      </c>
      <c r="J8" s="167">
        <f>VLOOKUP(B8,Ordering!$A$1:$J$88,10,FALSE)</f>
        <v>8.1520833333333336</v>
      </c>
      <c r="K8" s="167">
        <f t="shared" si="4"/>
        <v>0.3866666666666666</v>
      </c>
      <c r="L8" s="169">
        <f t="shared" si="3"/>
        <v>3.1521388888888886</v>
      </c>
      <c r="N8" s="19">
        <v>400</v>
      </c>
      <c r="V8" s="171" t="s">
        <v>277</v>
      </c>
      <c r="W8" s="172">
        <v>1</v>
      </c>
      <c r="X8" s="171" t="s">
        <v>80</v>
      </c>
      <c r="Y8" s="184">
        <f>SUM(L5:L13)/S15</f>
        <v>1.1156073289554091</v>
      </c>
    </row>
    <row r="9" spans="1:25" ht="14.75" customHeight="1" x14ac:dyDescent="0.35">
      <c r="A9" s="14" t="s">
        <v>40</v>
      </c>
      <c r="B9" s="14" t="s">
        <v>179</v>
      </c>
      <c r="C9" s="14" t="s">
        <v>7</v>
      </c>
      <c r="D9" s="51">
        <f>92/150</f>
        <v>0.61333333333333329</v>
      </c>
      <c r="E9" s="15">
        <f t="shared" si="0"/>
        <v>145</v>
      </c>
      <c r="F9" s="16">
        <v>1</v>
      </c>
      <c r="G9" s="15">
        <f t="shared" si="1"/>
        <v>88.933333333333323</v>
      </c>
      <c r="H9" s="167">
        <f t="shared" si="2"/>
        <v>88.933333333333323</v>
      </c>
      <c r="I9" s="167">
        <f>VLOOKUP(B9,Ordering!$A$1:$J$88,6,FALSE)</f>
        <v>1</v>
      </c>
      <c r="J9" s="167">
        <f>VLOOKUP(B9,Ordering!$A$1:$J$88,10,FALSE)</f>
        <v>64.243759177679877</v>
      </c>
      <c r="K9" s="167">
        <f t="shared" si="4"/>
        <v>8.8933333333333323E-2</v>
      </c>
      <c r="L9" s="169">
        <f t="shared" si="3"/>
        <v>5.7134116495349963</v>
      </c>
      <c r="N9" s="19">
        <v>92</v>
      </c>
    </row>
    <row r="10" spans="1:25" ht="14.75" customHeight="1" x14ac:dyDescent="0.35">
      <c r="A10" s="14" t="s">
        <v>40</v>
      </c>
      <c r="B10" s="14" t="s">
        <v>176</v>
      </c>
      <c r="C10" s="14" t="s">
        <v>7</v>
      </c>
      <c r="D10" s="51">
        <f>30/150</f>
        <v>0.2</v>
      </c>
      <c r="E10" s="15">
        <f t="shared" si="0"/>
        <v>145</v>
      </c>
      <c r="F10" s="16">
        <v>1</v>
      </c>
      <c r="G10" s="15">
        <f t="shared" si="1"/>
        <v>29</v>
      </c>
      <c r="H10" s="167">
        <f t="shared" si="2"/>
        <v>29</v>
      </c>
      <c r="I10" s="167">
        <f>VLOOKUP(B10,Ordering!$A$1:$J$88,6,FALSE)</f>
        <v>1</v>
      </c>
      <c r="J10" s="167">
        <f>VLOOKUP(B10,Ordering!$A$1:$J$88,10,FALSE)</f>
        <v>31</v>
      </c>
      <c r="K10" s="167">
        <f t="shared" si="4"/>
        <v>2.9000000000000001E-2</v>
      </c>
      <c r="L10" s="169">
        <f t="shared" si="3"/>
        <v>0.89900000000000002</v>
      </c>
      <c r="N10" s="19">
        <v>30</v>
      </c>
      <c r="R10" s="249" t="s">
        <v>17</v>
      </c>
      <c r="S10" s="250"/>
    </row>
    <row r="11" spans="1:25" ht="14.75" customHeight="1" x14ac:dyDescent="0.35">
      <c r="A11" s="14" t="s">
        <v>40</v>
      </c>
      <c r="B11" s="14" t="s">
        <v>175</v>
      </c>
      <c r="C11" s="14" t="s">
        <v>7</v>
      </c>
      <c r="D11" s="51">
        <f>90/150</f>
        <v>0.6</v>
      </c>
      <c r="E11" s="15">
        <f t="shared" si="0"/>
        <v>145</v>
      </c>
      <c r="F11" s="16">
        <v>1</v>
      </c>
      <c r="G11" s="15">
        <f t="shared" si="1"/>
        <v>87</v>
      </c>
      <c r="H11" s="15">
        <f t="shared" si="2"/>
        <v>87</v>
      </c>
      <c r="I11" s="14">
        <f>VLOOKUP(B11,Ordering!$A$1:$J$88,6,FALSE)</f>
        <v>1</v>
      </c>
      <c r="J11" s="18">
        <f>VLOOKUP(B11,Ordering!$A$1:$J$88,10,FALSE)</f>
        <v>0.74</v>
      </c>
      <c r="K11" s="18">
        <f t="shared" si="4"/>
        <v>8.6999999999999994E-2</v>
      </c>
      <c r="L11" s="168">
        <f t="shared" si="3"/>
        <v>6.4379999999999993E-2</v>
      </c>
      <c r="N11" s="19">
        <v>90</v>
      </c>
      <c r="R11" s="249" t="s">
        <v>62</v>
      </c>
      <c r="S11" s="250"/>
    </row>
    <row r="12" spans="1:25" ht="15" customHeight="1" x14ac:dyDescent="0.35">
      <c r="A12" s="14" t="s">
        <v>12</v>
      </c>
      <c r="B12" s="14" t="s">
        <v>172</v>
      </c>
      <c r="C12" s="14" t="s">
        <v>7</v>
      </c>
      <c r="D12" s="51">
        <f>400/150</f>
        <v>2.6666666666666665</v>
      </c>
      <c r="E12" s="15">
        <f t="shared" si="0"/>
        <v>145</v>
      </c>
      <c r="F12" s="16">
        <v>1</v>
      </c>
      <c r="G12" s="15">
        <f t="shared" si="1"/>
        <v>386.66666666666663</v>
      </c>
      <c r="H12" s="15">
        <f t="shared" si="2"/>
        <v>386.66666666666663</v>
      </c>
      <c r="I12" s="14">
        <f>VLOOKUP(B12,Ordering!$A$1:$J$88,6,FALSE)</f>
        <v>1</v>
      </c>
      <c r="J12" s="18">
        <f>VLOOKUP(B12,Ordering!$A$1:$J$88,10,FALSE)</f>
        <v>30</v>
      </c>
      <c r="K12" s="18">
        <f t="shared" si="4"/>
        <v>0.3866666666666666</v>
      </c>
      <c r="L12" s="168">
        <f t="shared" si="3"/>
        <v>11.599999999999998</v>
      </c>
      <c r="N12" s="19">
        <v>400</v>
      </c>
      <c r="R12" s="5" t="s">
        <v>63</v>
      </c>
      <c r="S12" s="5" t="s">
        <v>81</v>
      </c>
    </row>
    <row r="13" spans="1:25" ht="14.75" customHeight="1" x14ac:dyDescent="0.3">
      <c r="A13" s="14" t="s">
        <v>38</v>
      </c>
      <c r="B13" s="14" t="s">
        <v>359</v>
      </c>
      <c r="C13" s="14" t="s">
        <v>7</v>
      </c>
      <c r="D13" s="18">
        <v>1</v>
      </c>
      <c r="E13" s="15">
        <f t="shared" si="0"/>
        <v>145</v>
      </c>
      <c r="F13" s="16">
        <v>1</v>
      </c>
      <c r="G13" s="15">
        <f t="shared" si="1"/>
        <v>145</v>
      </c>
      <c r="H13" s="15">
        <f t="shared" si="2"/>
        <v>145</v>
      </c>
      <c r="I13" s="14">
        <f>VLOOKUP(B13,Ordering!$A$1:$J$88,6,FALSE)</f>
        <v>1</v>
      </c>
      <c r="J13" s="18">
        <f>VLOOKUP(B13,Ordering!$A$1:$J$88,10,FALSE)</f>
        <v>0.5</v>
      </c>
      <c r="K13" s="18">
        <f t="shared" si="4"/>
        <v>0.14499999999999999</v>
      </c>
      <c r="L13" s="168">
        <f t="shared" si="3"/>
        <v>7.2499999999999995E-2</v>
      </c>
      <c r="N13" s="21"/>
      <c r="R13" s="5" t="s">
        <v>82</v>
      </c>
      <c r="S13" s="189">
        <f>V1</f>
        <v>140</v>
      </c>
    </row>
    <row r="14" spans="1:25" ht="14.75" customHeight="1" x14ac:dyDescent="0.3">
      <c r="R14" s="5" t="s">
        <v>83</v>
      </c>
      <c r="S14" s="156">
        <v>5</v>
      </c>
    </row>
    <row r="15" spans="1:25" x14ac:dyDescent="0.3">
      <c r="R15" s="5" t="s">
        <v>84</v>
      </c>
      <c r="S15" s="190">
        <f>S13+S14</f>
        <v>145</v>
      </c>
    </row>
    <row r="16" spans="1:25" x14ac:dyDescent="0.3">
      <c r="R16" s="191" t="s">
        <v>80</v>
      </c>
      <c r="S16" s="192">
        <f>SUM(L5:L13)</f>
        <v>161.76306269853433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7" tint="-0.249977111117893"/>
    <pageSetUpPr fitToPage="1"/>
  </sheetPr>
  <dimension ref="A1:Y16"/>
  <sheetViews>
    <sheetView topLeftCell="F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3" max="13" width="10.83203125" bestFit="1" customWidth="1"/>
    <col min="19" max="19" width="8.5" bestFit="1" customWidth="1"/>
  </cols>
  <sheetData>
    <row r="1" spans="1:25" ht="39" customHeight="1" x14ac:dyDescent="0.3">
      <c r="A1" s="47" t="s">
        <v>70</v>
      </c>
      <c r="B1" s="12">
        <v>1</v>
      </c>
      <c r="C1" s="47" t="s">
        <v>45</v>
      </c>
      <c r="D1" s="13">
        <f>S15</f>
        <v>41</v>
      </c>
      <c r="F1" s="47" t="s">
        <v>46</v>
      </c>
      <c r="G1" s="13">
        <f>D1/B1</f>
        <v>41</v>
      </c>
      <c r="H1" s="47" t="s">
        <v>90</v>
      </c>
      <c r="I1" s="24">
        <f>L28/M1</f>
        <v>0</v>
      </c>
      <c r="J1" s="47" t="s">
        <v>105</v>
      </c>
      <c r="K1" s="22" t="s">
        <v>92</v>
      </c>
      <c r="L1" s="23" t="s">
        <v>51</v>
      </c>
      <c r="M1" s="50">
        <f>(1450/2190)</f>
        <v>0.66210045662100458</v>
      </c>
      <c r="U1" s="235" t="s">
        <v>321</v>
      </c>
      <c r="V1" s="232">
        <v>39</v>
      </c>
    </row>
    <row r="2" spans="1:25" ht="14.25" customHeight="1" x14ac:dyDescent="0.3">
      <c r="A2" s="59"/>
      <c r="B2" s="242" t="s">
        <v>106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151" t="s">
        <v>80</v>
      </c>
    </row>
    <row r="5" spans="1:25" ht="14.75" customHeight="1" x14ac:dyDescent="0.35">
      <c r="A5" s="14" t="s">
        <v>38</v>
      </c>
      <c r="B5" s="14" t="s">
        <v>361</v>
      </c>
      <c r="C5" s="19" t="s">
        <v>7</v>
      </c>
      <c r="D5" s="52">
        <f>(N5/43)/M1</f>
        <v>50.930232558139529</v>
      </c>
      <c r="E5" s="15">
        <f t="shared" ref="E5:E12" si="0">$G$1</f>
        <v>41</v>
      </c>
      <c r="F5" s="16">
        <v>1</v>
      </c>
      <c r="G5" s="15">
        <f t="shared" ref="G5:G12" si="1">E5*D5</f>
        <v>2088.1395348837209</v>
      </c>
      <c r="H5" s="167">
        <f t="shared" ref="H5:H12" si="2">G5*F5</f>
        <v>2088.1395348837209</v>
      </c>
      <c r="I5" s="167">
        <f>VLOOKUP(B5,Ordering!$A$1:$J$88,6,FALSE)</f>
        <v>1</v>
      </c>
      <c r="J5" s="167">
        <f>VLOOKUP(B5,Ordering!$A$1:$J$88,10,FALSE)</f>
        <v>0.5</v>
      </c>
      <c r="K5" s="167">
        <f t="shared" ref="K5:K12" si="3">((H5/(I5))/1000)</f>
        <v>2.0881395348837208</v>
      </c>
      <c r="L5" s="169">
        <f t="shared" ref="L5:L12" si="4">J5*K5</f>
        <v>1.0440697674418604</v>
      </c>
      <c r="N5">
        <v>1450</v>
      </c>
    </row>
    <row r="6" spans="1:25" ht="14.75" customHeight="1" x14ac:dyDescent="0.35">
      <c r="A6" s="14" t="s">
        <v>37</v>
      </c>
      <c r="B6" s="14" t="s">
        <v>389</v>
      </c>
      <c r="C6" s="19" t="s">
        <v>7</v>
      </c>
      <c r="D6" s="18">
        <f>N6/43</f>
        <v>52.558139534883722</v>
      </c>
      <c r="E6" s="15">
        <f t="shared" si="0"/>
        <v>41</v>
      </c>
      <c r="F6" s="16">
        <v>1</v>
      </c>
      <c r="G6" s="15">
        <f t="shared" si="1"/>
        <v>2154.8837209302328</v>
      </c>
      <c r="H6" s="167">
        <f t="shared" si="2"/>
        <v>2154.8837209302328</v>
      </c>
      <c r="I6" s="167">
        <f>VLOOKUP(B6,Ordering!$A$1:$J$88,6,FALSE)</f>
        <v>0.55528255528255521</v>
      </c>
      <c r="J6" s="167">
        <f>VLOOKUP(B6,Ordering!$A$1:$J$88,10,FALSE)</f>
        <v>4</v>
      </c>
      <c r="K6" s="167">
        <f t="shared" si="3"/>
        <v>3.8806976744186055</v>
      </c>
      <c r="L6" s="169">
        <f t="shared" si="4"/>
        <v>15.522790697674422</v>
      </c>
      <c r="M6">
        <f>4070</f>
        <v>4070</v>
      </c>
      <c r="N6">
        <v>2260</v>
      </c>
    </row>
    <row r="7" spans="1:25" ht="14.75" customHeight="1" x14ac:dyDescent="0.35">
      <c r="A7" s="14" t="s">
        <v>12</v>
      </c>
      <c r="B7" s="14" t="s">
        <v>168</v>
      </c>
      <c r="C7" s="19" t="s">
        <v>124</v>
      </c>
      <c r="D7" s="18">
        <f>N7/43</f>
        <v>23.255813953488371</v>
      </c>
      <c r="E7" s="15">
        <f t="shared" si="0"/>
        <v>41</v>
      </c>
      <c r="F7" s="16">
        <v>1</v>
      </c>
      <c r="G7" s="15">
        <f t="shared" si="1"/>
        <v>953.48837209302314</v>
      </c>
      <c r="H7" s="167">
        <f t="shared" si="2"/>
        <v>953.48837209302314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si="3"/>
        <v>0.95348837209302317</v>
      </c>
      <c r="L7" s="169">
        <f t="shared" si="4"/>
        <v>4.0078294573643403</v>
      </c>
      <c r="N7">
        <v>1000</v>
      </c>
    </row>
    <row r="8" spans="1:25" ht="14.75" customHeight="1" x14ac:dyDescent="0.35">
      <c r="A8" s="14" t="s">
        <v>12</v>
      </c>
      <c r="B8" s="14" t="s">
        <v>170</v>
      </c>
      <c r="C8" s="19" t="s">
        <v>124</v>
      </c>
      <c r="D8" s="18">
        <f>N8/43</f>
        <v>23.255813953488371</v>
      </c>
      <c r="E8" s="15">
        <f t="shared" si="0"/>
        <v>41</v>
      </c>
      <c r="F8" s="16">
        <v>1</v>
      </c>
      <c r="G8" s="15">
        <f t="shared" si="1"/>
        <v>953.48837209302314</v>
      </c>
      <c r="H8" s="167">
        <f t="shared" si="2"/>
        <v>953.48837209302314</v>
      </c>
      <c r="I8" s="167">
        <f>VLOOKUP(B8,Ordering!$A$1:$J$88,6,FALSE)</f>
        <v>1</v>
      </c>
      <c r="J8" s="167">
        <f>VLOOKUP(B8,Ordering!$A$1:$J$88,10,FALSE)</f>
        <v>12.666666666666666</v>
      </c>
      <c r="K8" s="167">
        <f t="shared" si="3"/>
        <v>0.95348837209302317</v>
      </c>
      <c r="L8" s="169">
        <f t="shared" si="4"/>
        <v>12.07751937984496</v>
      </c>
      <c r="N8">
        <v>1000</v>
      </c>
      <c r="V8" s="171" t="s">
        <v>277</v>
      </c>
      <c r="W8" s="172">
        <v>1</v>
      </c>
      <c r="X8" s="171" t="s">
        <v>80</v>
      </c>
      <c r="Y8" s="184">
        <f>SUM(L5:L12)/S15</f>
        <v>1.4858032558139536</v>
      </c>
    </row>
    <row r="9" spans="1:25" ht="14.75" customHeight="1" x14ac:dyDescent="0.35">
      <c r="A9" s="14" t="s">
        <v>12</v>
      </c>
      <c r="B9" s="14" t="s">
        <v>327</v>
      </c>
      <c r="C9" s="19" t="s">
        <v>124</v>
      </c>
      <c r="D9" s="18">
        <f>N9/43</f>
        <v>11.86046511627907</v>
      </c>
      <c r="E9" s="15">
        <f t="shared" si="0"/>
        <v>41</v>
      </c>
      <c r="F9" s="16">
        <v>1</v>
      </c>
      <c r="G9" s="15">
        <f t="shared" si="1"/>
        <v>486.27906976744185</v>
      </c>
      <c r="H9" s="167">
        <f t="shared" si="2"/>
        <v>486.27906976744185</v>
      </c>
      <c r="I9" s="167">
        <f>VLOOKUP(B9,Ordering!$A$1:$J$88,6,FALSE)</f>
        <v>1</v>
      </c>
      <c r="J9" s="167">
        <f>VLOOKUP(B9,Ordering!$A$1:$J$88,10,FALSE)</f>
        <v>11.304</v>
      </c>
      <c r="K9" s="167">
        <f t="shared" si="3"/>
        <v>0.48627906976744184</v>
      </c>
      <c r="L9" s="169">
        <f t="shared" si="4"/>
        <v>5.4968986046511628</v>
      </c>
      <c r="N9">
        <v>510</v>
      </c>
    </row>
    <row r="10" spans="1:25" ht="14.75" customHeight="1" x14ac:dyDescent="0.35">
      <c r="A10" s="14" t="s">
        <v>42</v>
      </c>
      <c r="B10" s="14" t="s">
        <v>187</v>
      </c>
      <c r="C10" s="19" t="s">
        <v>7</v>
      </c>
      <c r="D10" s="18">
        <f>N10/43</f>
        <v>5.8139534883720927</v>
      </c>
      <c r="E10" s="15">
        <f t="shared" si="0"/>
        <v>41</v>
      </c>
      <c r="F10" s="16">
        <v>1</v>
      </c>
      <c r="G10" s="15">
        <f t="shared" si="1"/>
        <v>238.37209302325579</v>
      </c>
      <c r="H10" s="167">
        <f t="shared" si="2"/>
        <v>238.37209302325579</v>
      </c>
      <c r="I10" s="167">
        <f>VLOOKUP(B10,Ordering!$A$1:$J$88,6,FALSE)</f>
        <v>1</v>
      </c>
      <c r="J10" s="167">
        <f>VLOOKUP(B10,Ordering!$A$1:$J$88,10,FALSE)</f>
        <v>17</v>
      </c>
      <c r="K10" s="167">
        <f t="shared" si="3"/>
        <v>0.23837209302325579</v>
      </c>
      <c r="L10" s="169">
        <f t="shared" si="4"/>
        <v>4.0523255813953485</v>
      </c>
      <c r="N10">
        <v>250</v>
      </c>
      <c r="R10" s="244" t="s">
        <v>18</v>
      </c>
      <c r="S10" s="241"/>
    </row>
    <row r="11" spans="1:25" ht="14.75" customHeight="1" x14ac:dyDescent="0.35">
      <c r="A11" s="14" t="s">
        <v>12</v>
      </c>
      <c r="B11" s="14" t="s">
        <v>200</v>
      </c>
      <c r="C11" s="19" t="s">
        <v>7</v>
      </c>
      <c r="D11" s="19">
        <v>30</v>
      </c>
      <c r="E11" s="15">
        <f t="shared" si="0"/>
        <v>41</v>
      </c>
      <c r="F11" s="16">
        <v>1</v>
      </c>
      <c r="G11" s="15">
        <f t="shared" si="1"/>
        <v>1230</v>
      </c>
      <c r="H11" s="15">
        <f t="shared" si="2"/>
        <v>1230</v>
      </c>
      <c r="I11" s="52">
        <f>VLOOKUP(B11,Ordering!$A$1:$J$88,6,FALSE)</f>
        <v>1</v>
      </c>
      <c r="J11" s="52">
        <f>VLOOKUP(B11,Ordering!$A$1:$J$88,10,FALSE)</f>
        <v>14.999999999999998</v>
      </c>
      <c r="K11" s="18">
        <f t="shared" si="3"/>
        <v>1.23</v>
      </c>
      <c r="L11" s="170">
        <f t="shared" si="4"/>
        <v>18.45</v>
      </c>
      <c r="N11">
        <v>30</v>
      </c>
      <c r="R11" s="236" t="s">
        <v>62</v>
      </c>
      <c r="S11" s="237"/>
    </row>
    <row r="12" spans="1:25" ht="15" customHeight="1" thickBot="1" x14ac:dyDescent="0.4">
      <c r="A12" s="14" t="s">
        <v>40</v>
      </c>
      <c r="B12" s="14" t="s">
        <v>182</v>
      </c>
      <c r="C12" s="19" t="s">
        <v>7</v>
      </c>
      <c r="D12" s="54">
        <v>0.5</v>
      </c>
      <c r="E12" s="15">
        <f t="shared" si="0"/>
        <v>41</v>
      </c>
      <c r="F12" s="16">
        <v>1</v>
      </c>
      <c r="G12" s="15">
        <f t="shared" si="1"/>
        <v>20.5</v>
      </c>
      <c r="H12" s="15">
        <f t="shared" si="2"/>
        <v>20.5</v>
      </c>
      <c r="I12" s="52">
        <f>VLOOKUP(B12,Ordering!$A$1:$J$88,6,FALSE)</f>
        <v>1</v>
      </c>
      <c r="J12" s="52">
        <f>VLOOKUP(B12,Ordering!$A$1:$J$88,10,FALSE)</f>
        <v>13</v>
      </c>
      <c r="K12" s="18">
        <f t="shared" si="3"/>
        <v>2.0500000000000001E-2</v>
      </c>
      <c r="L12" s="211">
        <f t="shared" si="4"/>
        <v>0.26650000000000001</v>
      </c>
      <c r="N12">
        <v>5</v>
      </c>
      <c r="R12" s="5" t="s">
        <v>63</v>
      </c>
      <c r="S12" s="6" t="s">
        <v>81</v>
      </c>
    </row>
    <row r="13" spans="1:25" ht="14.75" customHeight="1" x14ac:dyDescent="0.3">
      <c r="R13" s="7" t="s">
        <v>82</v>
      </c>
      <c r="S13" s="193">
        <f>V1</f>
        <v>39</v>
      </c>
    </row>
    <row r="14" spans="1:25" ht="14.75" customHeight="1" x14ac:dyDescent="0.3">
      <c r="N14">
        <f>SUM(N5:N10)/150</f>
        <v>43.133333333333333</v>
      </c>
      <c r="R14" s="7" t="s">
        <v>83</v>
      </c>
      <c r="S14" s="156">
        <v>2</v>
      </c>
    </row>
    <row r="15" spans="1:25" x14ac:dyDescent="0.3">
      <c r="R15" s="10" t="s">
        <v>84</v>
      </c>
      <c r="S15" s="194">
        <f>S13+S14</f>
        <v>41</v>
      </c>
    </row>
    <row r="16" spans="1:25" x14ac:dyDescent="0.3">
      <c r="R16" s="191" t="s">
        <v>80</v>
      </c>
      <c r="S16" s="192">
        <f>SUM(L5:L12)</f>
        <v>60.917933488372093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7" tint="-0.249977111117893"/>
    <pageSetUpPr fitToPage="1"/>
  </sheetPr>
  <dimension ref="A1:Y20"/>
  <sheetViews>
    <sheetView topLeftCell="K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102</v>
      </c>
      <c r="F1" s="47" t="s">
        <v>46</v>
      </c>
      <c r="G1" s="13">
        <f>D1/B1</f>
        <v>102</v>
      </c>
      <c r="H1" s="47" t="s">
        <v>71</v>
      </c>
      <c r="I1" s="46" t="s">
        <v>107</v>
      </c>
      <c r="J1" s="4"/>
      <c r="K1" s="49" t="s">
        <v>86</v>
      </c>
      <c r="U1" s="235" t="s">
        <v>321</v>
      </c>
      <c r="V1" s="232">
        <v>100</v>
      </c>
    </row>
    <row r="2" spans="1:25" ht="14.25" customHeight="1" x14ac:dyDescent="0.3">
      <c r="A2" s="59"/>
      <c r="B2" s="242" t="s">
        <v>108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47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$G$1</f>
        <v>102</v>
      </c>
      <c r="F5" s="16">
        <v>1</v>
      </c>
      <c r="G5" s="15">
        <f>E5*D5</f>
        <v>102</v>
      </c>
      <c r="H5" s="167">
        <f>G5*F5</f>
        <v>102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102</v>
      </c>
      <c r="L5" s="218">
        <f>J5*K5</f>
        <v>255</v>
      </c>
    </row>
    <row r="6" spans="1:25" ht="14.75" customHeight="1" x14ac:dyDescent="0.35">
      <c r="A6" s="14" t="s">
        <v>12</v>
      </c>
      <c r="B6" s="14" t="s">
        <v>200</v>
      </c>
      <c r="C6" s="19" t="s">
        <v>7</v>
      </c>
      <c r="D6" s="18">
        <v>50</v>
      </c>
      <c r="E6" s="15">
        <f>$G$1</f>
        <v>102</v>
      </c>
      <c r="F6" s="16">
        <v>1</v>
      </c>
      <c r="G6" s="15">
        <f>E6*D6</f>
        <v>5100</v>
      </c>
      <c r="H6" s="167">
        <f>G6*F6</f>
        <v>5100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" si="0">((H6/(I6))/1000)</f>
        <v>5.0999999999999996</v>
      </c>
      <c r="L6" s="218">
        <f>J6*K6</f>
        <v>76.499999999999986</v>
      </c>
    </row>
    <row r="7" spans="1:25" ht="14.75" customHeight="1" x14ac:dyDescent="0.3">
      <c r="A7" s="14"/>
      <c r="B7" s="94"/>
      <c r="C7" s="94"/>
      <c r="D7" s="94"/>
      <c r="E7" s="94"/>
      <c r="F7" s="94"/>
      <c r="G7" s="94"/>
      <c r="H7" s="217"/>
      <c r="I7" s="217"/>
      <c r="J7" s="217"/>
      <c r="K7" s="217"/>
      <c r="L7" s="217"/>
      <c r="M7" s="94"/>
      <c r="N7" s="94"/>
      <c r="O7" s="94"/>
      <c r="P7" s="94"/>
    </row>
    <row r="8" spans="1:25" ht="14.75" customHeight="1" x14ac:dyDescent="0.3">
      <c r="A8" s="14"/>
      <c r="B8" s="94"/>
      <c r="C8" s="94"/>
      <c r="D8" s="94"/>
      <c r="E8" s="94"/>
      <c r="F8" s="94"/>
      <c r="G8" s="94"/>
      <c r="H8" s="217"/>
      <c r="I8" s="217"/>
      <c r="J8" s="217"/>
      <c r="K8" s="217"/>
      <c r="L8" s="217"/>
      <c r="M8" s="94"/>
      <c r="N8" s="94"/>
      <c r="O8" s="94"/>
      <c r="P8" s="94"/>
      <c r="V8" s="171" t="s">
        <v>277</v>
      </c>
      <c r="W8" s="172">
        <v>1</v>
      </c>
      <c r="X8" s="171" t="s">
        <v>80</v>
      </c>
      <c r="Y8" s="184">
        <f>SUM(L5:L6)/S15</f>
        <v>3.25</v>
      </c>
    </row>
    <row r="9" spans="1:25" ht="14.75" customHeight="1" x14ac:dyDescent="0.3">
      <c r="A9" s="14"/>
      <c r="B9" s="94"/>
      <c r="C9" s="94"/>
      <c r="D9" s="94"/>
      <c r="E9" s="94"/>
      <c r="F9" s="94"/>
      <c r="G9" s="94"/>
      <c r="H9" s="217"/>
      <c r="I9" s="217"/>
      <c r="J9" s="217"/>
      <c r="K9" s="217"/>
      <c r="L9" s="217"/>
      <c r="M9" s="94"/>
      <c r="N9" s="94"/>
      <c r="O9" s="94"/>
      <c r="P9" s="94"/>
    </row>
    <row r="10" spans="1:25" ht="14.75" customHeight="1" x14ac:dyDescent="0.3">
      <c r="A10" s="14"/>
      <c r="B10" s="94"/>
      <c r="C10" s="94"/>
      <c r="D10" s="94"/>
      <c r="E10" s="94"/>
      <c r="F10" s="94"/>
      <c r="G10" s="94"/>
      <c r="H10" s="217"/>
      <c r="I10" s="217"/>
      <c r="J10" s="217"/>
      <c r="K10" s="217"/>
      <c r="L10" s="217"/>
      <c r="M10" s="94"/>
      <c r="N10" s="94"/>
      <c r="O10" s="94"/>
      <c r="P10" s="94"/>
      <c r="R10" s="244" t="s">
        <v>19</v>
      </c>
      <c r="S10" s="241"/>
    </row>
    <row r="11" spans="1:25" x14ac:dyDescent="0.3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R11" s="236" t="s">
        <v>62</v>
      </c>
      <c r="S11" s="237"/>
    </row>
    <row r="12" spans="1:25" ht="14.75" customHeight="1" thickBot="1" x14ac:dyDescent="0.35"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R12" s="5" t="s">
        <v>63</v>
      </c>
      <c r="S12" s="6" t="s">
        <v>81</v>
      </c>
    </row>
    <row r="13" spans="1:25" ht="14.75" customHeight="1" thickBot="1" x14ac:dyDescent="0.35"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R13" s="7" t="s">
        <v>82</v>
      </c>
      <c r="S13" s="8">
        <f>V1</f>
        <v>100</v>
      </c>
    </row>
    <row r="14" spans="1:25" ht="14.75" customHeight="1" thickBot="1" x14ac:dyDescent="0.35"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R14" s="7" t="s">
        <v>83</v>
      </c>
      <c r="S14" s="9">
        <v>2</v>
      </c>
    </row>
    <row r="15" spans="1:25" x14ac:dyDescent="0.3"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R15" s="10" t="s">
        <v>84</v>
      </c>
      <c r="S15" s="11">
        <f>S13+S14</f>
        <v>102</v>
      </c>
    </row>
    <row r="16" spans="1:25" x14ac:dyDescent="0.3"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R16" s="191" t="s">
        <v>80</v>
      </c>
      <c r="S16" s="192">
        <f>SUM(L5:L6)</f>
        <v>331.5</v>
      </c>
    </row>
    <row r="17" spans="2:16" x14ac:dyDescent="0.3"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</row>
    <row r="18" spans="2:16" x14ac:dyDescent="0.3"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</row>
    <row r="19" spans="2:16" x14ac:dyDescent="0.3"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</row>
    <row r="20" spans="2:16" x14ac:dyDescent="0.3"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7" tint="-0.249977111117893"/>
    <pageSetUpPr fitToPage="1"/>
  </sheetPr>
  <dimension ref="A1:Y20"/>
  <sheetViews>
    <sheetView topLeftCell="D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3.082031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39" customHeight="1" x14ac:dyDescent="0.3">
      <c r="A1" s="47" t="s">
        <v>70</v>
      </c>
      <c r="B1" s="12">
        <v>1</v>
      </c>
      <c r="C1" s="47" t="s">
        <v>45</v>
      </c>
      <c r="D1" s="13">
        <f>S15</f>
        <v>247</v>
      </c>
      <c r="F1" s="47" t="s">
        <v>46</v>
      </c>
      <c r="G1" s="13">
        <f>D1/B1</f>
        <v>247</v>
      </c>
      <c r="H1" s="47" t="s">
        <v>90</v>
      </c>
      <c r="I1" s="24">
        <f>L28/M1</f>
        <v>0</v>
      </c>
      <c r="J1" s="47" t="s">
        <v>109</v>
      </c>
      <c r="K1" s="22" t="s">
        <v>110</v>
      </c>
      <c r="L1" s="23" t="s">
        <v>111</v>
      </c>
      <c r="M1" s="22">
        <v>0.92</v>
      </c>
      <c r="U1" s="235" t="s">
        <v>321</v>
      </c>
      <c r="V1" s="232">
        <v>245</v>
      </c>
    </row>
    <row r="2" spans="1:25" ht="14.25" customHeight="1" x14ac:dyDescent="0.3">
      <c r="A2" s="59"/>
      <c r="B2" s="242" t="s">
        <v>112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12</v>
      </c>
      <c r="B5" s="14" t="s">
        <v>335</v>
      </c>
      <c r="C5" s="19" t="s">
        <v>7</v>
      </c>
      <c r="D5" s="18">
        <f>75/M1</f>
        <v>81.521739130434781</v>
      </c>
      <c r="E5" s="15">
        <f>$G$1</f>
        <v>247</v>
      </c>
      <c r="F5" s="16">
        <v>1</v>
      </c>
      <c r="G5" s="15">
        <f>E5*D5</f>
        <v>20135.869565217392</v>
      </c>
      <c r="H5" s="167">
        <f>G5*F5</f>
        <v>20135.869565217392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20.135869565217391</v>
      </c>
      <c r="L5" s="169">
        <f>J5*K5</f>
        <v>490.26815217391299</v>
      </c>
    </row>
    <row r="6" spans="1:25" ht="14.75" customHeight="1" x14ac:dyDescent="0.35">
      <c r="A6" s="14" t="s">
        <v>26</v>
      </c>
      <c r="B6" s="14" t="s">
        <v>381</v>
      </c>
      <c r="C6" s="19" t="s">
        <v>7</v>
      </c>
      <c r="D6" s="18">
        <v>43</v>
      </c>
      <c r="E6" s="15">
        <f>$G$1</f>
        <v>247</v>
      </c>
      <c r="F6" s="16">
        <v>1</v>
      </c>
      <c r="G6" s="15">
        <f>E6*D6</f>
        <v>10621</v>
      </c>
      <c r="H6" s="167">
        <f>G6*F6</f>
        <v>10621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16.092424242424244</v>
      </c>
      <c r="L6" s="169">
        <f>J6*K6</f>
        <v>56.323484848484853</v>
      </c>
    </row>
    <row r="7" spans="1:25" ht="14.75" customHeight="1" x14ac:dyDescent="0.35">
      <c r="A7" s="14" t="s">
        <v>26</v>
      </c>
      <c r="B7" s="14" t="s">
        <v>379</v>
      </c>
      <c r="C7" s="19" t="s">
        <v>7</v>
      </c>
      <c r="D7" s="18">
        <v>4.8</v>
      </c>
      <c r="E7" s="15">
        <f>$G$1</f>
        <v>247</v>
      </c>
      <c r="F7" s="16">
        <v>1</v>
      </c>
      <c r="G7" s="15">
        <f>E7*D7</f>
        <v>1185.5999999999999</v>
      </c>
      <c r="H7" s="167">
        <f>G7*F7</f>
        <v>1185.5999999999999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1.976</v>
      </c>
      <c r="L7" s="169">
        <f>J7*K7</f>
        <v>6.4635514018691582</v>
      </c>
    </row>
    <row r="8" spans="1:25" ht="14.75" customHeight="1" x14ac:dyDescent="0.35">
      <c r="A8" s="14" t="s">
        <v>38</v>
      </c>
      <c r="B8" s="14" t="s">
        <v>359</v>
      </c>
      <c r="C8" s="19" t="s">
        <v>5</v>
      </c>
      <c r="D8" s="18">
        <v>1</v>
      </c>
      <c r="E8" s="15">
        <f>$G$1</f>
        <v>247</v>
      </c>
      <c r="F8" s="16">
        <v>1</v>
      </c>
      <c r="G8" s="15">
        <f>E8*D8</f>
        <v>247</v>
      </c>
      <c r="H8" s="167">
        <f>G8*F8</f>
        <v>247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247</v>
      </c>
      <c r="L8" s="169">
        <f>J8*K8</f>
        <v>123.5</v>
      </c>
      <c r="M8" s="84"/>
      <c r="V8" s="171" t="s">
        <v>277</v>
      </c>
      <c r="W8" s="172">
        <v>1</v>
      </c>
      <c r="X8" s="171" t="s">
        <v>80</v>
      </c>
      <c r="Y8" s="184">
        <f>SUM(L5:L8)/S15</f>
        <v>2.7390898316771946</v>
      </c>
    </row>
    <row r="9" spans="1:25" x14ac:dyDescent="0.3">
      <c r="H9" s="218"/>
      <c r="I9" s="217"/>
      <c r="J9" s="217"/>
      <c r="K9" s="217"/>
      <c r="L9" s="219"/>
      <c r="M9" s="84"/>
    </row>
    <row r="10" spans="1:25" x14ac:dyDescent="0.3">
      <c r="H10" s="218"/>
      <c r="I10" s="217"/>
      <c r="J10" s="217"/>
      <c r="K10" s="217"/>
      <c r="L10" s="219"/>
      <c r="M10" s="84"/>
      <c r="R10" s="244" t="s">
        <v>20</v>
      </c>
      <c r="S10" s="241"/>
    </row>
    <row r="11" spans="1:25" x14ac:dyDescent="0.3">
      <c r="I11" s="94"/>
      <c r="J11" s="94"/>
      <c r="K11" s="94"/>
      <c r="L11" s="84"/>
      <c r="M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R13" s="7" t="s">
        <v>82</v>
      </c>
      <c r="S13" s="8">
        <f>V1</f>
        <v>245</v>
      </c>
    </row>
    <row r="14" spans="1:25" ht="14.75" customHeight="1" thickBot="1" x14ac:dyDescent="0.35"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R15" s="10" t="s">
        <v>84</v>
      </c>
      <c r="S15" s="11">
        <f>S13+S14</f>
        <v>247</v>
      </c>
    </row>
    <row r="16" spans="1:25" x14ac:dyDescent="0.3">
      <c r="I16" s="94"/>
      <c r="J16" s="94"/>
      <c r="K16" s="94"/>
      <c r="L16" s="84"/>
      <c r="M16" s="84"/>
      <c r="R16" s="191" t="s">
        <v>80</v>
      </c>
      <c r="S16" s="192">
        <f>SUM(L5:L8)</f>
        <v>676.55518842426704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  <row r="19" spans="9:13" x14ac:dyDescent="0.3">
      <c r="I19" s="84"/>
      <c r="J19" s="84"/>
      <c r="K19" s="84"/>
      <c r="L19" s="84"/>
      <c r="M19" s="84"/>
    </row>
    <row r="20" spans="9:13" x14ac:dyDescent="0.3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theme="7" tint="-0.249977111117893"/>
    <pageSetUpPr fitToPage="1"/>
  </sheetPr>
  <dimension ref="A1:V19"/>
  <sheetViews>
    <sheetView topLeftCell="D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2" ht="25.25" customHeight="1" x14ac:dyDescent="0.3">
      <c r="A1" s="47" t="s">
        <v>70</v>
      </c>
      <c r="B1" s="12">
        <v>1</v>
      </c>
      <c r="C1" s="47" t="s">
        <v>45</v>
      </c>
      <c r="D1" s="13">
        <f>S15</f>
        <v>15</v>
      </c>
      <c r="F1" s="47" t="s">
        <v>46</v>
      </c>
      <c r="G1" s="13">
        <f>D1/B1</f>
        <v>15</v>
      </c>
      <c r="H1" s="47" t="s">
        <v>71</v>
      </c>
      <c r="I1" s="46" t="s">
        <v>101</v>
      </c>
      <c r="M1" s="22">
        <v>0.5</v>
      </c>
      <c r="U1" s="235" t="s">
        <v>321</v>
      </c>
      <c r="V1" s="232">
        <v>13</v>
      </c>
    </row>
    <row r="2" spans="1:22" ht="14.25" customHeight="1" x14ac:dyDescent="0.3">
      <c r="A2" s="59"/>
      <c r="B2" s="242" t="s">
        <v>102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2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2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2" ht="15.5" customHeight="1" thickTop="1" thickBot="1" x14ac:dyDescent="0.4">
      <c r="A5" s="14" t="s">
        <v>4</v>
      </c>
      <c r="B5" s="14" t="s">
        <v>144</v>
      </c>
      <c r="C5" s="19" t="s">
        <v>5</v>
      </c>
      <c r="D5" s="18">
        <v>2</v>
      </c>
      <c r="E5" s="15">
        <f t="shared" ref="E5:E12" si="0">$G$1</f>
        <v>15</v>
      </c>
      <c r="F5" s="16">
        <v>1</v>
      </c>
      <c r="G5" s="15">
        <f t="shared" ref="G5:G12" si="1">E5*D5</f>
        <v>30</v>
      </c>
      <c r="H5" s="167">
        <f t="shared" ref="H5:H12" si="2">G5*F5</f>
        <v>30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31.25</v>
      </c>
      <c r="L5" s="169">
        <f t="shared" ref="L5:L12" si="3">J5*K5</f>
        <v>13.541666666666668</v>
      </c>
      <c r="N5" s="1"/>
    </row>
    <row r="6" spans="1:22" ht="15.5" customHeight="1" thickTop="1" thickBot="1" x14ac:dyDescent="0.4">
      <c r="A6" s="14" t="s">
        <v>26</v>
      </c>
      <c r="B6" s="14" t="s">
        <v>383</v>
      </c>
      <c r="C6" s="19" t="s">
        <v>7</v>
      </c>
      <c r="D6" s="18">
        <f t="shared" ref="D6:D11" si="4">N6/80</f>
        <v>25</v>
      </c>
      <c r="E6" s="15">
        <f t="shared" si="0"/>
        <v>15</v>
      </c>
      <c r="F6" s="16">
        <v>1</v>
      </c>
      <c r="G6" s="15">
        <f t="shared" si="1"/>
        <v>375</v>
      </c>
      <c r="H6" s="167">
        <f t="shared" si="2"/>
        <v>375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520.83333333333337</v>
      </c>
      <c r="L6" s="169">
        <f t="shared" si="3"/>
        <v>4427.0833333333339</v>
      </c>
      <c r="N6" s="1">
        <v>2000</v>
      </c>
    </row>
    <row r="7" spans="1:22" ht="15.5" customHeight="1" thickTop="1" thickBot="1" x14ac:dyDescent="0.4">
      <c r="A7" s="14" t="s">
        <v>26</v>
      </c>
      <c r="B7" s="14" t="s">
        <v>198</v>
      </c>
      <c r="C7" s="19" t="s">
        <v>7</v>
      </c>
      <c r="D7" s="18">
        <f t="shared" si="4"/>
        <v>2.625</v>
      </c>
      <c r="E7" s="15">
        <f t="shared" si="0"/>
        <v>15</v>
      </c>
      <c r="F7" s="16">
        <v>1</v>
      </c>
      <c r="G7" s="15">
        <f t="shared" si="1"/>
        <v>39.375</v>
      </c>
      <c r="H7" s="167">
        <f t="shared" si="2"/>
        <v>39.375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39.375</v>
      </c>
      <c r="L7" s="169">
        <f t="shared" si="3"/>
        <v>866.25</v>
      </c>
      <c r="N7" s="1">
        <v>210</v>
      </c>
    </row>
    <row r="8" spans="1:22" ht="15.5" customHeight="1" thickTop="1" thickBot="1" x14ac:dyDescent="0.4">
      <c r="A8" s="14" t="s">
        <v>26</v>
      </c>
      <c r="B8" s="14" t="s">
        <v>191</v>
      </c>
      <c r="C8" s="19" t="s">
        <v>7</v>
      </c>
      <c r="D8" s="18">
        <f t="shared" si="4"/>
        <v>6.25</v>
      </c>
      <c r="E8" s="15">
        <f t="shared" si="0"/>
        <v>15</v>
      </c>
      <c r="F8" s="16">
        <v>1</v>
      </c>
      <c r="G8" s="15">
        <f t="shared" si="1"/>
        <v>93.75</v>
      </c>
      <c r="H8" s="167">
        <f t="shared" si="2"/>
        <v>93.75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95.663265306122454</v>
      </c>
      <c r="L8" s="169">
        <f t="shared" si="3"/>
        <v>334.82142857142861</v>
      </c>
      <c r="N8" s="1">
        <v>500</v>
      </c>
    </row>
    <row r="9" spans="1:22" ht="15.5" customHeight="1" thickTop="1" thickBot="1" x14ac:dyDescent="0.4">
      <c r="A9" s="14" t="s">
        <v>26</v>
      </c>
      <c r="B9" s="14" t="s">
        <v>192</v>
      </c>
      <c r="C9" s="19" t="s">
        <v>7</v>
      </c>
      <c r="D9" s="18">
        <f t="shared" si="4"/>
        <v>6.25</v>
      </c>
      <c r="E9" s="15">
        <f t="shared" si="0"/>
        <v>15</v>
      </c>
      <c r="F9" s="16">
        <v>1</v>
      </c>
      <c r="G9" s="15">
        <f t="shared" si="1"/>
        <v>93.75</v>
      </c>
      <c r="H9" s="167">
        <f t="shared" si="2"/>
        <v>93.75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104.16666666666666</v>
      </c>
      <c r="L9" s="169">
        <f t="shared" si="3"/>
        <v>312.5</v>
      </c>
      <c r="N9" s="1">
        <v>500</v>
      </c>
    </row>
    <row r="10" spans="1:22" ht="15.5" customHeight="1" thickTop="1" thickBot="1" x14ac:dyDescent="0.4">
      <c r="A10" s="14" t="s">
        <v>40</v>
      </c>
      <c r="B10" s="14" t="s">
        <v>175</v>
      </c>
      <c r="C10" s="19" t="s">
        <v>7</v>
      </c>
      <c r="D10" s="18">
        <f t="shared" si="4"/>
        <v>0.375</v>
      </c>
      <c r="E10" s="15">
        <f t="shared" si="0"/>
        <v>15</v>
      </c>
      <c r="F10" s="16">
        <v>1</v>
      </c>
      <c r="G10" s="15">
        <f t="shared" si="1"/>
        <v>5.625</v>
      </c>
      <c r="H10" s="167">
        <f t="shared" si="2"/>
        <v>5.625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5.625</v>
      </c>
      <c r="L10" s="169">
        <f t="shared" si="3"/>
        <v>4.1624999999999996</v>
      </c>
      <c r="N10" s="1">
        <v>30</v>
      </c>
      <c r="R10" s="244" t="s">
        <v>16</v>
      </c>
      <c r="S10" s="241"/>
    </row>
    <row r="11" spans="1:22" ht="15.5" customHeight="1" thickTop="1" thickBot="1" x14ac:dyDescent="0.4">
      <c r="A11" s="14" t="s">
        <v>40</v>
      </c>
      <c r="B11" s="14" t="s">
        <v>176</v>
      </c>
      <c r="C11" s="19" t="s">
        <v>7</v>
      </c>
      <c r="D11" s="18">
        <f t="shared" si="4"/>
        <v>0.25</v>
      </c>
      <c r="E11" s="15">
        <f t="shared" si="0"/>
        <v>15</v>
      </c>
      <c r="F11" s="16">
        <v>1</v>
      </c>
      <c r="G11" s="15">
        <f t="shared" si="1"/>
        <v>3.75</v>
      </c>
      <c r="H11" s="15">
        <f t="shared" si="2"/>
        <v>3.75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3.75</v>
      </c>
      <c r="L11" s="156">
        <f t="shared" si="3"/>
        <v>116.25</v>
      </c>
      <c r="N11" s="1">
        <v>20</v>
      </c>
      <c r="R11" s="236" t="s">
        <v>62</v>
      </c>
      <c r="S11" s="237"/>
    </row>
    <row r="12" spans="1:22" ht="15.5" customHeight="1" thickTop="1" thickBot="1" x14ac:dyDescent="0.4">
      <c r="A12" s="14" t="s">
        <v>38</v>
      </c>
      <c r="B12" s="14" t="s">
        <v>363</v>
      </c>
      <c r="C12" s="19" t="s">
        <v>5</v>
      </c>
      <c r="D12" s="18">
        <v>2</v>
      </c>
      <c r="E12" s="15">
        <f t="shared" si="0"/>
        <v>15</v>
      </c>
      <c r="F12" s="16">
        <v>1</v>
      </c>
      <c r="G12" s="15">
        <f t="shared" si="1"/>
        <v>30</v>
      </c>
      <c r="H12" s="15">
        <f t="shared" si="2"/>
        <v>30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30</v>
      </c>
      <c r="L12" s="156">
        <f t="shared" si="3"/>
        <v>8.0249999999999986</v>
      </c>
      <c r="N12" s="1"/>
      <c r="R12" s="5" t="s">
        <v>63</v>
      </c>
      <c r="S12" s="6" t="s">
        <v>81</v>
      </c>
    </row>
    <row r="13" spans="1:22" ht="15" customHeight="1" thickTop="1" thickBot="1" x14ac:dyDescent="0.35">
      <c r="I13" s="94"/>
      <c r="J13" s="94"/>
      <c r="K13" s="94"/>
      <c r="R13" s="7" t="s">
        <v>82</v>
      </c>
      <c r="S13" s="8">
        <f>V1</f>
        <v>13</v>
      </c>
    </row>
    <row r="14" spans="1:22" ht="14.75" customHeight="1" thickBot="1" x14ac:dyDescent="0.35">
      <c r="I14" s="94"/>
      <c r="J14" s="94"/>
      <c r="K14" s="94"/>
      <c r="R14" s="7" t="s">
        <v>83</v>
      </c>
      <c r="S14" s="9">
        <v>2</v>
      </c>
    </row>
    <row r="15" spans="1:22" x14ac:dyDescent="0.3">
      <c r="I15" s="94"/>
      <c r="J15" s="94"/>
      <c r="K15" s="94"/>
      <c r="R15" s="10" t="s">
        <v>84</v>
      </c>
      <c r="S15" s="11">
        <f>S13+S14</f>
        <v>15</v>
      </c>
    </row>
    <row r="16" spans="1:22" x14ac:dyDescent="0.3">
      <c r="I16" s="94"/>
      <c r="J16" s="94"/>
      <c r="K16" s="94"/>
    </row>
    <row r="17" spans="9:11" x14ac:dyDescent="0.3">
      <c r="I17" s="94"/>
      <c r="J17" s="94"/>
      <c r="K17" s="94"/>
    </row>
    <row r="18" spans="9:11" x14ac:dyDescent="0.3">
      <c r="I18" s="94"/>
      <c r="J18" s="94"/>
      <c r="K18" s="94"/>
    </row>
    <row r="19" spans="9:11" x14ac:dyDescent="0.3"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6" tint="-0.249977111117893"/>
    <pageSetUpPr fitToPage="1"/>
  </sheetPr>
  <dimension ref="A1:Y20"/>
  <sheetViews>
    <sheetView topLeftCell="K1" zoomScale="104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2.66406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11.83203125" bestFit="1" customWidth="1"/>
    <col min="19" max="19" width="8.5" bestFit="1" customWidth="1"/>
  </cols>
  <sheetData>
    <row r="1" spans="1:25" ht="39" customHeight="1" x14ac:dyDescent="0.3">
      <c r="A1" s="47" t="s">
        <v>70</v>
      </c>
      <c r="B1" s="12">
        <v>1</v>
      </c>
      <c r="C1" s="47" t="s">
        <v>45</v>
      </c>
      <c r="D1" s="13">
        <f>S15</f>
        <v>142</v>
      </c>
      <c r="F1" s="47" t="s">
        <v>46</v>
      </c>
      <c r="G1" s="13">
        <f>D1/B1</f>
        <v>142</v>
      </c>
      <c r="H1" s="47" t="s">
        <v>90</v>
      </c>
      <c r="I1" s="24">
        <f>L28/M1</f>
        <v>0</v>
      </c>
      <c r="J1" s="47" t="s">
        <v>49</v>
      </c>
      <c r="K1" s="22" t="s">
        <v>98</v>
      </c>
      <c r="L1" s="23" t="s">
        <v>51</v>
      </c>
      <c r="M1" s="22">
        <v>0.5</v>
      </c>
      <c r="U1" s="235" t="s">
        <v>321</v>
      </c>
      <c r="V1" s="232">
        <v>140</v>
      </c>
    </row>
    <row r="2" spans="1:25" ht="14.25" customHeight="1" x14ac:dyDescent="0.3">
      <c r="A2" s="59"/>
      <c r="B2" s="242" t="s">
        <v>99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41</v>
      </c>
      <c r="B5" s="14" t="s">
        <v>349</v>
      </c>
      <c r="C5" s="19" t="s">
        <v>7</v>
      </c>
      <c r="D5" s="18">
        <v>21</v>
      </c>
      <c r="E5" s="15">
        <f>$G$1</f>
        <v>142</v>
      </c>
      <c r="F5" s="16">
        <v>1</v>
      </c>
      <c r="G5" s="15">
        <f>E5*D5</f>
        <v>2982</v>
      </c>
      <c r="H5" s="167">
        <f>G5*F5</f>
        <v>2982</v>
      </c>
      <c r="I5" s="167">
        <f>VLOOKUP(B5,Ordering!$A$1:$J$88,6,FALSE)</f>
        <v>1</v>
      </c>
      <c r="J5" s="167">
        <f>VLOOKUP(B5,Ordering!$A$1:$J$88,10,FALSE)</f>
        <v>30.833333333333332</v>
      </c>
      <c r="K5" s="167">
        <f t="shared" ref="K5:K8" si="0">((H5/(I5))/1000)</f>
        <v>2.9820000000000002</v>
      </c>
      <c r="L5" s="169">
        <f>J5*K5</f>
        <v>91.945000000000007</v>
      </c>
    </row>
    <row r="6" spans="1:25" ht="14.75" customHeight="1" x14ac:dyDescent="0.35">
      <c r="A6" s="14" t="s">
        <v>4</v>
      </c>
      <c r="B6" s="14" t="s">
        <v>375</v>
      </c>
      <c r="C6" s="19" t="s">
        <v>7</v>
      </c>
      <c r="D6" s="18">
        <v>40</v>
      </c>
      <c r="E6" s="15">
        <f>$G$1</f>
        <v>142</v>
      </c>
      <c r="F6" s="16">
        <v>1</v>
      </c>
      <c r="G6" s="15">
        <f>E6*D6</f>
        <v>5680</v>
      </c>
      <c r="H6" s="167">
        <f>G6*F6</f>
        <v>5680</v>
      </c>
      <c r="I6" s="167">
        <f>VLOOKUP(B6,Ordering!$A$1:$J$88,6,FALSE)</f>
        <v>1</v>
      </c>
      <c r="J6" s="167">
        <f>VLOOKUP(B6,Ordering!$A$1:$J$88,10,FALSE)</f>
        <v>65</v>
      </c>
      <c r="K6" s="167">
        <f>((H6/(I6))/1000)</f>
        <v>5.68</v>
      </c>
      <c r="L6" s="169">
        <f>J6*K6</f>
        <v>369.2</v>
      </c>
    </row>
    <row r="7" spans="1:25" ht="14.75" customHeight="1" x14ac:dyDescent="0.35">
      <c r="A7" s="14" t="s">
        <v>26</v>
      </c>
      <c r="B7" s="14" t="s">
        <v>381</v>
      </c>
      <c r="C7" s="19" t="s">
        <v>7</v>
      </c>
      <c r="D7" s="18">
        <v>43</v>
      </c>
      <c r="E7" s="15">
        <f>$G$1</f>
        <v>142</v>
      </c>
      <c r="F7" s="16">
        <v>1</v>
      </c>
      <c r="G7" s="15">
        <f>E7*D7</f>
        <v>6106</v>
      </c>
      <c r="H7" s="167">
        <f>G7*F7</f>
        <v>6106</v>
      </c>
      <c r="I7" s="167">
        <f>VLOOKUP(B7,Ordering!$A$1:$J$88,6,FALSE)</f>
        <v>0.66</v>
      </c>
      <c r="J7" s="167">
        <f>VLOOKUP(B7,Ordering!$A$1:$J$88,10,FALSE)</f>
        <v>3.5</v>
      </c>
      <c r="K7" s="167">
        <f t="shared" si="0"/>
        <v>9.2515151515151519</v>
      </c>
      <c r="L7" s="169">
        <f>J7*K7</f>
        <v>32.380303030303033</v>
      </c>
    </row>
    <row r="8" spans="1:25" ht="14.75" customHeight="1" x14ac:dyDescent="0.35">
      <c r="A8" s="14" t="s">
        <v>26</v>
      </c>
      <c r="B8" s="14" t="s">
        <v>377</v>
      </c>
      <c r="C8" s="19" t="s">
        <v>7</v>
      </c>
      <c r="D8" s="18">
        <v>10</v>
      </c>
      <c r="E8" s="15">
        <f>$G$1</f>
        <v>142</v>
      </c>
      <c r="F8" s="16">
        <v>1</v>
      </c>
      <c r="G8" s="15">
        <f>E8*D8</f>
        <v>1420</v>
      </c>
      <c r="H8" s="167">
        <f>G8*F8</f>
        <v>1420</v>
      </c>
      <c r="I8" s="167">
        <f>VLOOKUP(B8,Ordering!$A$1:$J$88,6,FALSE)</f>
        <v>0.56999999999999995</v>
      </c>
      <c r="J8" s="167">
        <f>VLOOKUP(B8,Ordering!$A$1:$J$88,10,FALSE)</f>
        <v>8.5</v>
      </c>
      <c r="K8" s="167">
        <f t="shared" si="0"/>
        <v>2.4912280701754388</v>
      </c>
      <c r="L8" s="169">
        <f>J8*K8</f>
        <v>21.17543859649123</v>
      </c>
      <c r="M8" s="84"/>
      <c r="V8" s="171" t="s">
        <v>277</v>
      </c>
      <c r="W8" s="172">
        <v>1</v>
      </c>
      <c r="X8" s="171" t="s">
        <v>80</v>
      </c>
      <c r="Y8" s="184">
        <f>SUM(L5:L8)/S15</f>
        <v>3.6246531100478463</v>
      </c>
    </row>
    <row r="9" spans="1:25" ht="14.5" x14ac:dyDescent="0.35">
      <c r="A9" s="14" t="s">
        <v>38</v>
      </c>
      <c r="B9" s="14" t="s">
        <v>359</v>
      </c>
      <c r="C9" s="19" t="s">
        <v>5</v>
      </c>
      <c r="D9" s="18">
        <v>1</v>
      </c>
      <c r="E9" s="15">
        <f>$G$1</f>
        <v>142</v>
      </c>
      <c r="F9" s="16">
        <v>1</v>
      </c>
      <c r="G9" s="15">
        <f>E9*D9</f>
        <v>142</v>
      </c>
      <c r="H9" s="167">
        <f>G9*F9</f>
        <v>142</v>
      </c>
      <c r="I9" s="167">
        <f>VLOOKUP(B9,Ordering!$A$1:$J$88,6,FALSE)</f>
        <v>1</v>
      </c>
      <c r="J9" s="167">
        <f>VLOOKUP(B9,Ordering!$A$1:$J$88,10,FALSE)</f>
        <v>0.5</v>
      </c>
      <c r="K9" s="167">
        <f t="shared" ref="K9" si="1">(H9/I9)</f>
        <v>142</v>
      </c>
      <c r="L9" s="169">
        <f>J9*K9</f>
        <v>71</v>
      </c>
      <c r="M9" s="84"/>
    </row>
    <row r="10" spans="1:25" x14ac:dyDescent="0.3">
      <c r="H10" s="218"/>
      <c r="I10" s="217"/>
      <c r="J10" s="217"/>
      <c r="K10" s="217"/>
      <c r="L10" s="219"/>
      <c r="M10" s="84"/>
      <c r="R10" s="244" t="s">
        <v>14</v>
      </c>
      <c r="S10" s="241"/>
    </row>
    <row r="11" spans="1:25" x14ac:dyDescent="0.3">
      <c r="I11" s="94"/>
      <c r="J11" s="94"/>
      <c r="K11" s="94"/>
      <c r="L11" s="84"/>
      <c r="M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R13" s="7" t="s">
        <v>82</v>
      </c>
      <c r="S13" s="8">
        <f>V1</f>
        <v>140</v>
      </c>
    </row>
    <row r="14" spans="1:25" ht="14.75" customHeight="1" thickBot="1" x14ac:dyDescent="0.35"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R15" s="10" t="s">
        <v>84</v>
      </c>
      <c r="S15" s="11">
        <f>S13+S14</f>
        <v>142</v>
      </c>
    </row>
    <row r="16" spans="1:25" x14ac:dyDescent="0.3">
      <c r="I16" s="94"/>
      <c r="J16" s="94"/>
      <c r="K16" s="94"/>
      <c r="L16" s="84"/>
      <c r="M16" s="84"/>
      <c r="R16" s="191" t="s">
        <v>80</v>
      </c>
      <c r="S16" s="192">
        <f>SUM(L5:L8)</f>
        <v>514.70074162679418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  <row r="19" spans="9:13" x14ac:dyDescent="0.3">
      <c r="I19" s="84"/>
      <c r="J19" s="84"/>
      <c r="K19" s="84"/>
      <c r="L19" s="84"/>
      <c r="M19" s="84"/>
    </row>
    <row r="20" spans="9:13" x14ac:dyDescent="0.3">
      <c r="I20" s="84"/>
      <c r="J20" s="84"/>
      <c r="K20" s="84"/>
      <c r="L20" s="84"/>
      <c r="M20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6" tint="-0.249977111117893"/>
    <pageSetUpPr fitToPage="1"/>
  </sheetPr>
  <dimension ref="A1:Y19"/>
  <sheetViews>
    <sheetView topLeftCell="L1" zoomScale="85" zoomScaleNormal="8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0.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C1" s="47" t="s">
        <v>45</v>
      </c>
      <c r="D1" s="13">
        <f>S15</f>
        <v>155</v>
      </c>
      <c r="F1" s="47" t="s">
        <v>46</v>
      </c>
      <c r="G1" s="13">
        <f>D1/B1</f>
        <v>155</v>
      </c>
      <c r="H1" s="47" t="s">
        <v>71</v>
      </c>
      <c r="I1" s="46" t="s">
        <v>113</v>
      </c>
      <c r="M1" s="22"/>
      <c r="U1" s="235" t="s">
        <v>321</v>
      </c>
      <c r="V1" s="232">
        <v>153</v>
      </c>
    </row>
    <row r="2" spans="1:25" ht="14.25" customHeight="1" x14ac:dyDescent="0.3">
      <c r="A2" s="65"/>
      <c r="B2" s="242" t="s">
        <v>114</v>
      </c>
      <c r="C2" s="247"/>
      <c r="D2" s="247"/>
      <c r="E2" s="247"/>
      <c r="F2" s="247"/>
      <c r="G2" s="247"/>
      <c r="H2" s="247"/>
      <c r="I2" s="66"/>
      <c r="J2" s="66"/>
      <c r="K2" s="67"/>
    </row>
    <row r="3" spans="1:25" ht="14.25" customHeight="1" x14ac:dyDescent="0.3">
      <c r="A3" s="70"/>
      <c r="B3" s="243"/>
      <c r="C3" s="243"/>
      <c r="D3" s="243"/>
      <c r="E3" s="243"/>
      <c r="F3" s="243"/>
      <c r="G3" s="243"/>
      <c r="H3" s="248"/>
      <c r="I3" s="162"/>
      <c r="J3" s="162"/>
      <c r="K3" s="163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4</v>
      </c>
      <c r="B5" s="14" t="s">
        <v>144</v>
      </c>
      <c r="C5" s="19" t="s">
        <v>5</v>
      </c>
      <c r="D5" s="18">
        <v>1.5</v>
      </c>
      <c r="E5" s="15">
        <f t="shared" ref="E5:E11" si="0">$G$1</f>
        <v>155</v>
      </c>
      <c r="F5" s="16">
        <v>1</v>
      </c>
      <c r="G5" s="15">
        <f t="shared" ref="G5:G10" si="1">E5*D5</f>
        <v>232.5</v>
      </c>
      <c r="H5" s="167">
        <f t="shared" ref="H5:H10" si="2">G5*F5</f>
        <v>232.5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242.1875</v>
      </c>
      <c r="L5" s="169">
        <f t="shared" ref="L5:L11" si="3">J5*K5</f>
        <v>104.94791666666667</v>
      </c>
    </row>
    <row r="6" spans="1:25" ht="14.75" customHeight="1" x14ac:dyDescent="0.35">
      <c r="A6" s="14" t="s">
        <v>26</v>
      </c>
      <c r="B6" s="14" t="s">
        <v>381</v>
      </c>
      <c r="C6" s="19" t="s">
        <v>7</v>
      </c>
      <c r="D6" s="52">
        <v>43</v>
      </c>
      <c r="E6" s="15">
        <f t="shared" si="0"/>
        <v>155</v>
      </c>
      <c r="F6" s="16">
        <v>1</v>
      </c>
      <c r="G6" s="15">
        <f t="shared" si="1"/>
        <v>6665</v>
      </c>
      <c r="H6" s="167">
        <f t="shared" si="2"/>
        <v>6665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1" si="4">((H6/(I6))/1000)</f>
        <v>10.098484848484848</v>
      </c>
      <c r="L6" s="169">
        <f t="shared" si="3"/>
        <v>35.344696969696969</v>
      </c>
    </row>
    <row r="7" spans="1:25" ht="14.75" customHeight="1" x14ac:dyDescent="0.35">
      <c r="A7" s="14" t="s">
        <v>40</v>
      </c>
      <c r="B7" s="14" t="s">
        <v>175</v>
      </c>
      <c r="C7" s="19" t="s">
        <v>7</v>
      </c>
      <c r="D7" s="18">
        <f>M7/11</f>
        <v>9.0909090909090912E-2</v>
      </c>
      <c r="E7" s="15">
        <f t="shared" si="0"/>
        <v>155</v>
      </c>
      <c r="F7" s="16">
        <v>1</v>
      </c>
      <c r="G7" s="15">
        <f t="shared" si="1"/>
        <v>14.090909090909092</v>
      </c>
      <c r="H7" s="167">
        <f t="shared" si="2"/>
        <v>14.090909090909092</v>
      </c>
      <c r="I7" s="167">
        <f>VLOOKUP(B7,Ordering!$A$1:$J$88,6,FALSE)</f>
        <v>1</v>
      </c>
      <c r="J7" s="167">
        <f>VLOOKUP(B7,Ordering!$A$1:$J$88,10,FALSE)</f>
        <v>0.74</v>
      </c>
      <c r="K7" s="167">
        <f t="shared" si="4"/>
        <v>1.4090909090909091E-2</v>
      </c>
      <c r="L7" s="169">
        <f t="shared" si="3"/>
        <v>1.0427272727272728E-2</v>
      </c>
      <c r="M7">
        <v>1</v>
      </c>
    </row>
    <row r="8" spans="1:25" ht="14.75" customHeight="1" x14ac:dyDescent="0.35">
      <c r="A8" s="14" t="s">
        <v>40</v>
      </c>
      <c r="B8" s="14" t="s">
        <v>176</v>
      </c>
      <c r="C8" s="19" t="s">
        <v>7</v>
      </c>
      <c r="D8" s="18">
        <f>M8/150</f>
        <v>6.6666666666666671E-3</v>
      </c>
      <c r="E8" s="15">
        <f t="shared" si="0"/>
        <v>155</v>
      </c>
      <c r="F8" s="16">
        <v>1</v>
      </c>
      <c r="G8" s="135">
        <f t="shared" si="1"/>
        <v>1.0333333333333334</v>
      </c>
      <c r="H8" s="167">
        <f t="shared" si="2"/>
        <v>1.0333333333333334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1.0333333333333334E-3</v>
      </c>
      <c r="L8" s="169">
        <f t="shared" si="3"/>
        <v>3.2033333333333337E-2</v>
      </c>
      <c r="M8">
        <v>1</v>
      </c>
      <c r="V8" s="171" t="s">
        <v>277</v>
      </c>
      <c r="W8" s="172">
        <v>1</v>
      </c>
      <c r="X8" s="171" t="s">
        <v>80</v>
      </c>
      <c r="Y8" s="184">
        <f>SUM(L5:L11)/S15</f>
        <v>1.5552998564593301</v>
      </c>
    </row>
    <row r="9" spans="1:25" ht="14.75" customHeight="1" x14ac:dyDescent="0.35">
      <c r="A9" s="14" t="s">
        <v>40</v>
      </c>
      <c r="B9" s="14" t="s">
        <v>178</v>
      </c>
      <c r="C9" s="19" t="s">
        <v>7</v>
      </c>
      <c r="D9" s="18">
        <f>M9/19</f>
        <v>5.2631578947368418E-2</v>
      </c>
      <c r="E9" s="15">
        <f t="shared" si="0"/>
        <v>155</v>
      </c>
      <c r="F9" s="16">
        <v>1</v>
      </c>
      <c r="G9" s="15">
        <f t="shared" si="1"/>
        <v>8.1578947368421044</v>
      </c>
      <c r="H9" s="167">
        <f t="shared" si="2"/>
        <v>8.1578947368421044</v>
      </c>
      <c r="I9" s="167">
        <f>VLOOKUP(B9,Ordering!$A$1:$J$88,6,FALSE)</f>
        <v>1</v>
      </c>
      <c r="J9" s="167">
        <f>VLOOKUP(B9,Ordering!$A$1:$J$88,10,FALSE)</f>
        <v>15</v>
      </c>
      <c r="K9" s="167">
        <f t="shared" si="4"/>
        <v>8.1578947368421036E-3</v>
      </c>
      <c r="L9" s="169">
        <f t="shared" si="3"/>
        <v>0.12236842105263156</v>
      </c>
      <c r="M9">
        <v>1</v>
      </c>
    </row>
    <row r="10" spans="1:25" ht="14.75" customHeight="1" x14ac:dyDescent="0.35">
      <c r="A10" s="14" t="s">
        <v>38</v>
      </c>
      <c r="B10" s="14" t="s">
        <v>359</v>
      </c>
      <c r="C10" s="19" t="s">
        <v>5</v>
      </c>
      <c r="D10" s="18">
        <v>1</v>
      </c>
      <c r="E10" s="15">
        <f t="shared" si="0"/>
        <v>155</v>
      </c>
      <c r="F10" s="16">
        <v>1</v>
      </c>
      <c r="G10" s="15">
        <f t="shared" si="1"/>
        <v>155</v>
      </c>
      <c r="H10" s="167">
        <f t="shared" si="2"/>
        <v>155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ref="K10" si="5">(H10/I10)</f>
        <v>155</v>
      </c>
      <c r="L10" s="169">
        <f t="shared" si="3"/>
        <v>77.5</v>
      </c>
      <c r="R10" s="244" t="s">
        <v>22</v>
      </c>
      <c r="S10" s="241"/>
    </row>
    <row r="11" spans="1:25" ht="14.5" x14ac:dyDescent="0.35">
      <c r="A11" s="14" t="s">
        <v>26</v>
      </c>
      <c r="B11" s="14" t="s">
        <v>377</v>
      </c>
      <c r="C11" s="19" t="s">
        <v>7</v>
      </c>
      <c r="D11" s="18">
        <v>10</v>
      </c>
      <c r="E11" s="15">
        <f t="shared" si="0"/>
        <v>155</v>
      </c>
      <c r="F11" s="16">
        <v>1</v>
      </c>
      <c r="G11" s="15">
        <f t="shared" ref="G11" si="6">E11*D11</f>
        <v>1550</v>
      </c>
      <c r="H11" s="15">
        <f t="shared" ref="H11" si="7">G11*F11</f>
        <v>1550</v>
      </c>
      <c r="I11" s="14">
        <f>VLOOKUP(B11,Ordering!$A$1:$J$88,6,FALSE)</f>
        <v>0.56999999999999995</v>
      </c>
      <c r="J11" s="167">
        <f>VLOOKUP(B11,Ordering!$A$1:$J$88,10,FALSE)</f>
        <v>8.5</v>
      </c>
      <c r="K11" s="167">
        <f t="shared" si="4"/>
        <v>2.7192982456140351</v>
      </c>
      <c r="L11" s="169">
        <f t="shared" si="3"/>
        <v>23.114035087719298</v>
      </c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R13" s="7" t="s">
        <v>82</v>
      </c>
      <c r="S13" s="8">
        <f>V1</f>
        <v>153</v>
      </c>
    </row>
    <row r="14" spans="1:25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R15" s="10" t="s">
        <v>84</v>
      </c>
      <c r="S15" s="11">
        <f>S13+S14</f>
        <v>155</v>
      </c>
    </row>
    <row r="16" spans="1:25" x14ac:dyDescent="0.3">
      <c r="I16" s="94"/>
      <c r="J16" s="94"/>
      <c r="K16" s="94"/>
      <c r="L16" s="84"/>
      <c r="R16" s="195" t="s">
        <v>80</v>
      </c>
      <c r="S16" s="196">
        <f>SUM(L5:L11)</f>
        <v>241.07147775119617</v>
      </c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theme="6" tint="-0.249977111117893"/>
    <pageSetUpPr fitToPage="1"/>
  </sheetPr>
  <dimension ref="A1:Y19"/>
  <sheetViews>
    <sheetView topLeftCell="N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E1" s="47" t="s">
        <v>45</v>
      </c>
      <c r="F1" s="13">
        <f>S15</f>
        <v>248</v>
      </c>
      <c r="H1" s="47" t="s">
        <v>46</v>
      </c>
      <c r="I1" s="13">
        <f>F1/B1</f>
        <v>248</v>
      </c>
      <c r="J1" s="47" t="s">
        <v>71</v>
      </c>
      <c r="K1" s="46"/>
      <c r="U1" s="235" t="s">
        <v>321</v>
      </c>
      <c r="V1" s="232">
        <v>246</v>
      </c>
    </row>
    <row r="2" spans="1:25" ht="14.25" customHeight="1" x14ac:dyDescent="0.3">
      <c r="A2" s="59"/>
      <c r="B2" s="242" t="s">
        <v>115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$I$1</f>
        <v>248</v>
      </c>
      <c r="F5" s="16">
        <v>1</v>
      </c>
      <c r="G5" s="15">
        <f>E5*D5</f>
        <v>248</v>
      </c>
      <c r="H5" s="167">
        <f>G5*F5</f>
        <v>248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248</v>
      </c>
      <c r="L5" s="169">
        <f>J5*K5</f>
        <v>620</v>
      </c>
    </row>
    <row r="6" spans="1:25" ht="14.75" customHeight="1" x14ac:dyDescent="0.35">
      <c r="A6" s="14" t="s">
        <v>26</v>
      </c>
      <c r="B6" s="14" t="s">
        <v>381</v>
      </c>
      <c r="C6" s="19" t="s">
        <v>7</v>
      </c>
      <c r="D6" s="19">
        <v>43</v>
      </c>
      <c r="E6" s="15">
        <f>$I$1</f>
        <v>248</v>
      </c>
      <c r="F6" s="16">
        <v>1</v>
      </c>
      <c r="G6" s="15">
        <f>E6*D6</f>
        <v>10664</v>
      </c>
      <c r="H6" s="167">
        <f>G6*F6</f>
        <v>10664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8" si="0">((H6/(I6))/1000)</f>
        <v>16.157575757575756</v>
      </c>
      <c r="L6" s="169">
        <f>J6*K6</f>
        <v>56.551515151515147</v>
      </c>
    </row>
    <row r="7" spans="1:25" ht="14.75" customHeight="1" x14ac:dyDescent="0.35">
      <c r="A7" s="14" t="s">
        <v>26</v>
      </c>
      <c r="B7" s="14" t="s">
        <v>379</v>
      </c>
      <c r="C7" s="19" t="s">
        <v>7</v>
      </c>
      <c r="D7" s="19">
        <v>7</v>
      </c>
      <c r="E7" s="15">
        <f>$I$1</f>
        <v>248</v>
      </c>
      <c r="F7" s="16">
        <v>1</v>
      </c>
      <c r="G7" s="15">
        <f>E7*D7</f>
        <v>1736</v>
      </c>
      <c r="H7" s="167">
        <f>G7*F7</f>
        <v>1736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2.8933333333333335</v>
      </c>
      <c r="L7" s="169">
        <f>J7*K7</f>
        <v>9.4641744548286599</v>
      </c>
    </row>
    <row r="8" spans="1:25" ht="14.75" customHeight="1" x14ac:dyDescent="0.35">
      <c r="A8" s="90" t="s">
        <v>12</v>
      </c>
      <c r="B8" s="90" t="s">
        <v>333</v>
      </c>
      <c r="C8" s="91" t="s">
        <v>7</v>
      </c>
      <c r="D8" s="91">
        <v>36</v>
      </c>
      <c r="E8" s="92">
        <f>$I$1</f>
        <v>248</v>
      </c>
      <c r="F8" s="93">
        <v>1</v>
      </c>
      <c r="G8" s="92">
        <f>E8*D8</f>
        <v>8928</v>
      </c>
      <c r="H8" s="167">
        <f>G8*F8</f>
        <v>8928</v>
      </c>
      <c r="I8" s="167">
        <f>VLOOKUP(B8,Ordering!$A$1:$J$88,6,FALSE)</f>
        <v>1</v>
      </c>
      <c r="J8" s="167">
        <f>VLOOKUP(B8,Ordering!$A$1:$J$88,10,FALSE)</f>
        <v>21.527777777777779</v>
      </c>
      <c r="K8" s="167">
        <f t="shared" si="0"/>
        <v>8.9280000000000008</v>
      </c>
      <c r="L8" s="169">
        <f>J8*K8</f>
        <v>192.20000000000002</v>
      </c>
      <c r="M8" s="84"/>
      <c r="V8" s="171" t="s">
        <v>277</v>
      </c>
      <c r="W8" s="172">
        <v>1</v>
      </c>
      <c r="X8" s="171" t="s">
        <v>80</v>
      </c>
      <c r="Y8" s="184">
        <f>SUM(L5:L8)/S15</f>
        <v>3.5411922967997738</v>
      </c>
    </row>
    <row r="9" spans="1:25" ht="14.75" customHeight="1" x14ac:dyDescent="0.35">
      <c r="A9" s="99"/>
      <c r="B9" s="99"/>
      <c r="C9" s="100"/>
      <c r="D9" s="101"/>
      <c r="E9" s="102"/>
      <c r="F9" s="103"/>
      <c r="G9" s="102"/>
      <c r="H9" s="217"/>
      <c r="I9" s="217"/>
      <c r="J9" s="217"/>
      <c r="K9" s="217"/>
      <c r="L9" s="219"/>
      <c r="M9" s="84"/>
    </row>
    <row r="10" spans="1:25" ht="14.75" customHeight="1" x14ac:dyDescent="0.35">
      <c r="A10" s="94"/>
      <c r="B10" s="94"/>
      <c r="C10" s="95"/>
      <c r="D10" s="96"/>
      <c r="E10" s="97"/>
      <c r="F10" s="98"/>
      <c r="G10" s="97"/>
      <c r="H10" s="217"/>
      <c r="I10" s="217"/>
      <c r="J10" s="217"/>
      <c r="K10" s="217"/>
      <c r="L10" s="219"/>
      <c r="M10" s="84"/>
      <c r="R10" s="244" t="s">
        <v>23</v>
      </c>
      <c r="S10" s="241"/>
    </row>
    <row r="11" spans="1:25" x14ac:dyDescent="0.3">
      <c r="I11" s="94"/>
      <c r="J11" s="94"/>
      <c r="K11" s="94"/>
      <c r="L11" s="84"/>
      <c r="M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R13" s="7" t="s">
        <v>82</v>
      </c>
      <c r="S13" s="8">
        <f>V1</f>
        <v>246</v>
      </c>
    </row>
    <row r="14" spans="1:25" ht="14.75" customHeight="1" thickBot="1" x14ac:dyDescent="0.35">
      <c r="I14" s="94"/>
      <c r="J14" s="94"/>
      <c r="K14" s="94"/>
      <c r="L14" s="84"/>
      <c r="M14" s="84"/>
      <c r="R14" s="7" t="s">
        <v>83</v>
      </c>
      <c r="S14" s="9">
        <v>2</v>
      </c>
    </row>
    <row r="15" spans="1:25" x14ac:dyDescent="0.3">
      <c r="I15" s="94"/>
      <c r="J15" s="94"/>
      <c r="K15" s="94"/>
      <c r="L15" s="84"/>
      <c r="M15" s="84"/>
      <c r="R15" s="10" t="s">
        <v>84</v>
      </c>
      <c r="S15" s="11">
        <f>S13+S14</f>
        <v>248</v>
      </c>
    </row>
    <row r="16" spans="1:25" x14ac:dyDescent="0.3">
      <c r="I16" s="94"/>
      <c r="J16" s="94"/>
      <c r="K16" s="94"/>
      <c r="L16" s="84"/>
      <c r="M16" s="84"/>
      <c r="R16" s="195" t="s">
        <v>80</v>
      </c>
      <c r="S16" s="196">
        <f>SUM(L5:L8)</f>
        <v>878.21568960634386</v>
      </c>
    </row>
    <row r="17" spans="9:13" x14ac:dyDescent="0.3">
      <c r="I17" s="94"/>
      <c r="J17" s="94"/>
      <c r="K17" s="94"/>
      <c r="L17" s="84"/>
      <c r="M17" s="84"/>
    </row>
    <row r="18" spans="9:13" x14ac:dyDescent="0.3">
      <c r="I18" s="94"/>
      <c r="J18" s="94"/>
      <c r="K18" s="94"/>
      <c r="L18" s="84"/>
      <c r="M18" s="84"/>
    </row>
    <row r="19" spans="9:13" x14ac:dyDescent="0.3"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6" tint="-0.249977111117893"/>
    <pageSetUpPr fitToPage="1"/>
  </sheetPr>
  <dimension ref="A1:Y18"/>
  <sheetViews>
    <sheetView topLeftCell="E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3" max="13" width="29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5" ht="39" customHeight="1" x14ac:dyDescent="0.3">
      <c r="A1" s="47" t="s">
        <v>70</v>
      </c>
      <c r="B1" s="12">
        <v>1</v>
      </c>
      <c r="C1" s="47" t="s">
        <v>45</v>
      </c>
      <c r="D1" s="13">
        <f>S15</f>
        <v>146</v>
      </c>
      <c r="E1" s="47" t="s">
        <v>46</v>
      </c>
      <c r="F1" s="13">
        <f>D1/B1</f>
        <v>146</v>
      </c>
      <c r="G1" s="47" t="s">
        <v>49</v>
      </c>
      <c r="H1" s="22" t="s">
        <v>116</v>
      </c>
      <c r="I1" s="23" t="s">
        <v>51</v>
      </c>
      <c r="J1" s="22">
        <v>0.54</v>
      </c>
      <c r="K1" s="57" t="s">
        <v>52</v>
      </c>
      <c r="L1" s="3">
        <v>85</v>
      </c>
      <c r="U1" s="235" t="s">
        <v>321</v>
      </c>
      <c r="V1" s="232">
        <v>144</v>
      </c>
    </row>
    <row r="2" spans="1:25" ht="14.25" customHeight="1" x14ac:dyDescent="0.3">
      <c r="A2" s="59"/>
      <c r="B2" s="242" t="s">
        <v>117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151" t="s">
        <v>80</v>
      </c>
    </row>
    <row r="5" spans="1:25" ht="14.75" customHeight="1" x14ac:dyDescent="0.35">
      <c r="A5" s="14" t="s">
        <v>4</v>
      </c>
      <c r="B5" s="56" t="s">
        <v>145</v>
      </c>
      <c r="C5" s="19" t="s">
        <v>7</v>
      </c>
      <c r="D5" s="52">
        <f>58/J1</f>
        <v>107.4074074074074</v>
      </c>
      <c r="E5" s="15">
        <f t="shared" ref="E5:E18" si="0">$F$1</f>
        <v>146</v>
      </c>
      <c r="F5" s="16">
        <v>1</v>
      </c>
      <c r="G5" s="15">
        <f t="shared" ref="G5:G18" si="1">E5*D5</f>
        <v>15681.481481481482</v>
      </c>
      <c r="H5" s="167">
        <f t="shared" ref="H5:H18" si="2">G5*F5</f>
        <v>15681.481481481482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 t="shared" ref="K5:K15" si="3">((H5/(I5))/1000)</f>
        <v>18.234280792420325</v>
      </c>
      <c r="L5" s="169">
        <f t="shared" ref="L5:L14" si="4">J5*K5</f>
        <v>311.80620155038758</v>
      </c>
      <c r="O5">
        <v>15323</v>
      </c>
    </row>
    <row r="6" spans="1:25" ht="14.75" customHeight="1" x14ac:dyDescent="0.35">
      <c r="A6" s="14" t="s">
        <v>26</v>
      </c>
      <c r="B6" s="56" t="s">
        <v>197</v>
      </c>
      <c r="C6" s="19" t="s">
        <v>7</v>
      </c>
      <c r="D6" s="18">
        <f>O6/145</f>
        <v>3.1448275862068966</v>
      </c>
      <c r="E6" s="15">
        <f t="shared" si="0"/>
        <v>146</v>
      </c>
      <c r="F6" s="16">
        <v>1</v>
      </c>
      <c r="G6" s="15">
        <f t="shared" si="1"/>
        <v>459.14482758620693</v>
      </c>
      <c r="H6" s="167">
        <f t="shared" si="2"/>
        <v>459.14482758620693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si="3"/>
        <v>0.54660098522167488</v>
      </c>
      <c r="L6" s="169">
        <f t="shared" si="4"/>
        <v>1.4211625615763548</v>
      </c>
      <c r="O6">
        <v>456</v>
      </c>
    </row>
    <row r="7" spans="1:25" ht="14.75" customHeight="1" x14ac:dyDescent="0.35">
      <c r="A7" s="14" t="s">
        <v>40</v>
      </c>
      <c r="B7" s="56" t="s">
        <v>176</v>
      </c>
      <c r="C7" s="19" t="s">
        <v>7</v>
      </c>
      <c r="D7" s="18">
        <f t="shared" ref="D7:D13" si="5">O7/145</f>
        <v>0.20965517241379308</v>
      </c>
      <c r="E7" s="15">
        <f t="shared" si="0"/>
        <v>146</v>
      </c>
      <c r="F7" s="16">
        <v>1</v>
      </c>
      <c r="G7" s="15">
        <f t="shared" si="1"/>
        <v>30.609655172413792</v>
      </c>
      <c r="H7" s="167">
        <f t="shared" si="2"/>
        <v>30.609655172413792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3"/>
        <v>3.0609655172413791E-2</v>
      </c>
      <c r="L7" s="169">
        <f t="shared" si="4"/>
        <v>0.94889931034482755</v>
      </c>
      <c r="O7">
        <v>30.4</v>
      </c>
    </row>
    <row r="8" spans="1:25" ht="14.75" customHeight="1" x14ac:dyDescent="0.35">
      <c r="A8" s="14" t="s">
        <v>26</v>
      </c>
      <c r="B8" s="56" t="s">
        <v>383</v>
      </c>
      <c r="C8" s="19" t="s">
        <v>7</v>
      </c>
      <c r="D8" s="18">
        <f t="shared" si="5"/>
        <v>3.4979310344827583</v>
      </c>
      <c r="E8" s="15">
        <f t="shared" si="0"/>
        <v>146</v>
      </c>
      <c r="F8" s="16">
        <v>1</v>
      </c>
      <c r="G8" s="15">
        <f t="shared" si="1"/>
        <v>510.69793103448274</v>
      </c>
      <c r="H8" s="167">
        <f t="shared" si="2"/>
        <v>510.69793103448274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3"/>
        <v>0.70930268199233715</v>
      </c>
      <c r="L8" s="169">
        <f>J8*K8</f>
        <v>6.0290727969348659</v>
      </c>
      <c r="O8">
        <v>507.2</v>
      </c>
      <c r="V8" s="171" t="s">
        <v>277</v>
      </c>
      <c r="W8" s="172">
        <v>1</v>
      </c>
      <c r="X8" s="171" t="s">
        <v>80</v>
      </c>
      <c r="Y8" s="184">
        <f>(SUM(L5:L18)/S15)*W8</f>
        <v>4.5079962920032859</v>
      </c>
    </row>
    <row r="9" spans="1:25" ht="14.75" customHeight="1" x14ac:dyDescent="0.35">
      <c r="A9" s="14" t="s">
        <v>26</v>
      </c>
      <c r="B9" s="56" t="s">
        <v>193</v>
      </c>
      <c r="C9" s="19" t="s">
        <v>7</v>
      </c>
      <c r="D9" s="18">
        <f t="shared" si="5"/>
        <v>6.2827586206896555</v>
      </c>
      <c r="E9" s="15">
        <f t="shared" si="0"/>
        <v>146</v>
      </c>
      <c r="F9" s="16">
        <v>1</v>
      </c>
      <c r="G9" s="15">
        <f t="shared" si="1"/>
        <v>917.28275862068972</v>
      </c>
      <c r="H9" s="167">
        <f t="shared" si="2"/>
        <v>917.28275862068972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3"/>
        <v>1.0920032840722498</v>
      </c>
      <c r="L9" s="169">
        <f t="shared" si="4"/>
        <v>3.2355652861399991</v>
      </c>
      <c r="O9">
        <v>911</v>
      </c>
    </row>
    <row r="10" spans="1:25" ht="14.75" customHeight="1" x14ac:dyDescent="0.35">
      <c r="A10" s="14" t="s">
        <v>12</v>
      </c>
      <c r="B10" s="55" t="s">
        <v>167</v>
      </c>
      <c r="C10" s="19" t="s">
        <v>7</v>
      </c>
      <c r="D10" s="18">
        <f t="shared" si="5"/>
        <v>12.455172413793104</v>
      </c>
      <c r="E10" s="15">
        <f t="shared" si="0"/>
        <v>146</v>
      </c>
      <c r="F10" s="16">
        <v>1</v>
      </c>
      <c r="G10" s="15">
        <f t="shared" si="1"/>
        <v>1818.4551724137932</v>
      </c>
      <c r="H10" s="167">
        <f t="shared" si="2"/>
        <v>1818.4551724137932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3"/>
        <v>1.8184551724137932</v>
      </c>
      <c r="L10" s="169">
        <f t="shared" si="4"/>
        <v>12.176375834482759</v>
      </c>
      <c r="O10">
        <v>1806</v>
      </c>
      <c r="R10" s="244" t="s">
        <v>24</v>
      </c>
      <c r="S10" s="241"/>
    </row>
    <row r="11" spans="1:25" ht="14.75" customHeight="1" x14ac:dyDescent="0.35">
      <c r="A11" s="14" t="s">
        <v>41</v>
      </c>
      <c r="B11" s="55" t="s">
        <v>185</v>
      </c>
      <c r="C11" s="19" t="s">
        <v>7</v>
      </c>
      <c r="D11" s="18">
        <f t="shared" si="5"/>
        <v>12.586206896551724</v>
      </c>
      <c r="E11" s="15">
        <f t="shared" si="0"/>
        <v>146</v>
      </c>
      <c r="F11" s="16">
        <v>1</v>
      </c>
      <c r="G11" s="15">
        <f t="shared" si="1"/>
        <v>1837.5862068965516</v>
      </c>
      <c r="H11" s="15">
        <f t="shared" si="2"/>
        <v>1837.5862068965516</v>
      </c>
      <c r="I11" s="14">
        <f>VLOOKUP(B11,Ordering!$A$1:$J$88,6,FALSE)</f>
        <v>1</v>
      </c>
      <c r="J11" s="167">
        <f>VLOOKUP(B11,Ordering!$A$1:$J$88,10,FALSE)</f>
        <v>6.4189189189189184</v>
      </c>
      <c r="K11" s="167">
        <f t="shared" si="3"/>
        <v>1.8375862068965516</v>
      </c>
      <c r="L11" s="169">
        <f t="shared" si="4"/>
        <v>11.79531686859273</v>
      </c>
      <c r="O11">
        <v>1825</v>
      </c>
      <c r="R11" s="236" t="s">
        <v>62</v>
      </c>
      <c r="S11" s="237"/>
    </row>
    <row r="12" spans="1:25" ht="15" customHeight="1" thickBot="1" x14ac:dyDescent="0.4">
      <c r="A12" s="14" t="s">
        <v>40</v>
      </c>
      <c r="B12" s="55" t="s">
        <v>179</v>
      </c>
      <c r="C12" s="19" t="s">
        <v>7</v>
      </c>
      <c r="D12" s="18">
        <f t="shared" si="5"/>
        <v>0.49793103448275866</v>
      </c>
      <c r="E12" s="15">
        <f t="shared" si="0"/>
        <v>146</v>
      </c>
      <c r="F12" s="16">
        <v>1</v>
      </c>
      <c r="G12" s="15">
        <f t="shared" si="1"/>
        <v>72.697931034482764</v>
      </c>
      <c r="H12" s="15">
        <f t="shared" si="2"/>
        <v>72.697931034482764</v>
      </c>
      <c r="I12" s="14">
        <f>VLOOKUP(B12,Ordering!$A$1:$J$88,6,FALSE)</f>
        <v>1</v>
      </c>
      <c r="J12" s="167">
        <f>VLOOKUP(B12,Ordering!$A$1:$J$88,10,FALSE)</f>
        <v>64.243759177679877</v>
      </c>
      <c r="K12" s="167">
        <f t="shared" si="3"/>
        <v>7.2697931034482757E-2</v>
      </c>
      <c r="L12" s="169">
        <f t="shared" si="4"/>
        <v>4.6703883740948902</v>
      </c>
      <c r="O12">
        <v>72.2</v>
      </c>
      <c r="R12" s="5" t="s">
        <v>63</v>
      </c>
      <c r="S12" s="6" t="s">
        <v>81</v>
      </c>
    </row>
    <row r="13" spans="1:25" ht="15" customHeight="1" thickBot="1" x14ac:dyDescent="0.4">
      <c r="A13" s="14" t="s">
        <v>40</v>
      </c>
      <c r="B13" s="55" t="s">
        <v>175</v>
      </c>
      <c r="C13" s="19" t="s">
        <v>7</v>
      </c>
      <c r="D13" s="18">
        <f t="shared" si="5"/>
        <v>0.28482758620689652</v>
      </c>
      <c r="E13" s="15">
        <f t="shared" si="0"/>
        <v>146</v>
      </c>
      <c r="F13" s="16">
        <v>1</v>
      </c>
      <c r="G13" s="15">
        <f t="shared" si="1"/>
        <v>41.584827586206892</v>
      </c>
      <c r="H13" s="15">
        <f t="shared" si="2"/>
        <v>41.584827586206892</v>
      </c>
      <c r="I13" s="14">
        <f>VLOOKUP(B13,Ordering!$A$1:$J$88,6,FALSE)</f>
        <v>1</v>
      </c>
      <c r="J13" s="167">
        <f>VLOOKUP(B13,Ordering!$A$1:$J$88,10,FALSE)</f>
        <v>0.74</v>
      </c>
      <c r="K13" s="167">
        <f t="shared" si="3"/>
        <v>4.1584827586206893E-2</v>
      </c>
      <c r="L13" s="169">
        <f t="shared" si="4"/>
        <v>3.0772772413793101E-2</v>
      </c>
      <c r="O13">
        <v>41.3</v>
      </c>
      <c r="R13" s="7" t="s">
        <v>82</v>
      </c>
      <c r="S13" s="8">
        <f>V1</f>
        <v>144</v>
      </c>
      <c r="T13" s="11"/>
    </row>
    <row r="14" spans="1:25" ht="15" customHeight="1" thickBot="1" x14ac:dyDescent="0.4">
      <c r="A14" s="14" t="s">
        <v>4</v>
      </c>
      <c r="B14" s="58" t="s">
        <v>375</v>
      </c>
      <c r="C14" s="19" t="s">
        <v>7</v>
      </c>
      <c r="D14" s="18">
        <v>27</v>
      </c>
      <c r="E14" s="15">
        <f t="shared" si="0"/>
        <v>146</v>
      </c>
      <c r="F14" s="16">
        <v>1</v>
      </c>
      <c r="G14" s="15">
        <f t="shared" si="1"/>
        <v>3942</v>
      </c>
      <c r="H14" s="15">
        <f t="shared" si="2"/>
        <v>3942</v>
      </c>
      <c r="I14" s="14">
        <f>VLOOKUP(B14,Ordering!$A$1:$J$88,6,FALSE)</f>
        <v>1</v>
      </c>
      <c r="J14" s="167">
        <f>VLOOKUP(B14,Ordering!$A$1:$J$88,10,FALSE)</f>
        <v>65</v>
      </c>
      <c r="K14" s="167">
        <f t="shared" si="3"/>
        <v>3.9420000000000002</v>
      </c>
      <c r="L14" s="169">
        <f t="shared" si="4"/>
        <v>256.23</v>
      </c>
      <c r="R14" s="7" t="s">
        <v>83</v>
      </c>
      <c r="S14" s="9">
        <v>2</v>
      </c>
    </row>
    <row r="15" spans="1:25" ht="14.75" customHeight="1" x14ac:dyDescent="0.35">
      <c r="A15" s="14" t="s">
        <v>26</v>
      </c>
      <c r="B15" s="58" t="s">
        <v>381</v>
      </c>
      <c r="C15" s="19" t="s">
        <v>7</v>
      </c>
      <c r="D15" s="18">
        <v>43</v>
      </c>
      <c r="E15" s="15">
        <f t="shared" si="0"/>
        <v>146</v>
      </c>
      <c r="F15" s="16">
        <v>1</v>
      </c>
      <c r="G15" s="15">
        <f t="shared" si="1"/>
        <v>6278</v>
      </c>
      <c r="H15" s="15">
        <f t="shared" si="2"/>
        <v>6278</v>
      </c>
      <c r="I15" s="14">
        <f>VLOOKUP(B15,Ordering!$A$1:$J$88,6,FALSE)</f>
        <v>0.66</v>
      </c>
      <c r="J15" s="167">
        <f>VLOOKUP(B15,Ordering!$A$1:$J$88,10,FALSE)</f>
        <v>3.5</v>
      </c>
      <c r="K15" s="167">
        <f t="shared" si="3"/>
        <v>9.5121212121212118</v>
      </c>
      <c r="L15" s="169">
        <f t="shared" ref="L15:L18" si="6">J15*K15</f>
        <v>33.292424242424239</v>
      </c>
      <c r="R15" s="10" t="s">
        <v>84</v>
      </c>
      <c r="S15" s="11">
        <f>S13+S14</f>
        <v>146</v>
      </c>
    </row>
    <row r="16" spans="1:25" ht="14.75" customHeight="1" x14ac:dyDescent="0.35">
      <c r="A16" s="14" t="s">
        <v>12</v>
      </c>
      <c r="B16" s="58" t="s">
        <v>331</v>
      </c>
      <c r="C16" s="19" t="s">
        <v>5</v>
      </c>
      <c r="D16" s="18">
        <v>1</v>
      </c>
      <c r="E16" s="15">
        <f t="shared" si="0"/>
        <v>146</v>
      </c>
      <c r="F16" s="16">
        <v>1</v>
      </c>
      <c r="G16" s="15">
        <f t="shared" si="1"/>
        <v>146</v>
      </c>
      <c r="H16" s="15">
        <f t="shared" si="2"/>
        <v>146</v>
      </c>
      <c r="I16" s="14">
        <f>VLOOKUP(B16,Ordering!$A$1:$J$88,6,FALSE)</f>
        <v>1</v>
      </c>
      <c r="J16" s="167">
        <f>VLOOKUP(B16,Ordering!$A$1:$J$88,10,FALSE)</f>
        <v>0.58333333333333337</v>
      </c>
      <c r="K16" s="167">
        <f t="shared" ref="K16:K18" si="7">(H16/I16)/1000</f>
        <v>0.14599999999999999</v>
      </c>
      <c r="L16" s="169">
        <f t="shared" si="6"/>
        <v>8.5166666666666668E-2</v>
      </c>
      <c r="R16" s="195" t="s">
        <v>80</v>
      </c>
      <c r="S16" s="196">
        <f>SUM(L5:L18)</f>
        <v>658.16745863247979</v>
      </c>
    </row>
    <row r="17" spans="1:12" ht="14.75" customHeight="1" x14ac:dyDescent="0.35">
      <c r="A17" s="14" t="s">
        <v>26</v>
      </c>
      <c r="B17" s="58" t="s">
        <v>377</v>
      </c>
      <c r="C17" s="19" t="s">
        <v>7</v>
      </c>
      <c r="D17" s="18">
        <v>7.5</v>
      </c>
      <c r="E17" s="15">
        <f t="shared" si="0"/>
        <v>146</v>
      </c>
      <c r="F17" s="16">
        <v>1</v>
      </c>
      <c r="G17" s="15">
        <f t="shared" si="1"/>
        <v>1095</v>
      </c>
      <c r="H17" s="15">
        <f t="shared" si="2"/>
        <v>1095</v>
      </c>
      <c r="I17" s="14">
        <f>VLOOKUP(B17,Ordering!$A$1:$J$88,6,FALSE)</f>
        <v>0.56999999999999995</v>
      </c>
      <c r="J17" s="167">
        <f>VLOOKUP(B17,Ordering!$A$1:$J$88,10,FALSE)</f>
        <v>8.5</v>
      </c>
      <c r="K17" s="167">
        <f t="shared" ref="K17" si="8">((H17/(I17))/1000)</f>
        <v>1.9210526315789476</v>
      </c>
      <c r="L17" s="169">
        <f t="shared" si="6"/>
        <v>16.328947368421055</v>
      </c>
    </row>
    <row r="18" spans="1:12" ht="14.75" customHeight="1" x14ac:dyDescent="0.35">
      <c r="A18" s="14" t="s">
        <v>38</v>
      </c>
      <c r="B18" s="58" t="s">
        <v>363</v>
      </c>
      <c r="C18" s="19" t="s">
        <v>5</v>
      </c>
      <c r="D18" s="18">
        <v>3</v>
      </c>
      <c r="E18" s="15">
        <f t="shared" si="0"/>
        <v>146</v>
      </c>
      <c r="F18" s="16">
        <v>1</v>
      </c>
      <c r="G18" s="15">
        <f t="shared" si="1"/>
        <v>438</v>
      </c>
      <c r="H18" s="15">
        <f t="shared" si="2"/>
        <v>438</v>
      </c>
      <c r="I18" s="14">
        <f>VLOOKUP(B18,Ordering!$A$1:$J$88,6,FALSE)</f>
        <v>1</v>
      </c>
      <c r="J18" s="167">
        <f>VLOOKUP(B18,Ordering!$A$1:$J$88,10,FALSE)</f>
        <v>0.26749999999999996</v>
      </c>
      <c r="K18" s="167">
        <f t="shared" si="7"/>
        <v>0.438</v>
      </c>
      <c r="L18" s="169">
        <f t="shared" si="6"/>
        <v>0.11716499999999998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34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rgb="FFFF0000"/>
    <pageSetUpPr fitToPage="1"/>
  </sheetPr>
  <dimension ref="A1:Y19"/>
  <sheetViews>
    <sheetView topLeftCell="K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15" bestFit="1" customWidth="1"/>
    <col min="19" max="19" width="8.5" bestFit="1" customWidth="1"/>
  </cols>
  <sheetData>
    <row r="1" spans="1:25" ht="25.25" customHeight="1" x14ac:dyDescent="0.3">
      <c r="A1" s="47" t="s">
        <v>70</v>
      </c>
      <c r="B1" s="12">
        <v>1</v>
      </c>
      <c r="E1" s="47" t="s">
        <v>45</v>
      </c>
      <c r="F1" s="13">
        <f>S15</f>
        <v>71</v>
      </c>
      <c r="H1" s="47" t="s">
        <v>46</v>
      </c>
      <c r="I1" s="13">
        <f>F1/B1</f>
        <v>71</v>
      </c>
      <c r="J1" s="4"/>
      <c r="K1" s="4"/>
      <c r="U1" s="235" t="s">
        <v>321</v>
      </c>
      <c r="V1" s="232">
        <v>69</v>
      </c>
    </row>
    <row r="2" spans="1:25" ht="14.25" customHeight="1" x14ac:dyDescent="0.3">
      <c r="A2" s="59"/>
      <c r="B2" s="242" t="s">
        <v>118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5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5.5" customHeight="1" thickTop="1" thickBot="1" x14ac:dyDescent="0.4">
      <c r="A5" s="14" t="s">
        <v>12</v>
      </c>
      <c r="B5" s="14" t="s">
        <v>168</v>
      </c>
      <c r="C5" s="19" t="s">
        <v>124</v>
      </c>
      <c r="D5" s="18">
        <f t="shared" ref="D5:D12" si="0">N5/12</f>
        <v>83.333333333333329</v>
      </c>
      <c r="E5" s="15">
        <f t="shared" ref="E5:E14" si="1">$I$1</f>
        <v>71</v>
      </c>
      <c r="F5" s="16">
        <v>1</v>
      </c>
      <c r="G5" s="15">
        <f t="shared" ref="G5:G14" si="2">E5*D5</f>
        <v>5916.6666666666661</v>
      </c>
      <c r="H5" s="167">
        <f t="shared" ref="H5:H14" si="3">G5*F5</f>
        <v>5916.6666666666661</v>
      </c>
      <c r="I5" s="167">
        <f>VLOOKUP(B5,Ordering!$A$1:$J$88,6,FALSE)</f>
        <v>1</v>
      </c>
      <c r="J5" s="167">
        <f>VLOOKUP(B5,Ordering!$A$1:$J$88,10,FALSE)</f>
        <v>4.2033333333333331</v>
      </c>
      <c r="K5" s="167">
        <f t="shared" ref="K5:K10" si="4">((H5/(I5))/1000)</f>
        <v>5.9166666666666661</v>
      </c>
      <c r="L5" s="169">
        <f t="shared" ref="L5:L14" si="5">J5*K5</f>
        <v>24.869722222222219</v>
      </c>
      <c r="N5" s="1">
        <v>1000</v>
      </c>
      <c r="O5">
        <v>1000</v>
      </c>
    </row>
    <row r="6" spans="1:25" ht="15.5" customHeight="1" thickTop="1" thickBot="1" x14ac:dyDescent="0.4">
      <c r="A6" s="14" t="s">
        <v>39</v>
      </c>
      <c r="B6" s="14" t="s">
        <v>174</v>
      </c>
      <c r="C6" s="19" t="s">
        <v>7</v>
      </c>
      <c r="D6" s="18">
        <f t="shared" si="0"/>
        <v>40</v>
      </c>
      <c r="E6" s="15">
        <f t="shared" si="1"/>
        <v>71</v>
      </c>
      <c r="F6" s="16">
        <v>1</v>
      </c>
      <c r="G6" s="15">
        <f t="shared" si="2"/>
        <v>2840</v>
      </c>
      <c r="H6" s="167">
        <f t="shared" si="3"/>
        <v>2840</v>
      </c>
      <c r="I6" s="167">
        <f>VLOOKUP(B6,Ordering!$A$1:$J$88,6,FALSE)</f>
        <v>1</v>
      </c>
      <c r="J6" s="167">
        <f>VLOOKUP(B6,Ordering!$A$1:$J$88,10,FALSE)</f>
        <v>1.7</v>
      </c>
      <c r="K6" s="167">
        <f t="shared" si="4"/>
        <v>2.84</v>
      </c>
      <c r="L6" s="169">
        <f t="shared" si="5"/>
        <v>4.8279999999999994</v>
      </c>
      <c r="N6" s="1">
        <v>480</v>
      </c>
      <c r="O6">
        <v>480</v>
      </c>
      <c r="R6" t="s">
        <v>130</v>
      </c>
    </row>
    <row r="7" spans="1:25" ht="15.5" customHeight="1" thickTop="1" thickBot="1" x14ac:dyDescent="0.4">
      <c r="A7" s="14" t="s">
        <v>12</v>
      </c>
      <c r="B7" s="14" t="s">
        <v>172</v>
      </c>
      <c r="C7" s="19" t="s">
        <v>7</v>
      </c>
      <c r="D7" s="18">
        <f t="shared" si="0"/>
        <v>2.5</v>
      </c>
      <c r="E7" s="15">
        <f t="shared" si="1"/>
        <v>71</v>
      </c>
      <c r="F7" s="16">
        <v>1</v>
      </c>
      <c r="G7" s="15">
        <f t="shared" si="2"/>
        <v>177.5</v>
      </c>
      <c r="H7" s="167">
        <f t="shared" si="3"/>
        <v>177.5</v>
      </c>
      <c r="I7" s="167">
        <f>VLOOKUP(B7,Ordering!$A$1:$J$88,6,FALSE)</f>
        <v>1</v>
      </c>
      <c r="J7" s="167">
        <f>VLOOKUP(B7,Ordering!$A$1:$J$88,10,FALSE)</f>
        <v>30</v>
      </c>
      <c r="K7" s="167">
        <f t="shared" si="4"/>
        <v>0.17749999999999999</v>
      </c>
      <c r="L7" s="169">
        <f t="shared" si="5"/>
        <v>5.3249999999999993</v>
      </c>
      <c r="N7" s="1">
        <v>30</v>
      </c>
      <c r="O7">
        <v>24</v>
      </c>
      <c r="R7" s="89" t="s">
        <v>129</v>
      </c>
    </row>
    <row r="8" spans="1:25" ht="15.5" customHeight="1" thickTop="1" thickBot="1" x14ac:dyDescent="0.4">
      <c r="A8" s="14" t="s">
        <v>40</v>
      </c>
      <c r="B8" s="14" t="s">
        <v>339</v>
      </c>
      <c r="C8" s="19" t="s">
        <v>7</v>
      </c>
      <c r="D8" s="18">
        <f t="shared" si="0"/>
        <v>2.5</v>
      </c>
      <c r="E8" s="15">
        <f t="shared" si="1"/>
        <v>71</v>
      </c>
      <c r="F8" s="16">
        <v>1</v>
      </c>
      <c r="G8" s="15">
        <f t="shared" si="2"/>
        <v>177.5</v>
      </c>
      <c r="H8" s="167">
        <f t="shared" si="3"/>
        <v>177.5</v>
      </c>
      <c r="I8" s="167">
        <f>VLOOKUP(B8,Ordering!$A$1:$J$88,6,FALSE)</f>
        <v>1</v>
      </c>
      <c r="J8" s="167">
        <f>VLOOKUP(B8,Ordering!$A$1:$J$88,10,FALSE)</f>
        <v>24.305555555555557</v>
      </c>
      <c r="K8" s="167">
        <f t="shared" si="4"/>
        <v>0.17749999999999999</v>
      </c>
      <c r="L8" s="169">
        <f t="shared" si="5"/>
        <v>4.3142361111111116</v>
      </c>
      <c r="N8" s="1">
        <v>30</v>
      </c>
      <c r="O8">
        <v>30</v>
      </c>
      <c r="V8" s="171" t="s">
        <v>277</v>
      </c>
      <c r="W8" s="172">
        <v>1</v>
      </c>
      <c r="X8" s="171" t="s">
        <v>80</v>
      </c>
      <c r="Y8" s="184">
        <f>SUM(L5:L14)/S15</f>
        <v>2.5519064814814811</v>
      </c>
    </row>
    <row r="9" spans="1:25" ht="15.5" customHeight="1" thickTop="1" thickBot="1" x14ac:dyDescent="0.4">
      <c r="A9" s="14" t="s">
        <v>40</v>
      </c>
      <c r="B9" s="14" t="s">
        <v>343</v>
      </c>
      <c r="C9" s="19" t="s">
        <v>7</v>
      </c>
      <c r="D9" s="18">
        <f t="shared" si="0"/>
        <v>2.5</v>
      </c>
      <c r="E9" s="15">
        <f t="shared" si="1"/>
        <v>71</v>
      </c>
      <c r="F9" s="16">
        <v>1</v>
      </c>
      <c r="G9" s="15">
        <f t="shared" si="2"/>
        <v>177.5</v>
      </c>
      <c r="H9" s="167">
        <f t="shared" si="3"/>
        <v>177.5</v>
      </c>
      <c r="I9" s="167">
        <f>VLOOKUP(B9,Ordering!$A$1:$J$88,6,FALSE)</f>
        <v>1</v>
      </c>
      <c r="J9" s="167">
        <f>VLOOKUP(B9,Ordering!$A$1:$J$88,10,FALSE)</f>
        <v>7.9</v>
      </c>
      <c r="K9" s="167">
        <f t="shared" si="4"/>
        <v>0.17749999999999999</v>
      </c>
      <c r="L9" s="169">
        <f t="shared" si="5"/>
        <v>1.40225</v>
      </c>
      <c r="N9" s="1">
        <v>30</v>
      </c>
      <c r="O9">
        <v>30</v>
      </c>
    </row>
    <row r="10" spans="1:25" ht="15.5" customHeight="1" thickTop="1" thickBot="1" x14ac:dyDescent="0.4">
      <c r="A10" s="14" t="s">
        <v>42</v>
      </c>
      <c r="B10" s="14" t="s">
        <v>188</v>
      </c>
      <c r="C10" s="19" t="s">
        <v>7</v>
      </c>
      <c r="D10" s="18">
        <f t="shared" si="0"/>
        <v>8.3333333333333339</v>
      </c>
      <c r="E10" s="15">
        <f t="shared" si="1"/>
        <v>71</v>
      </c>
      <c r="F10" s="16">
        <v>1</v>
      </c>
      <c r="G10" s="15">
        <f t="shared" si="2"/>
        <v>591.66666666666674</v>
      </c>
      <c r="H10" s="167">
        <f t="shared" si="3"/>
        <v>591.66666666666674</v>
      </c>
      <c r="I10" s="167">
        <f>VLOOKUP(B10,Ordering!$A$1:$J$88,6,FALSE)</f>
        <v>1</v>
      </c>
      <c r="J10" s="167">
        <f>VLOOKUP(B10,Ordering!$A$1:$J$88,10,FALSE)</f>
        <v>2.7</v>
      </c>
      <c r="K10" s="167">
        <f t="shared" si="4"/>
        <v>0.59166666666666679</v>
      </c>
      <c r="L10" s="169">
        <f t="shared" si="5"/>
        <v>1.5975000000000004</v>
      </c>
      <c r="N10" s="1">
        <v>100</v>
      </c>
      <c r="R10" s="244" t="s">
        <v>25</v>
      </c>
      <c r="S10" s="241"/>
    </row>
    <row r="11" spans="1:25" ht="15" customHeight="1" thickTop="1" thickBot="1" x14ac:dyDescent="0.35">
      <c r="A11" s="14" t="s">
        <v>4</v>
      </c>
      <c r="B11" s="14" t="s">
        <v>144</v>
      </c>
      <c r="C11" s="14" t="s">
        <v>5</v>
      </c>
      <c r="D11" s="18">
        <f t="shared" si="0"/>
        <v>0.16666666666666666</v>
      </c>
      <c r="E11" s="15">
        <f t="shared" si="1"/>
        <v>71</v>
      </c>
      <c r="F11" s="16">
        <v>1</v>
      </c>
      <c r="G11" s="15">
        <f t="shared" si="2"/>
        <v>11.833333333333332</v>
      </c>
      <c r="H11" s="15">
        <f t="shared" si="3"/>
        <v>11.833333333333332</v>
      </c>
      <c r="I11" s="14">
        <f>VLOOKUP(B11,Ordering!$A$1:$J$88,6,FALSE)</f>
        <v>0.96</v>
      </c>
      <c r="J11" s="18">
        <f>VLOOKUP(B11,Ordering!$A$1:$J$88,10,FALSE)</f>
        <v>0.43333333333333335</v>
      </c>
      <c r="K11" s="18">
        <f t="shared" ref="K11:K14" si="6">(H11/I11)</f>
        <v>12.326388888888888</v>
      </c>
      <c r="L11" s="168">
        <f t="shared" si="5"/>
        <v>5.3414351851851851</v>
      </c>
      <c r="N11" s="1">
        <v>2</v>
      </c>
      <c r="O11">
        <v>2</v>
      </c>
      <c r="R11" s="236" t="s">
        <v>62</v>
      </c>
      <c r="S11" s="237"/>
    </row>
    <row r="12" spans="1:25" ht="15.5" customHeight="1" thickTop="1" thickBot="1" x14ac:dyDescent="0.4">
      <c r="A12" s="14" t="s">
        <v>39</v>
      </c>
      <c r="B12" s="14" t="s">
        <v>173</v>
      </c>
      <c r="C12" s="19" t="s">
        <v>7</v>
      </c>
      <c r="D12" s="18">
        <f t="shared" si="0"/>
        <v>2.5</v>
      </c>
      <c r="E12" s="15">
        <f t="shared" si="1"/>
        <v>71</v>
      </c>
      <c r="F12" s="16">
        <v>1</v>
      </c>
      <c r="G12" s="15">
        <f t="shared" si="2"/>
        <v>177.5</v>
      </c>
      <c r="H12" s="15">
        <f t="shared" si="3"/>
        <v>177.5</v>
      </c>
      <c r="I12" s="14">
        <f>VLOOKUP(B12,Ordering!$A$1:$J$88,6,FALSE)</f>
        <v>1</v>
      </c>
      <c r="J12" s="18">
        <f>VLOOKUP(B12,Ordering!$A$1:$J$88,10,FALSE)</f>
        <v>2.3199999999999998</v>
      </c>
      <c r="K12" s="167">
        <f t="shared" ref="K12:K13" si="7">((H12/(I12))/1000)</f>
        <v>0.17749999999999999</v>
      </c>
      <c r="L12" s="168">
        <f>J12*K12</f>
        <v>0.41179999999999994</v>
      </c>
      <c r="N12" s="1">
        <v>30</v>
      </c>
      <c r="O12">
        <v>30</v>
      </c>
      <c r="R12" s="5" t="s">
        <v>63</v>
      </c>
      <c r="S12" s="6" t="s">
        <v>81</v>
      </c>
    </row>
    <row r="13" spans="1:25" ht="15.5" customHeight="1" thickTop="1" thickBot="1" x14ac:dyDescent="0.4">
      <c r="A13" s="14" t="s">
        <v>37</v>
      </c>
      <c r="B13" s="14" t="s">
        <v>387</v>
      </c>
      <c r="C13" s="19" t="s">
        <v>7</v>
      </c>
      <c r="D13" s="52">
        <v>15</v>
      </c>
      <c r="E13" s="15">
        <f t="shared" si="1"/>
        <v>71</v>
      </c>
      <c r="F13" s="16">
        <v>1</v>
      </c>
      <c r="G13" s="15">
        <f t="shared" si="2"/>
        <v>1065</v>
      </c>
      <c r="H13" s="15">
        <f t="shared" si="3"/>
        <v>1065</v>
      </c>
      <c r="I13" s="14">
        <f>VLOOKUP(B13,Ordering!$A$1:$J$88,6,FALSE)</f>
        <v>1</v>
      </c>
      <c r="J13" s="18">
        <f>VLOOKUP(B13,Ordering!$A$1:$J$88,10,FALSE)</f>
        <v>84</v>
      </c>
      <c r="K13" s="167">
        <f t="shared" si="7"/>
        <v>1.0649999999999999</v>
      </c>
      <c r="L13" s="168">
        <f t="shared" si="5"/>
        <v>89.46</v>
      </c>
      <c r="R13" s="7" t="s">
        <v>82</v>
      </c>
      <c r="S13" s="8">
        <f>V1</f>
        <v>69</v>
      </c>
    </row>
    <row r="14" spans="1:25" ht="15" customHeight="1" thickBot="1" x14ac:dyDescent="0.4">
      <c r="A14" s="14" t="s">
        <v>42</v>
      </c>
      <c r="B14" s="14" t="s">
        <v>279</v>
      </c>
      <c r="C14" s="19" t="s">
        <v>5</v>
      </c>
      <c r="D14" s="18">
        <f>N14/12</f>
        <v>1</v>
      </c>
      <c r="E14" s="15">
        <f t="shared" si="1"/>
        <v>71</v>
      </c>
      <c r="F14" s="16">
        <v>1</v>
      </c>
      <c r="G14" s="15">
        <f t="shared" si="2"/>
        <v>71</v>
      </c>
      <c r="H14" s="15">
        <f t="shared" si="3"/>
        <v>71</v>
      </c>
      <c r="I14" s="14">
        <f>VLOOKUP(B14,Ordering!$A$1:$J$88,6,FALSE)</f>
        <v>1</v>
      </c>
      <c r="J14" s="18">
        <f>VLOOKUP(B14,Ordering!$A$1:$J$88,10,FALSE)</f>
        <v>0.61458333333333337</v>
      </c>
      <c r="K14" s="18">
        <f t="shared" si="6"/>
        <v>71</v>
      </c>
      <c r="L14" s="168">
        <f t="shared" si="5"/>
        <v>43.635416666666671</v>
      </c>
      <c r="M14" s="84"/>
      <c r="N14" s="20">
        <v>12</v>
      </c>
      <c r="R14" s="7" t="s">
        <v>83</v>
      </c>
      <c r="S14" s="9">
        <v>2</v>
      </c>
    </row>
    <row r="15" spans="1:25" x14ac:dyDescent="0.3">
      <c r="H15" s="84"/>
      <c r="I15" s="94"/>
      <c r="J15" s="94"/>
      <c r="K15" s="94"/>
      <c r="L15" s="84"/>
      <c r="M15" s="84"/>
      <c r="R15" s="10" t="s">
        <v>84</v>
      </c>
      <c r="S15" s="11">
        <f>S13+S14</f>
        <v>71</v>
      </c>
    </row>
    <row r="16" spans="1:25" x14ac:dyDescent="0.3">
      <c r="H16" s="84"/>
      <c r="I16" s="94"/>
      <c r="J16" s="94"/>
      <c r="K16" s="94"/>
      <c r="L16" s="84"/>
      <c r="M16" s="84"/>
      <c r="R16" s="195" t="s">
        <v>80</v>
      </c>
      <c r="S16" s="196">
        <f>SUM(L5:L14)</f>
        <v>181.18536018518517</v>
      </c>
    </row>
    <row r="17" spans="8:13" x14ac:dyDescent="0.3">
      <c r="H17" s="84"/>
      <c r="I17" s="94"/>
      <c r="J17" s="94"/>
      <c r="K17" s="94"/>
      <c r="L17" s="84"/>
      <c r="M17" s="84"/>
    </row>
    <row r="18" spans="8:13" x14ac:dyDescent="0.3">
      <c r="H18" s="84"/>
      <c r="I18" s="94"/>
      <c r="J18" s="94"/>
      <c r="K18" s="94"/>
      <c r="L18" s="84"/>
      <c r="M18" s="84"/>
    </row>
    <row r="19" spans="8:13" x14ac:dyDescent="0.3">
      <c r="H19" s="84"/>
      <c r="I19" s="84"/>
      <c r="J19" s="84"/>
      <c r="K19" s="84"/>
      <c r="L19" s="84"/>
      <c r="M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theme="5" tint="-0.249977111117893"/>
    <pageSetUpPr fitToPage="1"/>
  </sheetPr>
  <dimension ref="A1:Y18"/>
  <sheetViews>
    <sheetView topLeftCell="H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2" max="12" width="6.6640625" bestFit="1" customWidth="1"/>
    <col min="13" max="17" width="3.4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E1" s="47" t="s">
        <v>45</v>
      </c>
      <c r="F1" s="13">
        <f>S15</f>
        <v>90</v>
      </c>
      <c r="H1" s="47" t="s">
        <v>46</v>
      </c>
      <c r="I1" s="13">
        <f>F1/B1</f>
        <v>90</v>
      </c>
      <c r="J1" s="47" t="s">
        <v>71</v>
      </c>
      <c r="K1" s="46" t="s">
        <v>119</v>
      </c>
      <c r="U1" s="235" t="s">
        <v>321</v>
      </c>
      <c r="V1" s="232">
        <v>88</v>
      </c>
    </row>
    <row r="2" spans="1:25" ht="14.25" customHeight="1" x14ac:dyDescent="0.3">
      <c r="A2" s="59"/>
      <c r="B2" s="242" t="s">
        <v>120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47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$I$1</f>
        <v>90</v>
      </c>
      <c r="F5" s="16">
        <v>1</v>
      </c>
      <c r="G5" s="15">
        <f>E5*D5</f>
        <v>90</v>
      </c>
      <c r="H5" s="167">
        <f>G5*F5</f>
        <v>90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90</v>
      </c>
      <c r="L5" s="218">
        <f>J5*K5</f>
        <v>225</v>
      </c>
    </row>
    <row r="6" spans="1:25" ht="14.75" customHeight="1" x14ac:dyDescent="0.35">
      <c r="A6" s="14" t="s">
        <v>42</v>
      </c>
      <c r="B6" s="14" t="s">
        <v>353</v>
      </c>
      <c r="C6" s="19" t="s">
        <v>7</v>
      </c>
      <c r="D6" s="18">
        <v>30</v>
      </c>
      <c r="E6" s="15">
        <f>$I$1</f>
        <v>90</v>
      </c>
      <c r="F6" s="16">
        <v>1</v>
      </c>
      <c r="G6" s="15">
        <f>E6*D6</f>
        <v>2700</v>
      </c>
      <c r="H6" s="167">
        <f>G6*F6</f>
        <v>2700</v>
      </c>
      <c r="I6" s="167">
        <f>VLOOKUP(B6,Ordering!$A$1:$J$88,6,FALSE)</f>
        <v>1</v>
      </c>
      <c r="J6" s="167">
        <f>VLOOKUP(B6,Ordering!$A$1:$J$88,10,FALSE)</f>
        <v>19.75</v>
      </c>
      <c r="K6" s="167">
        <f t="shared" ref="K6" si="0">((H6/(I6))/1000)</f>
        <v>2.7</v>
      </c>
      <c r="L6" s="218">
        <f>J6*K6</f>
        <v>53.325000000000003</v>
      </c>
    </row>
    <row r="7" spans="1:25" ht="14.75" customHeight="1" x14ac:dyDescent="0.35">
      <c r="A7" s="14"/>
      <c r="B7" s="14"/>
      <c r="C7" s="19"/>
      <c r="D7" s="18"/>
      <c r="E7" s="15"/>
      <c r="F7" s="16"/>
      <c r="G7" s="15"/>
      <c r="H7" s="167"/>
      <c r="I7" s="167"/>
      <c r="J7" s="167"/>
      <c r="K7" s="167"/>
      <c r="L7" s="218"/>
    </row>
    <row r="8" spans="1:25" ht="14.75" customHeight="1" x14ac:dyDescent="0.35">
      <c r="A8" s="14"/>
      <c r="B8" s="14"/>
      <c r="C8" s="19"/>
      <c r="D8" s="18"/>
      <c r="E8" s="15"/>
      <c r="F8" s="16"/>
      <c r="G8" s="15"/>
      <c r="H8" s="167"/>
      <c r="I8" s="167"/>
      <c r="J8" s="167"/>
      <c r="K8" s="167"/>
      <c r="L8" s="218"/>
      <c r="V8" s="171" t="s">
        <v>277</v>
      </c>
      <c r="W8" s="172">
        <v>1</v>
      </c>
      <c r="X8" s="171" t="s">
        <v>80</v>
      </c>
      <c r="Y8" s="184">
        <f>SUM(L5:L6)/S15</f>
        <v>3.0924999999999998</v>
      </c>
    </row>
    <row r="9" spans="1:25" ht="14.75" customHeight="1" x14ac:dyDescent="0.35">
      <c r="A9" s="14"/>
      <c r="B9" s="14"/>
      <c r="C9" s="19"/>
      <c r="D9" s="18"/>
      <c r="E9" s="15"/>
      <c r="F9" s="16"/>
      <c r="G9" s="15"/>
      <c r="H9" s="167"/>
      <c r="I9" s="167"/>
      <c r="J9" s="167"/>
      <c r="K9" s="167"/>
      <c r="L9" s="218"/>
    </row>
    <row r="10" spans="1:25" ht="14.75" customHeight="1" x14ac:dyDescent="0.35">
      <c r="A10" s="14"/>
      <c r="B10" s="14"/>
      <c r="C10" s="19"/>
      <c r="D10" s="18"/>
      <c r="E10" s="15"/>
      <c r="F10" s="16"/>
      <c r="G10" s="15"/>
      <c r="H10" s="167"/>
      <c r="I10" s="220"/>
      <c r="J10" s="220"/>
      <c r="K10" s="220"/>
      <c r="L10" s="218"/>
      <c r="R10" s="244" t="s">
        <v>27</v>
      </c>
      <c r="S10" s="241"/>
    </row>
    <row r="11" spans="1:25" x14ac:dyDescent="0.3">
      <c r="I11" s="94"/>
      <c r="J11" s="94"/>
      <c r="K11" s="9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R13" s="7" t="s">
        <v>82</v>
      </c>
      <c r="S13" s="8">
        <f>V1</f>
        <v>88</v>
      </c>
    </row>
    <row r="14" spans="1:25" ht="14.75" customHeight="1" thickBot="1" x14ac:dyDescent="0.35">
      <c r="I14" s="94"/>
      <c r="J14" s="94"/>
      <c r="K14" s="94"/>
      <c r="R14" s="7" t="s">
        <v>83</v>
      </c>
      <c r="S14" s="9">
        <v>2</v>
      </c>
    </row>
    <row r="15" spans="1:25" x14ac:dyDescent="0.3">
      <c r="I15" s="94"/>
      <c r="J15" s="94"/>
      <c r="K15" s="94"/>
      <c r="R15" s="10" t="s">
        <v>84</v>
      </c>
      <c r="S15" s="11">
        <f>S13+S14</f>
        <v>90</v>
      </c>
    </row>
    <row r="16" spans="1:25" x14ac:dyDescent="0.3">
      <c r="I16" s="94"/>
      <c r="J16" s="94"/>
      <c r="K16" s="94"/>
      <c r="R16" s="195" t="s">
        <v>80</v>
      </c>
      <c r="S16" s="196">
        <f>SUM(L5:L6)</f>
        <v>278.32499999999999</v>
      </c>
    </row>
    <row r="17" spans="9:11" x14ac:dyDescent="0.3">
      <c r="I17" s="94"/>
      <c r="J17" s="94"/>
      <c r="K17" s="94"/>
    </row>
    <row r="18" spans="9:11" x14ac:dyDescent="0.3">
      <c r="I18" s="94"/>
      <c r="J18" s="94"/>
      <c r="K18" s="9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7">
    <tabColor theme="5" tint="-0.249977111117893"/>
    <pageSetUpPr fitToPage="1"/>
  </sheetPr>
  <dimension ref="A1:V18"/>
  <sheetViews>
    <sheetView topLeftCell="J1" zoomScale="85" zoomScaleNormal="8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43.082031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3" max="17" width="3.5" customWidth="1"/>
    <col min="19" max="19" width="8.5" bestFit="1" customWidth="1"/>
  </cols>
  <sheetData>
    <row r="1" spans="1:22" ht="39" customHeight="1" x14ac:dyDescent="0.3">
      <c r="A1" s="47" t="s">
        <v>70</v>
      </c>
      <c r="B1" s="12">
        <v>1</v>
      </c>
      <c r="C1" s="47" t="s">
        <v>45</v>
      </c>
      <c r="D1" s="13">
        <f>S15</f>
        <v>215</v>
      </c>
      <c r="F1" s="47" t="s">
        <v>46</v>
      </c>
      <c r="G1" s="13">
        <f>D1/B1</f>
        <v>215</v>
      </c>
      <c r="H1" s="47" t="s">
        <v>90</v>
      </c>
      <c r="I1" s="24">
        <f>L28/M1</f>
        <v>0</v>
      </c>
      <c r="J1" s="47" t="s">
        <v>109</v>
      </c>
      <c r="K1" s="22" t="s">
        <v>110</v>
      </c>
      <c r="L1" s="23" t="s">
        <v>111</v>
      </c>
      <c r="M1" s="22">
        <v>0.92</v>
      </c>
      <c r="U1" s="235" t="s">
        <v>321</v>
      </c>
      <c r="V1" s="232">
        <v>213</v>
      </c>
    </row>
    <row r="2" spans="1:22" ht="14.25" customHeight="1" x14ac:dyDescent="0.3">
      <c r="A2" s="59"/>
      <c r="B2" s="242" t="s">
        <v>112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2" ht="14.25" customHeight="1" x14ac:dyDescent="0.3">
      <c r="A3" s="72"/>
      <c r="B3" s="243"/>
      <c r="C3" s="243"/>
      <c r="D3" s="243"/>
      <c r="E3" s="243"/>
      <c r="F3" s="243"/>
      <c r="G3" s="243"/>
      <c r="H3" s="248"/>
      <c r="I3" s="159"/>
      <c r="J3" s="159"/>
      <c r="K3" s="160"/>
      <c r="L3" s="84"/>
    </row>
    <row r="4" spans="1:22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151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2" ht="14.75" customHeight="1" x14ac:dyDescent="0.35">
      <c r="A5" s="14" t="s">
        <v>12</v>
      </c>
      <c r="B5" s="14" t="s">
        <v>335</v>
      </c>
      <c r="C5" s="19" t="s">
        <v>7</v>
      </c>
      <c r="D5" s="18">
        <f>75/M1</f>
        <v>81.521739130434781</v>
      </c>
      <c r="E5" s="15">
        <f>$G$1</f>
        <v>215</v>
      </c>
      <c r="F5" s="16">
        <v>1</v>
      </c>
      <c r="G5" s="15">
        <f>E5*D5</f>
        <v>17527.173913043476</v>
      </c>
      <c r="H5" s="167">
        <f>G5*F5</f>
        <v>17527.173913043476</v>
      </c>
      <c r="I5" s="167">
        <f>VLOOKUP(B5,Ordering!$A$1:$J$88,6,FALSE)</f>
        <v>1</v>
      </c>
      <c r="J5" s="167">
        <f>VLOOKUP(B5,Ordering!$A$1:$J$88,10,FALSE)</f>
        <v>24.347999999999999</v>
      </c>
      <c r="K5" s="167">
        <f t="shared" ref="K5:K7" si="0">((H5/(I5))/1000)</f>
        <v>17.527173913043477</v>
      </c>
      <c r="L5" s="169">
        <f>J5*K5</f>
        <v>426.75163043478256</v>
      </c>
    </row>
    <row r="6" spans="1:22" ht="14.75" customHeight="1" x14ac:dyDescent="0.35">
      <c r="A6" s="14" t="s">
        <v>26</v>
      </c>
      <c r="B6" s="14" t="s">
        <v>381</v>
      </c>
      <c r="C6" s="19" t="s">
        <v>7</v>
      </c>
      <c r="D6" s="18">
        <v>43</v>
      </c>
      <c r="E6" s="15">
        <f>$G$1</f>
        <v>215</v>
      </c>
      <c r="F6" s="16">
        <v>1</v>
      </c>
      <c r="G6" s="15">
        <f>E6*D6</f>
        <v>9245</v>
      </c>
      <c r="H6" s="167">
        <f>G6*F6</f>
        <v>9245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si="0"/>
        <v>14.007575757575756</v>
      </c>
      <c r="L6" s="169">
        <f>J6*K6</f>
        <v>49.026515151515149</v>
      </c>
    </row>
    <row r="7" spans="1:22" ht="14.75" customHeight="1" x14ac:dyDescent="0.35">
      <c r="A7" s="14" t="s">
        <v>26</v>
      </c>
      <c r="B7" s="14" t="s">
        <v>379</v>
      </c>
      <c r="C7" s="19" t="s">
        <v>7</v>
      </c>
      <c r="D7" s="18">
        <v>4.8</v>
      </c>
      <c r="E7" s="15">
        <f>$G$1</f>
        <v>215</v>
      </c>
      <c r="F7" s="16">
        <v>1</v>
      </c>
      <c r="G7" s="15">
        <f>E7*D7</f>
        <v>1032</v>
      </c>
      <c r="H7" s="167">
        <f>G7*F7</f>
        <v>1032</v>
      </c>
      <c r="I7" s="167">
        <f>VLOOKUP(B7,Ordering!$A$1:$J$88,6,FALSE)</f>
        <v>0.6</v>
      </c>
      <c r="J7" s="167">
        <f>VLOOKUP(B7,Ordering!$A$1:$J$88,10,FALSE)</f>
        <v>3.2710280373831773</v>
      </c>
      <c r="K7" s="167">
        <f t="shared" si="0"/>
        <v>1.72</v>
      </c>
      <c r="L7" s="169">
        <f>J7*K7</f>
        <v>5.6261682242990645</v>
      </c>
    </row>
    <row r="8" spans="1:22" ht="14.75" customHeight="1" x14ac:dyDescent="0.35">
      <c r="A8" s="14" t="s">
        <v>38</v>
      </c>
      <c r="B8" s="14" t="s">
        <v>359</v>
      </c>
      <c r="C8" s="19" t="s">
        <v>5</v>
      </c>
      <c r="D8" s="18">
        <v>1</v>
      </c>
      <c r="E8" s="15">
        <f>$G$1</f>
        <v>215</v>
      </c>
      <c r="F8" s="16">
        <v>1</v>
      </c>
      <c r="G8" s="15">
        <f>E8*D8</f>
        <v>215</v>
      </c>
      <c r="H8" s="167">
        <f>G8*F8</f>
        <v>215</v>
      </c>
      <c r="I8" s="167">
        <f>VLOOKUP(B8,Ordering!$A$1:$J$88,6,FALSE)</f>
        <v>1</v>
      </c>
      <c r="J8" s="167">
        <f>VLOOKUP(B8,Ordering!$A$1:$J$88,10,FALSE)</f>
        <v>0.5</v>
      </c>
      <c r="K8" s="167">
        <f t="shared" ref="K8" si="1">(H8/I8)</f>
        <v>215</v>
      </c>
      <c r="L8" s="169">
        <f>J8*K8</f>
        <v>107.5</v>
      </c>
    </row>
    <row r="9" spans="1:22" x14ac:dyDescent="0.3">
      <c r="H9" s="218"/>
      <c r="I9" s="217"/>
      <c r="J9" s="217"/>
      <c r="K9" s="217"/>
      <c r="L9" s="219"/>
    </row>
    <row r="10" spans="1:22" x14ac:dyDescent="0.3">
      <c r="H10" s="218"/>
      <c r="I10" s="217"/>
      <c r="J10" s="217"/>
      <c r="K10" s="217"/>
      <c r="L10" s="219"/>
      <c r="R10" s="244" t="s">
        <v>20</v>
      </c>
      <c r="S10" s="241"/>
    </row>
    <row r="11" spans="1:22" x14ac:dyDescent="0.3">
      <c r="I11" s="94"/>
      <c r="J11" s="94"/>
      <c r="K11" s="94"/>
      <c r="L11" s="84"/>
      <c r="R11" s="236" t="s">
        <v>62</v>
      </c>
      <c r="S11" s="237"/>
    </row>
    <row r="12" spans="1:22" ht="14.75" customHeight="1" thickBot="1" x14ac:dyDescent="0.35">
      <c r="I12" s="94"/>
      <c r="J12" s="94"/>
      <c r="K12" s="94"/>
      <c r="L12" s="84"/>
      <c r="R12" s="5" t="s">
        <v>63</v>
      </c>
      <c r="S12" s="6" t="s">
        <v>81</v>
      </c>
    </row>
    <row r="13" spans="1:22" ht="14.75" customHeight="1" thickBot="1" x14ac:dyDescent="0.35">
      <c r="I13" s="94"/>
      <c r="J13" s="94"/>
      <c r="K13" s="94"/>
      <c r="L13" s="84"/>
      <c r="R13" s="7" t="s">
        <v>82</v>
      </c>
      <c r="S13" s="8">
        <f>V1</f>
        <v>213</v>
      </c>
    </row>
    <row r="14" spans="1:22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2" x14ac:dyDescent="0.3">
      <c r="I15" s="94"/>
      <c r="J15" s="94"/>
      <c r="K15" s="94"/>
      <c r="L15" s="84"/>
      <c r="R15" s="10" t="s">
        <v>84</v>
      </c>
      <c r="S15" s="11">
        <f>S13+S14</f>
        <v>215</v>
      </c>
    </row>
    <row r="16" spans="1:22" x14ac:dyDescent="0.3">
      <c r="I16" s="94"/>
      <c r="J16" s="94"/>
      <c r="K16" s="94"/>
      <c r="L16" s="84"/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8">
    <tabColor theme="5" tint="-0.249977111117893"/>
    <pageSetUpPr fitToPage="1"/>
  </sheetPr>
  <dimension ref="A1:V18"/>
  <sheetViews>
    <sheetView topLeftCell="C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9.5820312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2" max="12" width="6.58203125" customWidth="1"/>
    <col min="13" max="13" width="8" customWidth="1"/>
    <col min="14" max="17" width="2.4140625" customWidth="1"/>
    <col min="19" max="19" width="8.5" bestFit="1" customWidth="1"/>
  </cols>
  <sheetData>
    <row r="1" spans="1:22" ht="25.25" customHeight="1" x14ac:dyDescent="0.3">
      <c r="A1" s="47" t="s">
        <v>70</v>
      </c>
      <c r="B1" s="12">
        <v>1</v>
      </c>
      <c r="C1" s="47" t="s">
        <v>45</v>
      </c>
      <c r="D1" s="13">
        <f>S15</f>
        <v>75</v>
      </c>
      <c r="F1" s="47" t="s">
        <v>46</v>
      </c>
      <c r="G1" s="13">
        <f>D1/B1</f>
        <v>75</v>
      </c>
      <c r="H1" s="47" t="s">
        <v>71</v>
      </c>
      <c r="I1" s="46" t="s">
        <v>72</v>
      </c>
      <c r="M1" s="22"/>
      <c r="U1" s="235" t="s">
        <v>321</v>
      </c>
      <c r="V1" s="232">
        <v>73</v>
      </c>
    </row>
    <row r="2" spans="1:22" ht="14.25" customHeight="1" x14ac:dyDescent="0.3">
      <c r="A2" s="59"/>
      <c r="B2" s="242" t="s">
        <v>73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2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2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2" ht="14.75" customHeight="1" x14ac:dyDescent="0.35">
      <c r="A5" s="14" t="s">
        <v>4</v>
      </c>
      <c r="B5" s="14" t="s">
        <v>144</v>
      </c>
      <c r="C5" s="19" t="s">
        <v>5</v>
      </c>
      <c r="D5" s="18">
        <v>2</v>
      </c>
      <c r="E5" s="15">
        <f t="shared" ref="E5:E10" si="0">$G$1</f>
        <v>75</v>
      </c>
      <c r="F5" s="16">
        <v>1</v>
      </c>
      <c r="G5" s="15">
        <f t="shared" ref="G5:G10" si="1">E5*D5</f>
        <v>150</v>
      </c>
      <c r="H5" s="167">
        <f t="shared" ref="H5:H10" si="2">G5*F5</f>
        <v>150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156.25</v>
      </c>
      <c r="L5" s="169">
        <f t="shared" ref="L5:L10" si="3">J5*K5</f>
        <v>67.708333333333329</v>
      </c>
    </row>
    <row r="6" spans="1:22" ht="14.75" customHeight="1" x14ac:dyDescent="0.35">
      <c r="A6" s="14" t="s">
        <v>12</v>
      </c>
      <c r="B6" s="14" t="s">
        <v>200</v>
      </c>
      <c r="C6" s="19" t="s">
        <v>7</v>
      </c>
      <c r="D6" s="18">
        <f>M6/182</f>
        <v>20.329670329670328</v>
      </c>
      <c r="E6" s="15">
        <f t="shared" si="0"/>
        <v>75</v>
      </c>
      <c r="F6" s="16">
        <v>1</v>
      </c>
      <c r="G6" s="15">
        <f t="shared" si="1"/>
        <v>1524.7252747252746</v>
      </c>
      <c r="H6" s="167">
        <f t="shared" si="2"/>
        <v>1524.7252747252746</v>
      </c>
      <c r="I6" s="167">
        <f>VLOOKUP(B6,Ordering!$A$1:$J$88,6,FALSE)</f>
        <v>1</v>
      </c>
      <c r="J6" s="167">
        <f>VLOOKUP(B6,Ordering!$A$1:$J$88,10,FALSE)</f>
        <v>14.999999999999998</v>
      </c>
      <c r="K6" s="167">
        <f t="shared" ref="K6:K10" si="4">(H6/I6)</f>
        <v>1524.7252747252746</v>
      </c>
      <c r="L6" s="169">
        <f>J6*K6</f>
        <v>22870.879120879115</v>
      </c>
      <c r="M6">
        <v>3700</v>
      </c>
    </row>
    <row r="7" spans="1:22" ht="14.75" customHeight="1" x14ac:dyDescent="0.35">
      <c r="A7" s="14" t="s">
        <v>12</v>
      </c>
      <c r="B7" s="14" t="s">
        <v>169</v>
      </c>
      <c r="C7" s="19" t="s">
        <v>7</v>
      </c>
      <c r="D7" s="18">
        <f>M7/182</f>
        <v>5.2197802197802199</v>
      </c>
      <c r="E7" s="15">
        <f t="shared" si="0"/>
        <v>75</v>
      </c>
      <c r="F7" s="16">
        <v>1</v>
      </c>
      <c r="G7" s="15">
        <f t="shared" si="1"/>
        <v>391.4835164835165</v>
      </c>
      <c r="H7" s="167">
        <f t="shared" si="2"/>
        <v>391.4835164835165</v>
      </c>
      <c r="I7" s="167">
        <f>VLOOKUP(B7,Ordering!$A$1:$J$88,6,FALSE)</f>
        <v>1</v>
      </c>
      <c r="J7" s="167">
        <f>VLOOKUP(B7,Ordering!$A$1:$J$88,10,FALSE)</f>
        <v>13.545454545454545</v>
      </c>
      <c r="K7" s="167">
        <f t="shared" si="4"/>
        <v>391.4835164835165</v>
      </c>
      <c r="L7" s="169">
        <f t="shared" si="3"/>
        <v>5302.8221778221778</v>
      </c>
      <c r="M7">
        <v>950</v>
      </c>
    </row>
    <row r="8" spans="1:22" ht="14.75" customHeight="1" x14ac:dyDescent="0.35">
      <c r="A8" s="14" t="s">
        <v>40</v>
      </c>
      <c r="B8" s="14" t="s">
        <v>176</v>
      </c>
      <c r="C8" s="19" t="s">
        <v>7</v>
      </c>
      <c r="D8" s="18">
        <f>M8/182</f>
        <v>0.2032967032967033</v>
      </c>
      <c r="E8" s="15">
        <f t="shared" si="0"/>
        <v>75</v>
      </c>
      <c r="F8" s="16">
        <v>1</v>
      </c>
      <c r="G8" s="15">
        <f t="shared" si="1"/>
        <v>15.247252747252746</v>
      </c>
      <c r="H8" s="167">
        <f t="shared" si="2"/>
        <v>15.247252747252746</v>
      </c>
      <c r="I8" s="167">
        <f>VLOOKUP(B8,Ordering!$A$1:$J$88,6,FALSE)</f>
        <v>1</v>
      </c>
      <c r="J8" s="167">
        <f>VLOOKUP(B8,Ordering!$A$1:$J$88,10,FALSE)</f>
        <v>31</v>
      </c>
      <c r="K8" s="167">
        <f t="shared" si="4"/>
        <v>15.247252747252746</v>
      </c>
      <c r="L8" s="169">
        <f t="shared" si="3"/>
        <v>472.66483516483515</v>
      </c>
      <c r="M8">
        <v>37</v>
      </c>
    </row>
    <row r="9" spans="1:22" ht="14.75" customHeight="1" x14ac:dyDescent="0.35">
      <c r="A9" s="14" t="s">
        <v>40</v>
      </c>
      <c r="B9" s="14" t="s">
        <v>175</v>
      </c>
      <c r="C9" s="19" t="s">
        <v>7</v>
      </c>
      <c r="D9" s="18">
        <f>M9/182</f>
        <v>0.5494505494505495</v>
      </c>
      <c r="E9" s="15">
        <f t="shared" si="0"/>
        <v>75</v>
      </c>
      <c r="F9" s="16">
        <v>1</v>
      </c>
      <c r="G9" s="15">
        <f t="shared" si="1"/>
        <v>41.208791208791212</v>
      </c>
      <c r="H9" s="167">
        <f t="shared" si="2"/>
        <v>41.208791208791212</v>
      </c>
      <c r="I9" s="167">
        <f>VLOOKUP(B9,Ordering!$A$1:$J$88,6,FALSE)</f>
        <v>1</v>
      </c>
      <c r="J9" s="167">
        <f>VLOOKUP(B9,Ordering!$A$1:$J$88,10,FALSE)</f>
        <v>0.74</v>
      </c>
      <c r="K9" s="167">
        <f t="shared" si="4"/>
        <v>41.208791208791212</v>
      </c>
      <c r="L9" s="169">
        <f t="shared" si="3"/>
        <v>30.494505494505496</v>
      </c>
      <c r="M9">
        <v>100</v>
      </c>
    </row>
    <row r="10" spans="1:22" ht="14.75" customHeight="1" x14ac:dyDescent="0.35">
      <c r="A10" s="14" t="s">
        <v>38</v>
      </c>
      <c r="B10" s="14" t="s">
        <v>359</v>
      </c>
      <c r="C10" s="19" t="s">
        <v>5</v>
      </c>
      <c r="D10" s="18">
        <v>1</v>
      </c>
      <c r="E10" s="15">
        <f t="shared" si="0"/>
        <v>75</v>
      </c>
      <c r="F10" s="16">
        <v>1</v>
      </c>
      <c r="G10" s="15">
        <f t="shared" si="1"/>
        <v>75</v>
      </c>
      <c r="H10" s="167">
        <f t="shared" si="2"/>
        <v>75</v>
      </c>
      <c r="I10" s="167">
        <f>VLOOKUP(B10,Ordering!$A$1:$J$88,6,FALSE)</f>
        <v>1</v>
      </c>
      <c r="J10" s="167">
        <f>VLOOKUP(B10,Ordering!$A$1:$J$88,10,FALSE)</f>
        <v>0.5</v>
      </c>
      <c r="K10" s="167">
        <f t="shared" si="4"/>
        <v>75</v>
      </c>
      <c r="L10" s="169">
        <f t="shared" si="3"/>
        <v>37.5</v>
      </c>
      <c r="R10" s="244" t="s">
        <v>6</v>
      </c>
      <c r="S10" s="241"/>
    </row>
    <row r="11" spans="1:22" x14ac:dyDescent="0.3">
      <c r="I11" s="94"/>
      <c r="J11" s="94"/>
      <c r="K11" s="94"/>
      <c r="L11" s="84"/>
      <c r="R11" s="236" t="s">
        <v>62</v>
      </c>
      <c r="S11" s="237"/>
    </row>
    <row r="12" spans="1:22" ht="14.75" customHeight="1" thickBot="1" x14ac:dyDescent="0.35">
      <c r="I12" s="94"/>
      <c r="J12" s="94"/>
      <c r="K12" s="94"/>
      <c r="L12" s="84"/>
      <c r="R12" s="5" t="s">
        <v>63</v>
      </c>
      <c r="S12" s="6" t="s">
        <v>81</v>
      </c>
    </row>
    <row r="13" spans="1:22" ht="14.75" customHeight="1" thickBot="1" x14ac:dyDescent="0.35">
      <c r="I13" s="94"/>
      <c r="J13" s="94"/>
      <c r="K13" s="94"/>
      <c r="L13" s="84"/>
      <c r="R13" s="7" t="s">
        <v>82</v>
      </c>
      <c r="S13" s="8">
        <f>V1</f>
        <v>73</v>
      </c>
    </row>
    <row r="14" spans="1:22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2" x14ac:dyDescent="0.3">
      <c r="I15" s="94"/>
      <c r="J15" s="94"/>
      <c r="K15" s="94"/>
      <c r="L15" s="84"/>
      <c r="R15" s="10" t="s">
        <v>84</v>
      </c>
      <c r="S15" s="11">
        <f>S13+S14</f>
        <v>75</v>
      </c>
    </row>
    <row r="16" spans="1:22" x14ac:dyDescent="0.3">
      <c r="I16" s="94"/>
      <c r="J16" s="94"/>
      <c r="K16" s="94"/>
      <c r="L16" s="84"/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5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7630-0854-4D5F-9A74-D82790BD4C7B}">
  <sheetPr codeName="Sheet25">
    <tabColor theme="5" tint="-0.249977111117893"/>
    <pageSetUpPr fitToPage="1"/>
  </sheetPr>
  <dimension ref="A1:Y18"/>
  <sheetViews>
    <sheetView topLeftCell="L1" zoomScaleNormal="100" zoomScaleSheetLayoutView="100" workbookViewId="0">
      <selection activeCell="V12" sqref="V12"/>
    </sheetView>
  </sheetViews>
  <sheetFormatPr defaultColWidth="8.6640625" defaultRowHeight="14" x14ac:dyDescent="0.3"/>
  <cols>
    <col min="1" max="1" width="17.6640625" style="107" bestFit="1" customWidth="1"/>
    <col min="2" max="2" width="36.33203125" style="107" bestFit="1" customWidth="1"/>
    <col min="3" max="3" width="17.4140625" style="107" customWidth="1"/>
    <col min="4" max="4" width="14.5" style="107" bestFit="1" customWidth="1"/>
    <col min="5" max="5" width="14.33203125" style="107" bestFit="1" customWidth="1"/>
    <col min="6" max="6" width="11.5" style="107" bestFit="1" customWidth="1"/>
    <col min="7" max="7" width="8.6640625" style="107"/>
    <col min="8" max="8" width="29.83203125" style="107" bestFit="1" customWidth="1"/>
    <col min="9" max="9" width="8.6640625" style="107"/>
    <col min="10" max="10" width="14.5" style="107" bestFit="1" customWidth="1"/>
    <col min="11" max="11" width="16.58203125" style="107" customWidth="1"/>
    <col min="12" max="12" width="20.9140625" style="107" customWidth="1"/>
    <col min="13" max="17" width="3.9140625" style="107" customWidth="1"/>
    <col min="18" max="18" width="8.6640625" style="107"/>
    <col min="19" max="19" width="8.5" style="107" bestFit="1" customWidth="1"/>
    <col min="20" max="16384" width="8.6640625" style="107"/>
  </cols>
  <sheetData>
    <row r="1" spans="1:25" ht="25" x14ac:dyDescent="0.3">
      <c r="A1" s="104" t="s">
        <v>132</v>
      </c>
      <c r="B1" s="105">
        <v>1</v>
      </c>
      <c r="C1" s="104" t="s">
        <v>45</v>
      </c>
      <c r="D1" s="106">
        <f>S15</f>
        <v>19</v>
      </c>
      <c r="F1" s="104" t="s">
        <v>46</v>
      </c>
      <c r="G1" s="106">
        <f>D1/B1</f>
        <v>19</v>
      </c>
      <c r="H1" s="104" t="s">
        <v>133</v>
      </c>
      <c r="I1" s="108">
        <v>150</v>
      </c>
      <c r="J1" s="104" t="s">
        <v>49</v>
      </c>
      <c r="K1" s="109" t="s">
        <v>134</v>
      </c>
      <c r="L1" s="110" t="s">
        <v>51</v>
      </c>
      <c r="M1" s="109">
        <v>2.02</v>
      </c>
      <c r="U1" s="234" t="s">
        <v>321</v>
      </c>
      <c r="V1" s="231">
        <v>17</v>
      </c>
    </row>
    <row r="2" spans="1:25" ht="14.25" customHeight="1" x14ac:dyDescent="0.3">
      <c r="A2" s="125"/>
      <c r="B2" s="242" t="s">
        <v>138</v>
      </c>
      <c r="C2" s="247"/>
      <c r="D2" s="247"/>
      <c r="E2" s="247"/>
      <c r="F2" s="247"/>
      <c r="G2" s="247"/>
      <c r="H2" s="247"/>
      <c r="I2" s="126"/>
      <c r="J2" s="126"/>
      <c r="K2" s="127"/>
    </row>
    <row r="3" spans="1:25" ht="14.25" customHeight="1" x14ac:dyDescent="0.3">
      <c r="A3" s="128"/>
      <c r="B3" s="243"/>
      <c r="C3" s="243"/>
      <c r="D3" s="243"/>
      <c r="E3" s="243"/>
      <c r="F3" s="243"/>
      <c r="G3" s="243"/>
      <c r="H3" s="248"/>
      <c r="I3" s="157"/>
      <c r="J3" s="157"/>
      <c r="K3" s="158"/>
    </row>
    <row r="4" spans="1:25" ht="39" x14ac:dyDescent="0.3">
      <c r="A4" s="104" t="s">
        <v>54</v>
      </c>
      <c r="B4" s="104" t="s">
        <v>136</v>
      </c>
      <c r="C4" s="104" t="s">
        <v>74</v>
      </c>
      <c r="D4" s="104" t="s">
        <v>57</v>
      </c>
      <c r="E4" s="111" t="s">
        <v>47</v>
      </c>
      <c r="F4" s="111" t="s">
        <v>75</v>
      </c>
      <c r="G4" s="104" t="s">
        <v>76</v>
      </c>
      <c r="H4" s="153" t="s">
        <v>77</v>
      </c>
      <c r="I4" s="153" t="s">
        <v>276</v>
      </c>
      <c r="J4" s="153" t="s">
        <v>78</v>
      </c>
      <c r="K4" s="153" t="s">
        <v>79</v>
      </c>
      <c r="L4" s="153" t="s">
        <v>80</v>
      </c>
    </row>
    <row r="5" spans="1:25" ht="14.5" x14ac:dyDescent="0.35">
      <c r="A5" s="112"/>
      <c r="B5" s="112" t="s">
        <v>166</v>
      </c>
      <c r="C5" s="113" t="s">
        <v>7</v>
      </c>
      <c r="D5" s="114">
        <f>N5/$N$12</f>
        <v>52.325581395348834</v>
      </c>
      <c r="E5" s="115">
        <f t="shared" ref="E5:E12" si="0">$G$1</f>
        <v>19</v>
      </c>
      <c r="F5" s="116">
        <v>1</v>
      </c>
      <c r="G5" s="115">
        <f>E5*D5</f>
        <v>994.18604651162786</v>
      </c>
      <c r="H5" s="197">
        <f>G5*F5</f>
        <v>994.18604651162786</v>
      </c>
      <c r="I5" s="197">
        <f>VLOOKUP(B5,Ordering!$A$1:$J$88,6,FALSE)</f>
        <v>1</v>
      </c>
      <c r="J5" s="197">
        <f>VLOOKUP(B5,Ordering!$A$1:$J$88,10,FALSE)</f>
        <v>8</v>
      </c>
      <c r="K5" s="167">
        <f t="shared" ref="K5:K10" si="1">((H5/(I5))/1000)</f>
        <v>0.9941860465116279</v>
      </c>
      <c r="L5" s="198">
        <f t="shared" ref="L5:L10" si="2">J5*K5</f>
        <v>7.9534883720930232</v>
      </c>
      <c r="N5" s="107">
        <v>1500</v>
      </c>
    </row>
    <row r="6" spans="1:25" ht="14.5" x14ac:dyDescent="0.35">
      <c r="A6" s="112"/>
      <c r="B6" s="112" t="s">
        <v>337</v>
      </c>
      <c r="C6" s="113" t="s">
        <v>7</v>
      </c>
      <c r="D6" s="114">
        <f t="shared" ref="D6:D10" si="3">N6/$N$12</f>
        <v>12.73953488372093</v>
      </c>
      <c r="E6" s="115">
        <f t="shared" si="0"/>
        <v>19</v>
      </c>
      <c r="F6" s="116">
        <v>1</v>
      </c>
      <c r="G6" s="115">
        <f>E6*D6</f>
        <v>242.05116279069767</v>
      </c>
      <c r="H6" s="197">
        <f t="shared" ref="H6:H10" si="4">G6*F6</f>
        <v>242.05116279069767</v>
      </c>
      <c r="I6" s="197">
        <f>VLOOKUP(B6,Ordering!$A$1:$J$88,6,FALSE)</f>
        <v>1</v>
      </c>
      <c r="J6" s="197">
        <f>VLOOKUP(B6,Ordering!$A$1:$J$88,10,FALSE)</f>
        <v>10</v>
      </c>
      <c r="K6" s="167">
        <f t="shared" si="1"/>
        <v>0.24205116279069766</v>
      </c>
      <c r="L6" s="198">
        <f t="shared" si="2"/>
        <v>2.4205116279069765</v>
      </c>
      <c r="N6" s="107">
        <v>365.2</v>
      </c>
    </row>
    <row r="7" spans="1:25" ht="14.5" x14ac:dyDescent="0.35">
      <c r="A7" s="112"/>
      <c r="B7" s="112" t="s">
        <v>186</v>
      </c>
      <c r="C7" s="113" t="s">
        <v>124</v>
      </c>
      <c r="D7" s="114">
        <f t="shared" si="3"/>
        <v>5.3720930232558137</v>
      </c>
      <c r="E7" s="115">
        <f t="shared" si="0"/>
        <v>19</v>
      </c>
      <c r="F7" s="116">
        <v>1</v>
      </c>
      <c r="G7" s="115">
        <f>E7*D7</f>
        <v>102.06976744186046</v>
      </c>
      <c r="H7" s="197">
        <f t="shared" si="4"/>
        <v>102.06976744186046</v>
      </c>
      <c r="I7" s="197">
        <f>VLOOKUP(B7,Ordering!$A$1:$J$88,6,FALSE)</f>
        <v>1</v>
      </c>
      <c r="J7" s="197">
        <f>VLOOKUP(B7,Ordering!$A$1:$J$88,10,FALSE)</f>
        <v>5</v>
      </c>
      <c r="K7" s="167">
        <f t="shared" si="1"/>
        <v>0.10206976744186046</v>
      </c>
      <c r="L7" s="198">
        <f t="shared" si="2"/>
        <v>0.51034883720930224</v>
      </c>
      <c r="N7" s="107">
        <v>154</v>
      </c>
      <c r="V7" s="214"/>
    </row>
    <row r="8" spans="1:25" ht="14.5" x14ac:dyDescent="0.35">
      <c r="A8" s="112"/>
      <c r="B8" s="112" t="s">
        <v>175</v>
      </c>
      <c r="C8" s="113" t="s">
        <v>7</v>
      </c>
      <c r="D8" s="114">
        <f t="shared" si="3"/>
        <v>0.90697674418604646</v>
      </c>
      <c r="E8" s="115">
        <f t="shared" si="0"/>
        <v>19</v>
      </c>
      <c r="F8" s="116">
        <v>1</v>
      </c>
      <c r="G8" s="115">
        <f t="shared" ref="G8:G10" si="5">E8*D8</f>
        <v>17.232558139534884</v>
      </c>
      <c r="H8" s="197">
        <f t="shared" si="4"/>
        <v>17.232558139534884</v>
      </c>
      <c r="I8" s="197">
        <f>VLOOKUP(B8,Ordering!$A$1:$J$88,6,FALSE)</f>
        <v>1</v>
      </c>
      <c r="J8" s="197">
        <f>VLOOKUP(B8,Ordering!$A$1:$J$88,10,FALSE)</f>
        <v>0.74</v>
      </c>
      <c r="K8" s="167">
        <f t="shared" si="1"/>
        <v>1.7232558139534886E-2</v>
      </c>
      <c r="L8" s="198">
        <f t="shared" si="2"/>
        <v>1.2752093023255815E-2</v>
      </c>
      <c r="N8" s="107">
        <v>26</v>
      </c>
      <c r="V8" s="171" t="s">
        <v>277</v>
      </c>
      <c r="W8" s="172">
        <v>1</v>
      </c>
      <c r="X8" s="171" t="s">
        <v>80</v>
      </c>
      <c r="Y8" s="184">
        <f>(SUM(L5:L12)/S15)*W8</f>
        <v>0.83448124031007742</v>
      </c>
    </row>
    <row r="9" spans="1:25" ht="14.5" x14ac:dyDescent="0.35">
      <c r="A9" s="112"/>
      <c r="B9" s="112" t="s">
        <v>178</v>
      </c>
      <c r="C9" s="113" t="s">
        <v>7</v>
      </c>
      <c r="D9" s="114">
        <f t="shared" si="3"/>
        <v>0.1744186046511628</v>
      </c>
      <c r="E9" s="115">
        <f t="shared" si="0"/>
        <v>19</v>
      </c>
      <c r="F9" s="116">
        <v>1</v>
      </c>
      <c r="G9" s="115">
        <f t="shared" si="5"/>
        <v>3.3139534883720931</v>
      </c>
      <c r="H9" s="197">
        <f t="shared" si="4"/>
        <v>3.3139534883720931</v>
      </c>
      <c r="I9" s="197">
        <f>VLOOKUP(B9,Ordering!$A$1:$J$88,6,FALSE)</f>
        <v>1</v>
      </c>
      <c r="J9" s="197">
        <f>VLOOKUP(B9,Ordering!$A$1:$J$88,10,FALSE)</f>
        <v>15</v>
      </c>
      <c r="K9" s="167">
        <f t="shared" si="1"/>
        <v>3.3139534883720933E-3</v>
      </c>
      <c r="L9" s="198">
        <f t="shared" si="2"/>
        <v>4.9709302325581399E-2</v>
      </c>
      <c r="N9" s="107">
        <v>5</v>
      </c>
    </row>
    <row r="10" spans="1:25" x14ac:dyDescent="0.3">
      <c r="A10" s="112"/>
      <c r="B10" s="112" t="s">
        <v>189</v>
      </c>
      <c r="C10" s="30" t="s">
        <v>124</v>
      </c>
      <c r="D10" s="114">
        <f t="shared" si="3"/>
        <v>34.883720930232556</v>
      </c>
      <c r="E10" s="115">
        <f t="shared" si="0"/>
        <v>19</v>
      </c>
      <c r="F10" s="116">
        <v>1</v>
      </c>
      <c r="G10" s="115">
        <f t="shared" si="5"/>
        <v>662.79069767441854</v>
      </c>
      <c r="H10" s="197">
        <f t="shared" si="4"/>
        <v>662.79069767441854</v>
      </c>
      <c r="I10" s="197">
        <f>VLOOKUP(B10,Ordering!$A$1:$J$88,6,FALSE)</f>
        <v>1</v>
      </c>
      <c r="J10" s="197">
        <f>VLOOKUP(B10,Ordering!$A$1:$J$88,10,FALSE)</f>
        <v>0</v>
      </c>
      <c r="K10" s="167">
        <f t="shared" si="1"/>
        <v>0.66279069767441856</v>
      </c>
      <c r="L10" s="198">
        <f t="shared" si="2"/>
        <v>0</v>
      </c>
      <c r="N10" s="107">
        <v>1000</v>
      </c>
      <c r="R10" s="251" t="s">
        <v>135</v>
      </c>
      <c r="S10" s="251"/>
    </row>
    <row r="11" spans="1:25" ht="14.5" x14ac:dyDescent="0.35">
      <c r="A11" s="112"/>
      <c r="B11" s="14" t="s">
        <v>371</v>
      </c>
      <c r="C11" s="113" t="s">
        <v>7</v>
      </c>
      <c r="D11" s="114">
        <v>3</v>
      </c>
      <c r="E11" s="115">
        <f t="shared" si="0"/>
        <v>19</v>
      </c>
      <c r="F11" s="116">
        <v>1</v>
      </c>
      <c r="G11" s="115">
        <f t="shared" ref="G11:G12" si="6">E11*D11</f>
        <v>57</v>
      </c>
      <c r="H11" s="115">
        <f t="shared" ref="H11:H12" si="7">G11*F11</f>
        <v>57</v>
      </c>
      <c r="I11" s="112">
        <f>VLOOKUP(B11,Ordering!$A$1:$J$88,6,FALSE)</f>
        <v>1</v>
      </c>
      <c r="J11" s="197">
        <f>VLOOKUP(B11,Ordering!$A$1:$J$88,10,FALSE)</f>
        <v>2.7777777777777777</v>
      </c>
      <c r="K11" s="167">
        <f t="shared" ref="K11" si="8">((H11/(I11))/1000)</f>
        <v>5.7000000000000002E-2</v>
      </c>
      <c r="L11" s="198">
        <f t="shared" ref="L11:L12" si="9">J11*K11</f>
        <v>0.15833333333333333</v>
      </c>
      <c r="M11" s="107" t="s">
        <v>84</v>
      </c>
      <c r="N11" s="107">
        <v>4300</v>
      </c>
      <c r="R11" s="252" t="s">
        <v>62</v>
      </c>
      <c r="S11" s="252"/>
    </row>
    <row r="12" spans="1:25" ht="15" thickBot="1" x14ac:dyDescent="0.4">
      <c r="A12" s="14" t="s">
        <v>38</v>
      </c>
      <c r="B12" s="14" t="s">
        <v>365</v>
      </c>
      <c r="C12" s="19" t="s">
        <v>5</v>
      </c>
      <c r="D12" s="18">
        <v>1</v>
      </c>
      <c r="E12" s="115">
        <f t="shared" si="0"/>
        <v>19</v>
      </c>
      <c r="F12" s="16">
        <v>1</v>
      </c>
      <c r="G12" s="15">
        <f t="shared" si="6"/>
        <v>19</v>
      </c>
      <c r="H12" s="15">
        <f t="shared" si="7"/>
        <v>19</v>
      </c>
      <c r="I12" s="14">
        <f>VLOOKUP(B12,Ordering!$A$1:$J$88,6,FALSE)</f>
        <v>1</v>
      </c>
      <c r="J12" s="18">
        <f>VLOOKUP(B12,Ordering!$A$1:$J$88,10,FALSE)</f>
        <v>0.25</v>
      </c>
      <c r="K12" s="52">
        <f t="shared" ref="K12" si="10">(H12/I12)</f>
        <v>19</v>
      </c>
      <c r="L12" s="170">
        <f t="shared" si="9"/>
        <v>4.75</v>
      </c>
      <c r="M12" s="107" t="s">
        <v>137</v>
      </c>
      <c r="N12" s="117">
        <f>N11/I1</f>
        <v>28.666666666666668</v>
      </c>
      <c r="R12" s="118" t="s">
        <v>63</v>
      </c>
      <c r="S12" s="119" t="s">
        <v>81</v>
      </c>
    </row>
    <row r="13" spans="1:25" ht="14.5" thickBot="1" x14ac:dyDescent="0.35">
      <c r="I13" s="152"/>
      <c r="J13" s="152"/>
      <c r="K13" s="152"/>
      <c r="R13" s="120" t="s">
        <v>82</v>
      </c>
      <c r="S13" s="121">
        <f>V1</f>
        <v>17</v>
      </c>
    </row>
    <row r="14" spans="1:25" ht="14.5" thickBot="1" x14ac:dyDescent="0.35">
      <c r="I14" s="152"/>
      <c r="J14" s="152"/>
      <c r="K14" s="152"/>
      <c r="R14" s="120" t="s">
        <v>83</v>
      </c>
      <c r="S14" s="122">
        <v>2</v>
      </c>
    </row>
    <row r="15" spans="1:25" x14ac:dyDescent="0.3">
      <c r="I15" s="152"/>
      <c r="J15" s="152"/>
      <c r="K15" s="152"/>
      <c r="R15" s="123" t="s">
        <v>84</v>
      </c>
      <c r="S15" s="124">
        <f>S13+S14</f>
        <v>19</v>
      </c>
    </row>
    <row r="16" spans="1:25" x14ac:dyDescent="0.3">
      <c r="I16" s="152"/>
      <c r="J16" s="152"/>
      <c r="K16" s="152"/>
      <c r="R16" s="195" t="s">
        <v>80</v>
      </c>
      <c r="S16" s="213">
        <f>SUM(L5:L12)</f>
        <v>15.855143565891471</v>
      </c>
    </row>
    <row r="17" spans="9:11" x14ac:dyDescent="0.3">
      <c r="I17" s="152"/>
      <c r="J17" s="152"/>
      <c r="K17" s="152"/>
    </row>
    <row r="18" spans="9:11" x14ac:dyDescent="0.3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5" tint="-0.249977111117893"/>
    <pageSetUpPr fitToPage="1"/>
  </sheetPr>
  <dimension ref="A1:X18"/>
  <sheetViews>
    <sheetView topLeftCell="P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2" max="12" width="11.08203125" customWidth="1"/>
    <col min="13" max="17" width="3.9140625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4" ht="39" customHeight="1" x14ac:dyDescent="0.3">
      <c r="A1" s="47" t="s">
        <v>70</v>
      </c>
      <c r="B1" s="12">
        <v>1</v>
      </c>
      <c r="C1" s="47" t="s">
        <v>45</v>
      </c>
      <c r="D1" s="13">
        <f>S15</f>
        <v>141</v>
      </c>
      <c r="E1" s="47" t="s">
        <v>46</v>
      </c>
      <c r="F1" s="13">
        <f>D1/B1</f>
        <v>141</v>
      </c>
      <c r="G1" s="47" t="s">
        <v>49</v>
      </c>
      <c r="H1" s="22" t="s">
        <v>116</v>
      </c>
      <c r="I1" s="23" t="s">
        <v>51</v>
      </c>
      <c r="J1" s="22">
        <v>0.54</v>
      </c>
      <c r="K1" s="57" t="s">
        <v>52</v>
      </c>
      <c r="L1" s="3">
        <v>85</v>
      </c>
      <c r="U1" s="235" t="s">
        <v>321</v>
      </c>
      <c r="V1" s="232">
        <v>139</v>
      </c>
    </row>
    <row r="2" spans="1:24" ht="14.25" customHeight="1" x14ac:dyDescent="0.3">
      <c r="A2" s="59"/>
      <c r="B2" s="242" t="s">
        <v>117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4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4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151" t="s">
        <v>78</v>
      </c>
      <c r="K4" s="151" t="s">
        <v>79</v>
      </c>
      <c r="L4" s="151" t="s">
        <v>80</v>
      </c>
    </row>
    <row r="5" spans="1:24" ht="14.75" customHeight="1" x14ac:dyDescent="0.35">
      <c r="A5" s="14" t="s">
        <v>4</v>
      </c>
      <c r="B5" s="56" t="s">
        <v>145</v>
      </c>
      <c r="C5" s="19" t="s">
        <v>7</v>
      </c>
      <c r="D5" s="52">
        <f>58/J1</f>
        <v>107.4074074074074</v>
      </c>
      <c r="E5" s="15">
        <f t="shared" ref="E5:E18" si="0">$F$1</f>
        <v>141</v>
      </c>
      <c r="F5" s="16">
        <v>1</v>
      </c>
      <c r="G5" s="15">
        <f t="shared" ref="G5:G18" si="1">E5*D5</f>
        <v>15144.444444444443</v>
      </c>
      <c r="H5" s="167">
        <f t="shared" ref="H5:H18" si="2">G5*F5</f>
        <v>15144.444444444443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17609.819121447028</v>
      </c>
      <c r="L5" s="169">
        <f t="shared" ref="L5:L14" si="3">J5*K5</f>
        <v>301127.90697674418</v>
      </c>
      <c r="O5">
        <v>15323</v>
      </c>
    </row>
    <row r="6" spans="1:24" ht="14.75" customHeight="1" x14ac:dyDescent="0.35">
      <c r="A6" s="14" t="s">
        <v>26</v>
      </c>
      <c r="B6" s="56" t="s">
        <v>197</v>
      </c>
      <c r="C6" s="19" t="s">
        <v>7</v>
      </c>
      <c r="D6" s="18">
        <f t="shared" ref="D6:D13" si="4">O6/145</f>
        <v>3.1448275862068966</v>
      </c>
      <c r="E6" s="15">
        <f t="shared" si="0"/>
        <v>141</v>
      </c>
      <c r="F6" s="16">
        <v>1</v>
      </c>
      <c r="G6" s="15">
        <f t="shared" si="1"/>
        <v>443.4206896551724</v>
      </c>
      <c r="H6" s="167">
        <f t="shared" si="2"/>
        <v>443.4206896551724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527.88177339901483</v>
      </c>
      <c r="L6" s="169">
        <f t="shared" si="3"/>
        <v>1372.4926108374386</v>
      </c>
      <c r="O6">
        <v>456</v>
      </c>
    </row>
    <row r="7" spans="1:24" ht="14.75" customHeight="1" x14ac:dyDescent="0.35">
      <c r="A7" s="14" t="s">
        <v>40</v>
      </c>
      <c r="B7" s="56" t="s">
        <v>176</v>
      </c>
      <c r="C7" s="19" t="s">
        <v>7</v>
      </c>
      <c r="D7" s="18">
        <f t="shared" si="4"/>
        <v>0.20965517241379308</v>
      </c>
      <c r="E7" s="15">
        <f t="shared" si="0"/>
        <v>141</v>
      </c>
      <c r="F7" s="16">
        <v>1</v>
      </c>
      <c r="G7" s="15">
        <f t="shared" si="1"/>
        <v>29.561379310344826</v>
      </c>
      <c r="H7" s="167">
        <f t="shared" si="2"/>
        <v>29.561379310344826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29.561379310344826</v>
      </c>
      <c r="L7" s="169">
        <f t="shared" si="3"/>
        <v>916.40275862068961</v>
      </c>
      <c r="O7">
        <v>30.4</v>
      </c>
    </row>
    <row r="8" spans="1:24" ht="14.75" customHeight="1" x14ac:dyDescent="0.35">
      <c r="A8" s="14" t="s">
        <v>26</v>
      </c>
      <c r="B8" s="56" t="s">
        <v>383</v>
      </c>
      <c r="C8" s="19" t="s">
        <v>7</v>
      </c>
      <c r="D8" s="18">
        <f t="shared" si="4"/>
        <v>3.4979310344827583</v>
      </c>
      <c r="E8" s="15">
        <f t="shared" si="0"/>
        <v>141</v>
      </c>
      <c r="F8" s="16">
        <v>1</v>
      </c>
      <c r="G8" s="15">
        <f t="shared" si="1"/>
        <v>493.20827586206894</v>
      </c>
      <c r="H8" s="167">
        <f t="shared" si="2"/>
        <v>493.20827586206894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685.0114942528736</v>
      </c>
      <c r="L8" s="169">
        <f t="shared" si="3"/>
        <v>5822.597701149426</v>
      </c>
      <c r="O8">
        <v>507.2</v>
      </c>
    </row>
    <row r="9" spans="1:24" ht="14.75" customHeight="1" x14ac:dyDescent="0.35">
      <c r="A9" s="14" t="s">
        <v>26</v>
      </c>
      <c r="B9" s="56" t="s">
        <v>193</v>
      </c>
      <c r="C9" s="19" t="s">
        <v>7</v>
      </c>
      <c r="D9" s="18">
        <f t="shared" si="4"/>
        <v>6.2827586206896555</v>
      </c>
      <c r="E9" s="15">
        <f t="shared" si="0"/>
        <v>141</v>
      </c>
      <c r="F9" s="16">
        <v>1</v>
      </c>
      <c r="G9" s="15">
        <f t="shared" si="1"/>
        <v>885.86896551724146</v>
      </c>
      <c r="H9" s="167">
        <f t="shared" si="2"/>
        <v>885.86896551724146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1054.6059113300494</v>
      </c>
      <c r="L9" s="169">
        <f t="shared" si="3"/>
        <v>3124.7582557927385</v>
      </c>
      <c r="O9">
        <v>911</v>
      </c>
    </row>
    <row r="10" spans="1:24" ht="14.75" customHeight="1" x14ac:dyDescent="0.35">
      <c r="A10" s="14" t="s">
        <v>12</v>
      </c>
      <c r="B10" s="55" t="s">
        <v>167</v>
      </c>
      <c r="C10" s="19" t="s">
        <v>7</v>
      </c>
      <c r="D10" s="18">
        <f t="shared" si="4"/>
        <v>12.455172413793104</v>
      </c>
      <c r="E10" s="15">
        <f t="shared" si="0"/>
        <v>141</v>
      </c>
      <c r="F10" s="16">
        <v>1</v>
      </c>
      <c r="G10" s="15">
        <f t="shared" si="1"/>
        <v>1756.1793103448276</v>
      </c>
      <c r="H10" s="167">
        <f t="shared" si="2"/>
        <v>1756.1793103448276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1756.1793103448276</v>
      </c>
      <c r="L10" s="169">
        <f t="shared" si="3"/>
        <v>11759.376662068966</v>
      </c>
      <c r="O10">
        <v>1806</v>
      </c>
      <c r="R10" s="244" t="s">
        <v>24</v>
      </c>
      <c r="S10" s="241"/>
    </row>
    <row r="11" spans="1:24" ht="14.75" customHeight="1" x14ac:dyDescent="0.35">
      <c r="A11" s="14" t="s">
        <v>41</v>
      </c>
      <c r="B11" s="55" t="s">
        <v>185</v>
      </c>
      <c r="C11" s="19" t="s">
        <v>7</v>
      </c>
      <c r="D11" s="18">
        <f t="shared" si="4"/>
        <v>12.586206896551724</v>
      </c>
      <c r="E11" s="15">
        <f t="shared" si="0"/>
        <v>141</v>
      </c>
      <c r="F11" s="16">
        <v>1</v>
      </c>
      <c r="G11" s="15">
        <f t="shared" si="1"/>
        <v>1774.655172413793</v>
      </c>
      <c r="H11" s="15">
        <f t="shared" si="2"/>
        <v>1774.655172413793</v>
      </c>
      <c r="I11" s="14">
        <f>VLOOKUP(B11,Ordering!$A$1:$J$88,6,FALSE)</f>
        <v>1</v>
      </c>
      <c r="J11" s="14">
        <f>VLOOKUP(B11,Ordering!$A$1:$J$88,10,FALSE)</f>
        <v>6.4189189189189184</v>
      </c>
      <c r="K11" s="14">
        <f t="shared" si="5"/>
        <v>1774.655172413793</v>
      </c>
      <c r="L11" s="156">
        <f t="shared" si="3"/>
        <v>11391.367660764212</v>
      </c>
      <c r="O11">
        <v>1825</v>
      </c>
      <c r="R11" s="236" t="s">
        <v>62</v>
      </c>
      <c r="S11" s="237"/>
    </row>
    <row r="12" spans="1:24" ht="15" customHeight="1" thickBot="1" x14ac:dyDescent="0.4">
      <c r="A12" s="14" t="s">
        <v>40</v>
      </c>
      <c r="B12" s="55" t="s">
        <v>179</v>
      </c>
      <c r="C12" s="19" t="s">
        <v>7</v>
      </c>
      <c r="D12" s="18">
        <f t="shared" si="4"/>
        <v>0.49793103448275866</v>
      </c>
      <c r="E12" s="15">
        <f t="shared" si="0"/>
        <v>141</v>
      </c>
      <c r="F12" s="16">
        <v>1</v>
      </c>
      <c r="G12" s="15">
        <f t="shared" si="1"/>
        <v>70.208275862068973</v>
      </c>
      <c r="H12" s="15">
        <f t="shared" si="2"/>
        <v>70.208275862068973</v>
      </c>
      <c r="I12" s="14">
        <f>VLOOKUP(B12,Ordering!$A$1:$J$88,6,FALSE)</f>
        <v>1</v>
      </c>
      <c r="J12" s="14">
        <f>VLOOKUP(B12,Ordering!$A$1:$J$88,10,FALSE)</f>
        <v>64.243759177679877</v>
      </c>
      <c r="K12" s="14">
        <f t="shared" si="5"/>
        <v>70.208275862068973</v>
      </c>
      <c r="L12" s="156">
        <f t="shared" si="3"/>
        <v>4510.4435667628741</v>
      </c>
      <c r="O12">
        <v>72.2</v>
      </c>
      <c r="R12" s="5" t="s">
        <v>63</v>
      </c>
      <c r="S12" s="6" t="s">
        <v>81</v>
      </c>
    </row>
    <row r="13" spans="1:24" ht="15" customHeight="1" thickBot="1" x14ac:dyDescent="0.4">
      <c r="A13" s="14" t="s">
        <v>40</v>
      </c>
      <c r="B13" s="55" t="s">
        <v>175</v>
      </c>
      <c r="C13" s="19" t="s">
        <v>7</v>
      </c>
      <c r="D13" s="18">
        <f t="shared" si="4"/>
        <v>0.28482758620689652</v>
      </c>
      <c r="E13" s="15">
        <f t="shared" si="0"/>
        <v>141</v>
      </c>
      <c r="F13" s="16">
        <v>1</v>
      </c>
      <c r="G13" s="15">
        <f t="shared" si="1"/>
        <v>40.160689655172412</v>
      </c>
      <c r="H13" s="15">
        <f t="shared" si="2"/>
        <v>40.160689655172412</v>
      </c>
      <c r="I13" s="14">
        <f>VLOOKUP(B13,Ordering!$A$1:$J$88,6,FALSE)</f>
        <v>1</v>
      </c>
      <c r="J13" s="14">
        <f>VLOOKUP(B13,Ordering!$A$1:$J$88,10,FALSE)</f>
        <v>0.74</v>
      </c>
      <c r="K13" s="14">
        <f t="shared" si="5"/>
        <v>40.160689655172412</v>
      </c>
      <c r="L13" s="156">
        <f t="shared" si="3"/>
        <v>29.718910344827584</v>
      </c>
      <c r="O13">
        <v>41.3</v>
      </c>
      <c r="R13" s="7" t="s">
        <v>82</v>
      </c>
      <c r="S13" s="8">
        <f>V1</f>
        <v>139</v>
      </c>
      <c r="T13" s="11"/>
    </row>
    <row r="14" spans="1:24" ht="15" customHeight="1" thickBot="1" x14ac:dyDescent="0.4">
      <c r="A14" s="14" t="s">
        <v>4</v>
      </c>
      <c r="B14" s="58" t="s">
        <v>375</v>
      </c>
      <c r="C14" s="19" t="s">
        <v>7</v>
      </c>
      <c r="D14" s="18">
        <v>27</v>
      </c>
      <c r="E14" s="15">
        <f t="shared" si="0"/>
        <v>141</v>
      </c>
      <c r="F14" s="16">
        <v>1</v>
      </c>
      <c r="G14" s="15">
        <f t="shared" si="1"/>
        <v>3807</v>
      </c>
      <c r="H14" s="15">
        <f t="shared" si="2"/>
        <v>3807</v>
      </c>
      <c r="I14" s="14">
        <f>VLOOKUP(B14,Ordering!$A$1:$J$88,6,FALSE)</f>
        <v>1</v>
      </c>
      <c r="J14" s="14">
        <f>VLOOKUP(B14,Ordering!$A$1:$J$88,10,FALSE)</f>
        <v>65</v>
      </c>
      <c r="K14" s="14">
        <f t="shared" si="5"/>
        <v>3807</v>
      </c>
      <c r="L14" s="156">
        <f t="shared" si="3"/>
        <v>247455</v>
      </c>
      <c r="R14" s="7" t="s">
        <v>83</v>
      </c>
      <c r="S14" s="9">
        <v>2</v>
      </c>
    </row>
    <row r="15" spans="1:24" ht="14.75" customHeight="1" x14ac:dyDescent="0.35">
      <c r="A15" s="14" t="s">
        <v>26</v>
      </c>
      <c r="B15" s="58" t="s">
        <v>381</v>
      </c>
      <c r="C15" s="19" t="s">
        <v>7</v>
      </c>
      <c r="D15" s="18">
        <v>43</v>
      </c>
      <c r="E15" s="15">
        <f t="shared" si="0"/>
        <v>141</v>
      </c>
      <c r="F15" s="16">
        <v>1</v>
      </c>
      <c r="G15" s="15">
        <f t="shared" si="1"/>
        <v>6063</v>
      </c>
      <c r="H15" s="15">
        <f t="shared" si="2"/>
        <v>6063</v>
      </c>
      <c r="I15" s="14">
        <f>VLOOKUP(B15,Ordering!$A$1:$J$88,6,FALSE)</f>
        <v>0.66</v>
      </c>
      <c r="J15" s="14">
        <f>VLOOKUP(B15,Ordering!$A$1:$J$88,10,FALSE)</f>
        <v>3.5</v>
      </c>
      <c r="K15" s="14">
        <f t="shared" ref="K15:K18" si="6">(H15/I15)/1000</f>
        <v>9.1863636363636356</v>
      </c>
      <c r="L15" s="156">
        <f t="shared" ref="L15:L18" si="7">J15*K15</f>
        <v>32.152272727272724</v>
      </c>
      <c r="R15" s="10" t="s">
        <v>84</v>
      </c>
      <c r="S15" s="11">
        <f>S13+S14</f>
        <v>141</v>
      </c>
    </row>
    <row r="16" spans="1:24" ht="14.75" customHeight="1" x14ac:dyDescent="0.35">
      <c r="A16" s="14" t="s">
        <v>12</v>
      </c>
      <c r="B16" s="58" t="s">
        <v>331</v>
      </c>
      <c r="C16" s="19" t="s">
        <v>5</v>
      </c>
      <c r="D16" s="18">
        <v>1</v>
      </c>
      <c r="E16" s="15">
        <f t="shared" si="0"/>
        <v>141</v>
      </c>
      <c r="F16" s="16">
        <v>1</v>
      </c>
      <c r="G16" s="15">
        <f t="shared" si="1"/>
        <v>141</v>
      </c>
      <c r="H16" s="15">
        <f t="shared" si="2"/>
        <v>141</v>
      </c>
      <c r="I16" s="14">
        <f>VLOOKUP(B16,Ordering!$A$1:$J$88,6,FALSE)</f>
        <v>1</v>
      </c>
      <c r="J16" s="14">
        <f>VLOOKUP(B16,Ordering!$A$1:$J$88,10,FALSE)</f>
        <v>0.58333333333333337</v>
      </c>
      <c r="K16" s="14">
        <f t="shared" si="6"/>
        <v>0.14099999999999999</v>
      </c>
      <c r="L16" s="156">
        <f t="shared" si="7"/>
        <v>8.2250000000000004E-2</v>
      </c>
      <c r="R16" s="53"/>
      <c r="S16" s="11"/>
    </row>
    <row r="17" spans="1:12" ht="14.75" customHeight="1" x14ac:dyDescent="0.35">
      <c r="A17" s="14" t="s">
        <v>26</v>
      </c>
      <c r="B17" s="58" t="s">
        <v>377</v>
      </c>
      <c r="C17" s="19" t="s">
        <v>7</v>
      </c>
      <c r="D17" s="18">
        <v>7.5</v>
      </c>
      <c r="E17" s="15">
        <f t="shared" si="0"/>
        <v>141</v>
      </c>
      <c r="F17" s="16">
        <v>1</v>
      </c>
      <c r="G17" s="15">
        <f t="shared" si="1"/>
        <v>1057.5</v>
      </c>
      <c r="H17" s="15">
        <f t="shared" si="2"/>
        <v>1057.5</v>
      </c>
      <c r="I17" s="14">
        <f>VLOOKUP(B17,Ordering!$A$1:$J$88,6,FALSE)</f>
        <v>0.56999999999999995</v>
      </c>
      <c r="J17" s="14">
        <f>VLOOKUP(B17,Ordering!$A$1:$J$88,10,FALSE)</f>
        <v>8.5</v>
      </c>
      <c r="K17" s="14">
        <f t="shared" si="6"/>
        <v>1.8552631578947372</v>
      </c>
      <c r="L17" s="156">
        <f t="shared" si="7"/>
        <v>15.769736842105265</v>
      </c>
    </row>
    <row r="18" spans="1:12" ht="14.75" customHeight="1" x14ac:dyDescent="0.35">
      <c r="A18" s="14" t="s">
        <v>38</v>
      </c>
      <c r="B18" s="58" t="s">
        <v>363</v>
      </c>
      <c r="C18" s="19" t="s">
        <v>5</v>
      </c>
      <c r="D18" s="18">
        <v>3</v>
      </c>
      <c r="E18" s="15">
        <f t="shared" si="0"/>
        <v>141</v>
      </c>
      <c r="F18" s="16">
        <v>1</v>
      </c>
      <c r="G18" s="15">
        <f t="shared" si="1"/>
        <v>423</v>
      </c>
      <c r="H18" s="15">
        <f t="shared" si="2"/>
        <v>423</v>
      </c>
      <c r="I18" s="14">
        <f>VLOOKUP(B18,Ordering!$A$1:$J$88,6,FALSE)</f>
        <v>1</v>
      </c>
      <c r="J18" s="14">
        <f>VLOOKUP(B18,Ordering!$A$1:$J$88,10,FALSE)</f>
        <v>0.26749999999999996</v>
      </c>
      <c r="K18" s="14">
        <f t="shared" si="6"/>
        <v>0.42299999999999999</v>
      </c>
      <c r="L18" s="156">
        <f t="shared" si="7"/>
        <v>0.11315249999999998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6" orientation="landscape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1">
    <tabColor theme="4" tint="-0.249977111117893"/>
    <pageSetUpPr fitToPage="1"/>
  </sheetPr>
  <dimension ref="A1:V19"/>
  <sheetViews>
    <sheetView topLeftCell="C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2" ht="25.25" customHeight="1" x14ac:dyDescent="0.3">
      <c r="A1" s="47" t="s">
        <v>70</v>
      </c>
      <c r="B1" s="12">
        <v>1</v>
      </c>
      <c r="C1" s="47" t="s">
        <v>45</v>
      </c>
      <c r="D1" s="13">
        <f>S15</f>
        <v>91</v>
      </c>
      <c r="F1" s="47" t="s">
        <v>46</v>
      </c>
      <c r="G1" s="13">
        <f>D1/B1</f>
        <v>91</v>
      </c>
      <c r="H1" s="47" t="s">
        <v>71</v>
      </c>
      <c r="I1" s="46" t="s">
        <v>101</v>
      </c>
      <c r="M1" s="22">
        <v>0.5</v>
      </c>
      <c r="U1" s="235" t="s">
        <v>321</v>
      </c>
      <c r="V1" s="232">
        <v>89</v>
      </c>
    </row>
    <row r="2" spans="1:22" ht="14.25" customHeight="1" x14ac:dyDescent="0.3">
      <c r="A2" s="59"/>
      <c r="B2" s="242" t="s">
        <v>102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2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2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2" ht="15.5" customHeight="1" thickTop="1" thickBot="1" x14ac:dyDescent="0.4">
      <c r="A5" s="14" t="s">
        <v>4</v>
      </c>
      <c r="B5" s="14" t="s">
        <v>144</v>
      </c>
      <c r="C5" s="19" t="s">
        <v>5</v>
      </c>
      <c r="D5" s="18">
        <v>2</v>
      </c>
      <c r="E5" s="15">
        <f t="shared" ref="E5:E12" si="0">$G$1</f>
        <v>91</v>
      </c>
      <c r="F5" s="16">
        <v>1</v>
      </c>
      <c r="G5" s="15">
        <f t="shared" ref="G5:G12" si="1">E5*D5</f>
        <v>182</v>
      </c>
      <c r="H5" s="167">
        <f t="shared" ref="H5:H12" si="2">G5*F5</f>
        <v>182</v>
      </c>
      <c r="I5" s="167">
        <f>VLOOKUP(B5,Ordering!$A$1:$J$88,6,FALSE)</f>
        <v>0.96</v>
      </c>
      <c r="J5" s="167">
        <f>VLOOKUP(B5,Ordering!$A$1:$J$88,10,FALSE)</f>
        <v>0.43333333333333335</v>
      </c>
      <c r="K5" s="167">
        <f>(H5/I5)</f>
        <v>189.58333333333334</v>
      </c>
      <c r="L5" s="169">
        <f t="shared" ref="L5:L12" si="3">J5*K5</f>
        <v>82.152777777777786</v>
      </c>
      <c r="N5" s="1"/>
    </row>
    <row r="6" spans="1:22" ht="15.5" customHeight="1" thickTop="1" thickBot="1" x14ac:dyDescent="0.4">
      <c r="A6" s="14" t="s">
        <v>26</v>
      </c>
      <c r="B6" s="14" t="s">
        <v>383</v>
      </c>
      <c r="C6" s="19" t="s">
        <v>7</v>
      </c>
      <c r="D6" s="18">
        <f t="shared" ref="D6:D11" si="4">N6/80</f>
        <v>25</v>
      </c>
      <c r="E6" s="15">
        <f t="shared" si="0"/>
        <v>91</v>
      </c>
      <c r="F6" s="16">
        <v>1</v>
      </c>
      <c r="G6" s="15">
        <f t="shared" si="1"/>
        <v>2275</v>
      </c>
      <c r="H6" s="167">
        <f t="shared" si="2"/>
        <v>2275</v>
      </c>
      <c r="I6" s="167">
        <f>VLOOKUP(B6,Ordering!$A$1:$J$88,6,FALSE)</f>
        <v>0.72</v>
      </c>
      <c r="J6" s="167">
        <f>VLOOKUP(B6,Ordering!$A$1:$J$88,10,FALSE)</f>
        <v>8.5</v>
      </c>
      <c r="K6" s="167">
        <f t="shared" ref="K6:K12" si="5">(H6/I6)</f>
        <v>3159.7222222222222</v>
      </c>
      <c r="L6" s="169">
        <f t="shared" si="3"/>
        <v>26857.638888888887</v>
      </c>
      <c r="N6" s="1">
        <v>2000</v>
      </c>
    </row>
    <row r="7" spans="1:22" ht="15.5" customHeight="1" thickTop="1" thickBot="1" x14ac:dyDescent="0.4">
      <c r="A7" s="14" t="s">
        <v>26</v>
      </c>
      <c r="B7" s="14" t="s">
        <v>198</v>
      </c>
      <c r="C7" s="19" t="s">
        <v>7</v>
      </c>
      <c r="D7" s="18">
        <f t="shared" si="4"/>
        <v>2.625</v>
      </c>
      <c r="E7" s="15">
        <f t="shared" si="0"/>
        <v>91</v>
      </c>
      <c r="F7" s="16">
        <v>1</v>
      </c>
      <c r="G7" s="15">
        <f t="shared" si="1"/>
        <v>238.875</v>
      </c>
      <c r="H7" s="167">
        <f t="shared" si="2"/>
        <v>238.875</v>
      </c>
      <c r="I7" s="167">
        <f>VLOOKUP(B7,Ordering!$A$1:$J$88,6,FALSE)</f>
        <v>1</v>
      </c>
      <c r="J7" s="167">
        <f>VLOOKUP(B7,Ordering!$A$1:$J$88,10,FALSE)</f>
        <v>22</v>
      </c>
      <c r="K7" s="167">
        <f t="shared" si="5"/>
        <v>238.875</v>
      </c>
      <c r="L7" s="169">
        <f t="shared" si="3"/>
        <v>5255.25</v>
      </c>
      <c r="N7" s="1">
        <v>210</v>
      </c>
    </row>
    <row r="8" spans="1:22" ht="15.5" customHeight="1" thickTop="1" thickBot="1" x14ac:dyDescent="0.4">
      <c r="A8" s="14" t="s">
        <v>26</v>
      </c>
      <c r="B8" s="14" t="s">
        <v>191</v>
      </c>
      <c r="C8" s="19" t="s">
        <v>7</v>
      </c>
      <c r="D8" s="18">
        <f t="shared" si="4"/>
        <v>6.25</v>
      </c>
      <c r="E8" s="15">
        <f t="shared" si="0"/>
        <v>91</v>
      </c>
      <c r="F8" s="16">
        <v>1</v>
      </c>
      <c r="G8" s="15">
        <f t="shared" si="1"/>
        <v>568.75</v>
      </c>
      <c r="H8" s="167">
        <f t="shared" si="2"/>
        <v>568.75</v>
      </c>
      <c r="I8" s="167">
        <f>VLOOKUP(B8,Ordering!$A$1:$J$88,6,FALSE)</f>
        <v>0.98</v>
      </c>
      <c r="J8" s="167">
        <f>VLOOKUP(B8,Ordering!$A$1:$J$88,10,FALSE)</f>
        <v>3.5</v>
      </c>
      <c r="K8" s="167">
        <f t="shared" si="5"/>
        <v>580.35714285714289</v>
      </c>
      <c r="L8" s="169">
        <f t="shared" si="3"/>
        <v>2031.25</v>
      </c>
      <c r="N8" s="1">
        <v>500</v>
      </c>
    </row>
    <row r="9" spans="1:22" ht="15.5" customHeight="1" thickTop="1" thickBot="1" x14ac:dyDescent="0.4">
      <c r="A9" s="14" t="s">
        <v>26</v>
      </c>
      <c r="B9" s="14" t="s">
        <v>192</v>
      </c>
      <c r="C9" s="19" t="s">
        <v>7</v>
      </c>
      <c r="D9" s="18">
        <f t="shared" si="4"/>
        <v>6.25</v>
      </c>
      <c r="E9" s="15">
        <f t="shared" si="0"/>
        <v>91</v>
      </c>
      <c r="F9" s="16">
        <v>1</v>
      </c>
      <c r="G9" s="15">
        <f t="shared" si="1"/>
        <v>568.75</v>
      </c>
      <c r="H9" s="167">
        <f t="shared" si="2"/>
        <v>568.75</v>
      </c>
      <c r="I9" s="167">
        <f>VLOOKUP(B9,Ordering!$A$1:$J$88,6,FALSE)</f>
        <v>0.9</v>
      </c>
      <c r="J9" s="167">
        <f>VLOOKUP(B9,Ordering!$A$1:$J$88,10,FALSE)</f>
        <v>3</v>
      </c>
      <c r="K9" s="167">
        <f t="shared" si="5"/>
        <v>631.94444444444446</v>
      </c>
      <c r="L9" s="169">
        <f t="shared" si="3"/>
        <v>1895.8333333333335</v>
      </c>
      <c r="N9" s="1">
        <v>500</v>
      </c>
    </row>
    <row r="10" spans="1:22" ht="15.5" customHeight="1" thickTop="1" thickBot="1" x14ac:dyDescent="0.4">
      <c r="A10" s="14" t="s">
        <v>40</v>
      </c>
      <c r="B10" s="14" t="s">
        <v>175</v>
      </c>
      <c r="C10" s="19" t="s">
        <v>7</v>
      </c>
      <c r="D10" s="18">
        <f t="shared" si="4"/>
        <v>0.375</v>
      </c>
      <c r="E10" s="15">
        <f t="shared" si="0"/>
        <v>91</v>
      </c>
      <c r="F10" s="16">
        <v>1</v>
      </c>
      <c r="G10" s="15">
        <f t="shared" si="1"/>
        <v>34.125</v>
      </c>
      <c r="H10" s="167">
        <f t="shared" si="2"/>
        <v>34.125</v>
      </c>
      <c r="I10" s="167">
        <f>VLOOKUP(B10,Ordering!$A$1:$J$88,6,FALSE)</f>
        <v>1</v>
      </c>
      <c r="J10" s="167">
        <f>VLOOKUP(B10,Ordering!$A$1:$J$88,10,FALSE)</f>
        <v>0.74</v>
      </c>
      <c r="K10" s="167">
        <f t="shared" si="5"/>
        <v>34.125</v>
      </c>
      <c r="L10" s="169">
        <f t="shared" si="3"/>
        <v>25.252500000000001</v>
      </c>
      <c r="N10" s="1">
        <v>30</v>
      </c>
      <c r="R10" s="244" t="s">
        <v>16</v>
      </c>
      <c r="S10" s="241"/>
    </row>
    <row r="11" spans="1:22" ht="15.5" customHeight="1" thickTop="1" thickBot="1" x14ac:dyDescent="0.4">
      <c r="A11" s="14" t="s">
        <v>40</v>
      </c>
      <c r="B11" s="14" t="s">
        <v>176</v>
      </c>
      <c r="C11" s="19" t="s">
        <v>7</v>
      </c>
      <c r="D11" s="18">
        <f t="shared" si="4"/>
        <v>0.25</v>
      </c>
      <c r="E11" s="15">
        <f t="shared" si="0"/>
        <v>91</v>
      </c>
      <c r="F11" s="16">
        <v>1</v>
      </c>
      <c r="G11" s="15">
        <f t="shared" si="1"/>
        <v>22.75</v>
      </c>
      <c r="H11" s="15">
        <f t="shared" si="2"/>
        <v>22.75</v>
      </c>
      <c r="I11" s="14">
        <f>VLOOKUP(B11,Ordering!$A$1:$J$88,6,FALSE)</f>
        <v>1</v>
      </c>
      <c r="J11" s="14">
        <f>VLOOKUP(B11,Ordering!$A$1:$J$88,10,FALSE)</f>
        <v>31</v>
      </c>
      <c r="K11" s="14">
        <f t="shared" si="5"/>
        <v>22.75</v>
      </c>
      <c r="L11" s="156">
        <f t="shared" si="3"/>
        <v>705.25</v>
      </c>
      <c r="N11" s="1">
        <v>20</v>
      </c>
      <c r="R11" s="236" t="s">
        <v>62</v>
      </c>
      <c r="S11" s="237"/>
    </row>
    <row r="12" spans="1:22" ht="15.5" customHeight="1" thickTop="1" thickBot="1" x14ac:dyDescent="0.4">
      <c r="A12" s="14" t="s">
        <v>38</v>
      </c>
      <c r="B12" s="14" t="s">
        <v>363</v>
      </c>
      <c r="C12" s="19" t="s">
        <v>5</v>
      </c>
      <c r="D12" s="18">
        <v>2</v>
      </c>
      <c r="E12" s="15">
        <f t="shared" si="0"/>
        <v>91</v>
      </c>
      <c r="F12" s="16">
        <v>1</v>
      </c>
      <c r="G12" s="15">
        <f t="shared" si="1"/>
        <v>182</v>
      </c>
      <c r="H12" s="15">
        <f t="shared" si="2"/>
        <v>182</v>
      </c>
      <c r="I12" s="14">
        <f>VLOOKUP(B12,Ordering!$A$1:$J$88,6,FALSE)</f>
        <v>1</v>
      </c>
      <c r="J12" s="14">
        <f>VLOOKUP(B12,Ordering!$A$1:$J$88,10,FALSE)</f>
        <v>0.26749999999999996</v>
      </c>
      <c r="K12" s="14">
        <f t="shared" si="5"/>
        <v>182</v>
      </c>
      <c r="L12" s="156">
        <f t="shared" si="3"/>
        <v>48.684999999999995</v>
      </c>
      <c r="N12" s="1"/>
      <c r="R12" s="5" t="s">
        <v>63</v>
      </c>
      <c r="S12" s="6" t="s">
        <v>81</v>
      </c>
    </row>
    <row r="13" spans="1:22" ht="15" customHeight="1" thickTop="1" thickBot="1" x14ac:dyDescent="0.35">
      <c r="I13" s="94"/>
      <c r="J13" s="94"/>
      <c r="K13" s="94"/>
      <c r="L13" s="84"/>
      <c r="R13" s="7" t="s">
        <v>82</v>
      </c>
      <c r="S13" s="8">
        <f>V1</f>
        <v>89</v>
      </c>
    </row>
    <row r="14" spans="1:22" ht="14.75" customHeight="1" thickBot="1" x14ac:dyDescent="0.35">
      <c r="I14" s="94"/>
      <c r="J14" s="94"/>
      <c r="K14" s="94"/>
      <c r="L14" s="84"/>
      <c r="R14" s="7" t="s">
        <v>83</v>
      </c>
      <c r="S14" s="9">
        <v>2</v>
      </c>
    </row>
    <row r="15" spans="1:22" x14ac:dyDescent="0.3">
      <c r="I15" s="94"/>
      <c r="J15" s="94"/>
      <c r="K15" s="94"/>
      <c r="L15" s="84"/>
      <c r="R15" s="10" t="s">
        <v>84</v>
      </c>
      <c r="S15" s="11">
        <f>S13+S14</f>
        <v>91</v>
      </c>
    </row>
    <row r="16" spans="1:22" x14ac:dyDescent="0.3">
      <c r="I16" s="94"/>
      <c r="J16" s="94"/>
      <c r="K16" s="94"/>
      <c r="L16" s="84"/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>
    <tabColor theme="4" tint="-0.249977111117893"/>
    <pageSetUpPr fitToPage="1"/>
  </sheetPr>
  <dimension ref="A1:V22"/>
  <sheetViews>
    <sheetView topLeftCell="D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9140625" bestFit="1" customWidth="1"/>
    <col min="9" max="9" width="8.6640625" bestFit="1" customWidth="1"/>
    <col min="10" max="10" width="14.58203125" bestFit="1" customWidth="1"/>
    <col min="11" max="11" width="10.9140625" customWidth="1"/>
    <col min="12" max="12" width="9.25" bestFit="1" customWidth="1"/>
    <col min="19" max="19" width="8.5" bestFit="1" customWidth="1"/>
  </cols>
  <sheetData>
    <row r="1" spans="1:22" ht="25.25" customHeight="1" x14ac:dyDescent="0.3">
      <c r="A1" s="47" t="s">
        <v>70</v>
      </c>
      <c r="B1" s="12">
        <v>1</v>
      </c>
      <c r="C1" s="47" t="s">
        <v>45</v>
      </c>
      <c r="D1" s="13">
        <f>S15</f>
        <v>112</v>
      </c>
      <c r="F1" s="47" t="s">
        <v>46</v>
      </c>
      <c r="G1" s="13">
        <f>D1/B1</f>
        <v>112</v>
      </c>
      <c r="H1" s="47" t="s">
        <v>85</v>
      </c>
      <c r="I1" s="13" t="s">
        <v>88</v>
      </c>
      <c r="K1" s="49" t="s">
        <v>86</v>
      </c>
      <c r="U1" s="235" t="s">
        <v>321</v>
      </c>
      <c r="V1" s="232">
        <v>110</v>
      </c>
    </row>
    <row r="2" spans="1:22" ht="14.25" customHeight="1" x14ac:dyDescent="0.3">
      <c r="A2" s="59"/>
      <c r="B2" s="242" t="s">
        <v>89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2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2" ht="39.5" customHeight="1" thickBot="1" x14ac:dyDescent="0.35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2" ht="15.5" customHeight="1" thickTop="1" thickBot="1" x14ac:dyDescent="0.4">
      <c r="A5" s="14" t="s">
        <v>4</v>
      </c>
      <c r="B5" s="14" t="s">
        <v>375</v>
      </c>
      <c r="C5" s="19" t="s">
        <v>7</v>
      </c>
      <c r="D5" s="18">
        <f>N5*0.75</f>
        <v>14.25</v>
      </c>
      <c r="E5" s="15">
        <f t="shared" ref="E5:E10" si="0">$G$1</f>
        <v>112</v>
      </c>
      <c r="F5" s="16">
        <v>1</v>
      </c>
      <c r="G5" s="15">
        <f t="shared" ref="G5:G10" si="1">E5*D5</f>
        <v>1596</v>
      </c>
      <c r="H5" s="167">
        <f t="shared" ref="H5:H10" si="2">G5*F5</f>
        <v>1596</v>
      </c>
      <c r="I5" s="167">
        <f>VLOOKUP(B5,Ordering!$A$1:$J$88,6,FALSE)</f>
        <v>1</v>
      </c>
      <c r="J5" s="167">
        <f>VLOOKUP(B5,Ordering!$A$1:$J$88,10,FALSE)</f>
        <v>65</v>
      </c>
      <c r="K5" s="167">
        <f>(H5/I5)</f>
        <v>1596</v>
      </c>
      <c r="L5" s="169">
        <f t="shared" ref="L5:L10" si="3">J5*K5</f>
        <v>103740</v>
      </c>
      <c r="N5" s="1">
        <v>19</v>
      </c>
    </row>
    <row r="6" spans="1:22" ht="15.5" customHeight="1" thickTop="1" thickBot="1" x14ac:dyDescent="0.4">
      <c r="A6" s="14" t="s">
        <v>26</v>
      </c>
      <c r="B6" s="14" t="s">
        <v>381</v>
      </c>
      <c r="C6" s="19" t="s">
        <v>7</v>
      </c>
      <c r="D6" s="18">
        <f>36*0.75</f>
        <v>27</v>
      </c>
      <c r="E6" s="15">
        <f t="shared" si="0"/>
        <v>112</v>
      </c>
      <c r="F6" s="16">
        <v>1</v>
      </c>
      <c r="G6" s="15">
        <f t="shared" si="1"/>
        <v>3024</v>
      </c>
      <c r="H6" s="167">
        <f t="shared" si="2"/>
        <v>3024</v>
      </c>
      <c r="I6" s="167">
        <f>VLOOKUP(B6,Ordering!$A$1:$J$88,6,FALSE)</f>
        <v>0.66</v>
      </c>
      <c r="J6" s="167">
        <f>VLOOKUP(B6,Ordering!$A$1:$J$88,10,FALSE)</f>
        <v>3.5</v>
      </c>
      <c r="K6" s="167">
        <f t="shared" ref="K6:K10" si="4">(H6/I6)</f>
        <v>4581.818181818182</v>
      </c>
      <c r="L6" s="169">
        <f t="shared" si="3"/>
        <v>16036.363636363636</v>
      </c>
      <c r="N6" s="1">
        <v>30</v>
      </c>
    </row>
    <row r="7" spans="1:22" ht="15.5" customHeight="1" thickTop="1" thickBot="1" x14ac:dyDescent="0.4">
      <c r="A7" s="14" t="s">
        <v>26</v>
      </c>
      <c r="B7" s="14" t="s">
        <v>377</v>
      </c>
      <c r="C7" s="19" t="s">
        <v>7</v>
      </c>
      <c r="D7" s="18">
        <f>N7*0.75</f>
        <v>3.75</v>
      </c>
      <c r="E7" s="15">
        <f t="shared" si="0"/>
        <v>112</v>
      </c>
      <c r="F7" s="16">
        <v>1</v>
      </c>
      <c r="G7" s="15">
        <f t="shared" si="1"/>
        <v>420</v>
      </c>
      <c r="H7" s="167">
        <f t="shared" si="2"/>
        <v>420</v>
      </c>
      <c r="I7" s="167">
        <f>VLOOKUP(B7,Ordering!$A$1:$J$88,6,FALSE)</f>
        <v>0.56999999999999995</v>
      </c>
      <c r="J7" s="167">
        <f>VLOOKUP(B7,Ordering!$A$1:$J$88,10,FALSE)</f>
        <v>8.5</v>
      </c>
      <c r="K7" s="167">
        <f t="shared" si="4"/>
        <v>736.84210526315792</v>
      </c>
      <c r="L7" s="169">
        <f t="shared" si="3"/>
        <v>6263.1578947368425</v>
      </c>
      <c r="N7" s="1">
        <v>5</v>
      </c>
    </row>
    <row r="8" spans="1:22" ht="15.5" customHeight="1" thickTop="1" thickBot="1" x14ac:dyDescent="0.4">
      <c r="A8" s="14" t="s">
        <v>41</v>
      </c>
      <c r="B8" s="14" t="s">
        <v>185</v>
      </c>
      <c r="C8" s="19" t="s">
        <v>7</v>
      </c>
      <c r="D8" s="18">
        <f>N8*0.75</f>
        <v>2.625</v>
      </c>
      <c r="E8" s="15">
        <f t="shared" si="0"/>
        <v>112</v>
      </c>
      <c r="F8" s="16">
        <v>1</v>
      </c>
      <c r="G8" s="15">
        <f t="shared" si="1"/>
        <v>294</v>
      </c>
      <c r="H8" s="167">
        <f t="shared" si="2"/>
        <v>294</v>
      </c>
      <c r="I8" s="167">
        <f>VLOOKUP(B8,Ordering!$A$1:$J$88,6,FALSE)</f>
        <v>1</v>
      </c>
      <c r="J8" s="167">
        <f>VLOOKUP(B8,Ordering!$A$1:$J$88,10,FALSE)</f>
        <v>6.4189189189189184</v>
      </c>
      <c r="K8" s="167">
        <f t="shared" si="4"/>
        <v>294</v>
      </c>
      <c r="L8" s="169">
        <f t="shared" si="3"/>
        <v>1887.1621621621621</v>
      </c>
      <c r="N8" s="1">
        <v>3.5</v>
      </c>
    </row>
    <row r="9" spans="1:22" ht="15.5" customHeight="1" thickTop="1" thickBot="1" x14ac:dyDescent="0.4">
      <c r="A9" s="14" t="s">
        <v>12</v>
      </c>
      <c r="B9" s="14" t="s">
        <v>331</v>
      </c>
      <c r="C9" s="19" t="s">
        <v>5</v>
      </c>
      <c r="D9" s="18">
        <f>1*0.75</f>
        <v>0.75</v>
      </c>
      <c r="E9" s="15">
        <f t="shared" si="0"/>
        <v>112</v>
      </c>
      <c r="F9" s="16">
        <v>1</v>
      </c>
      <c r="G9" s="15">
        <f t="shared" si="1"/>
        <v>84</v>
      </c>
      <c r="H9" s="167">
        <f t="shared" si="2"/>
        <v>84</v>
      </c>
      <c r="I9" s="167">
        <f>VLOOKUP(B9,Ordering!$A$1:$J$88,6,FALSE)</f>
        <v>1</v>
      </c>
      <c r="J9" s="167">
        <f>VLOOKUP(B9,Ordering!$A$1:$J$88,10,FALSE)</f>
        <v>0.58333333333333337</v>
      </c>
      <c r="K9" s="167">
        <f t="shared" si="4"/>
        <v>84</v>
      </c>
      <c r="L9" s="169">
        <f t="shared" si="3"/>
        <v>49</v>
      </c>
      <c r="N9" s="1"/>
    </row>
    <row r="10" spans="1:22" ht="15.5" customHeight="1" thickTop="1" thickBot="1" x14ac:dyDescent="0.4">
      <c r="A10" s="14" t="s">
        <v>38</v>
      </c>
      <c r="B10" s="14" t="s">
        <v>363</v>
      </c>
      <c r="C10" s="19" t="s">
        <v>5</v>
      </c>
      <c r="D10" s="18">
        <v>2</v>
      </c>
      <c r="E10" s="15">
        <f t="shared" si="0"/>
        <v>112</v>
      </c>
      <c r="F10" s="16">
        <v>1</v>
      </c>
      <c r="G10" s="15">
        <f t="shared" si="1"/>
        <v>224</v>
      </c>
      <c r="H10" s="167">
        <f t="shared" si="2"/>
        <v>224</v>
      </c>
      <c r="I10" s="167">
        <f>VLOOKUP(B10,Ordering!$A$1:$J$88,6,FALSE)</f>
        <v>1</v>
      </c>
      <c r="J10" s="167">
        <f>VLOOKUP(B10,Ordering!$A$1:$J$88,10,FALSE)</f>
        <v>0.26749999999999996</v>
      </c>
      <c r="K10" s="167">
        <f t="shared" si="4"/>
        <v>224</v>
      </c>
      <c r="L10" s="169">
        <f t="shared" si="3"/>
        <v>59.919999999999987</v>
      </c>
      <c r="N10" s="1"/>
      <c r="R10" s="244" t="s">
        <v>24</v>
      </c>
      <c r="S10" s="241"/>
    </row>
    <row r="11" spans="1:22" ht="15" customHeight="1" thickTop="1" thickBot="1" x14ac:dyDescent="0.35">
      <c r="I11" s="94"/>
      <c r="J11" s="94"/>
      <c r="K11" s="94"/>
      <c r="L11" s="84"/>
      <c r="N11" s="1"/>
      <c r="R11" s="236" t="s">
        <v>62</v>
      </c>
      <c r="S11" s="237"/>
    </row>
    <row r="12" spans="1:22" ht="15" customHeight="1" thickTop="1" thickBot="1" x14ac:dyDescent="0.35">
      <c r="I12" s="94"/>
      <c r="J12" s="94"/>
      <c r="K12" s="94"/>
      <c r="L12" s="84"/>
      <c r="N12" s="1"/>
      <c r="R12" s="5" t="s">
        <v>63</v>
      </c>
      <c r="S12" s="6" t="s">
        <v>81</v>
      </c>
    </row>
    <row r="13" spans="1:22" ht="15" customHeight="1" thickTop="1" thickBot="1" x14ac:dyDescent="0.35">
      <c r="I13" s="94"/>
      <c r="J13" s="94"/>
      <c r="K13" s="94"/>
      <c r="L13" s="84"/>
      <c r="N13" s="1"/>
      <c r="R13" s="7" t="s">
        <v>82</v>
      </c>
      <c r="S13" s="8">
        <f>V1</f>
        <v>110</v>
      </c>
    </row>
    <row r="14" spans="1:22" ht="15" customHeight="1" thickTop="1" thickBot="1" x14ac:dyDescent="0.35">
      <c r="I14" s="94"/>
      <c r="J14" s="94"/>
      <c r="K14" s="94"/>
      <c r="L14" s="84"/>
      <c r="N14" s="21"/>
      <c r="R14" s="7" t="s">
        <v>83</v>
      </c>
      <c r="S14" s="9">
        <v>2</v>
      </c>
    </row>
    <row r="15" spans="1:22" ht="14.75" customHeight="1" x14ac:dyDescent="0.3">
      <c r="I15" s="94"/>
      <c r="J15" s="94"/>
      <c r="K15" s="94"/>
      <c r="L15" s="84"/>
      <c r="R15" s="10" t="s">
        <v>84</v>
      </c>
      <c r="S15" s="11">
        <f>S13+S14</f>
        <v>112</v>
      </c>
    </row>
    <row r="16" spans="1:22" x14ac:dyDescent="0.3">
      <c r="I16" s="94"/>
      <c r="J16" s="94"/>
      <c r="K16" s="94"/>
      <c r="L16" s="84"/>
    </row>
    <row r="17" spans="9:12" x14ac:dyDescent="0.3">
      <c r="I17" s="94"/>
      <c r="J17" s="94"/>
      <c r="K17" s="94"/>
      <c r="L17" s="84"/>
    </row>
    <row r="18" spans="9:12" x14ac:dyDescent="0.3">
      <c r="I18" s="94"/>
      <c r="J18" s="94"/>
      <c r="K18" s="94"/>
      <c r="L18" s="84"/>
    </row>
    <row r="19" spans="9:12" x14ac:dyDescent="0.3">
      <c r="I19" s="84"/>
      <c r="J19" s="84"/>
      <c r="K19" s="84"/>
      <c r="L19" s="84"/>
    </row>
    <row r="20" spans="9:12" x14ac:dyDescent="0.3">
      <c r="I20" s="84"/>
      <c r="J20" s="84"/>
      <c r="K20" s="84"/>
      <c r="L20" s="84"/>
    </row>
    <row r="21" spans="9:12" x14ac:dyDescent="0.3">
      <c r="I21" s="84"/>
      <c r="J21" s="84"/>
      <c r="K21" s="84"/>
      <c r="L21" s="84"/>
    </row>
    <row r="22" spans="9:12" x14ac:dyDescent="0.3">
      <c r="I22" s="84"/>
      <c r="J22" s="84"/>
      <c r="K22" s="84"/>
      <c r="L22" s="84"/>
    </row>
  </sheetData>
  <mergeCells count="3">
    <mergeCell ref="R10:S10"/>
    <mergeCell ref="B2:H3"/>
    <mergeCell ref="R11:S11"/>
  </mergeCells>
  <printOptions horizontalCentered="1"/>
  <pageMargins left="0.4" right="0.4" top="1" bottom="0.5" header="0.3" footer="0.3"/>
  <pageSetup paperSize="9" scale="45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7">
    <tabColor theme="4" tint="-0.249977111117893"/>
    <pageSetUpPr fitToPage="1"/>
  </sheetPr>
  <dimension ref="A1:Y21"/>
  <sheetViews>
    <sheetView topLeftCell="E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5" bestFit="1" customWidth="1"/>
    <col min="11" max="11" width="10.9140625" customWidth="1"/>
    <col min="19" max="19" width="8.5" bestFit="1" customWidth="1"/>
  </cols>
  <sheetData>
    <row r="1" spans="1:25" ht="39" customHeight="1" x14ac:dyDescent="0.3">
      <c r="A1" s="47" t="s">
        <v>70</v>
      </c>
      <c r="B1" s="12">
        <v>1</v>
      </c>
      <c r="C1" s="47" t="s">
        <v>45</v>
      </c>
      <c r="D1" s="13">
        <f>S15</f>
        <v>58</v>
      </c>
      <c r="F1" s="47" t="s">
        <v>46</v>
      </c>
      <c r="G1" s="13">
        <f>D1/B1</f>
        <v>58</v>
      </c>
      <c r="H1" s="47" t="s">
        <v>90</v>
      </c>
      <c r="I1" s="24">
        <f>L28/M1</f>
        <v>0</v>
      </c>
      <c r="J1" s="47" t="s">
        <v>49</v>
      </c>
      <c r="K1" s="22" t="s">
        <v>98</v>
      </c>
      <c r="L1" s="23" t="s">
        <v>51</v>
      </c>
      <c r="M1" s="22">
        <f>(2500/4000)</f>
        <v>0.625</v>
      </c>
      <c r="U1" s="235" t="s">
        <v>321</v>
      </c>
      <c r="V1" s="232">
        <v>56</v>
      </c>
    </row>
    <row r="2" spans="1:25" ht="14.25" customHeight="1" x14ac:dyDescent="0.3">
      <c r="A2" s="59"/>
      <c r="B2" s="242" t="s">
        <v>121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151" t="s">
        <v>276</v>
      </c>
      <c r="J4" s="151" t="s">
        <v>78</v>
      </c>
      <c r="K4" s="151" t="s">
        <v>79</v>
      </c>
      <c r="L4" s="151" t="s">
        <v>80</v>
      </c>
    </row>
    <row r="5" spans="1:25" ht="14.75" customHeight="1" x14ac:dyDescent="0.35">
      <c r="A5" s="14"/>
      <c r="B5" s="14" t="s">
        <v>361</v>
      </c>
      <c r="C5" s="19" t="s">
        <v>131</v>
      </c>
      <c r="D5" s="52">
        <f>(N5/M1)/70</f>
        <v>57.142857142857146</v>
      </c>
      <c r="E5" s="15">
        <f t="shared" ref="E5:E11" si="0">$G$1</f>
        <v>58</v>
      </c>
      <c r="F5" s="16">
        <v>1</v>
      </c>
      <c r="G5" s="15">
        <f t="shared" ref="G5:G10" si="1">E5*D5</f>
        <v>3314.2857142857147</v>
      </c>
      <c r="H5" s="167">
        <f t="shared" ref="H5:H10" si="2">G5*F5</f>
        <v>3314.2857142857147</v>
      </c>
      <c r="I5" s="167">
        <f>VLOOKUP(B5,Ordering!$A$1:$J$88,6,FALSE)</f>
        <v>1</v>
      </c>
      <c r="J5" s="167">
        <f>VLOOKUP(B5,Ordering!$A$1:$J$88,10,FALSE)</f>
        <v>0.5</v>
      </c>
      <c r="K5" s="167">
        <f t="shared" ref="K5:K11" si="3">((H5/(I5))/1000)</f>
        <v>3.3142857142857145</v>
      </c>
      <c r="L5" s="169">
        <f t="shared" ref="L5:L11" si="4">J5*K5</f>
        <v>1.6571428571428573</v>
      </c>
      <c r="N5">
        <v>2500</v>
      </c>
    </row>
    <row r="6" spans="1:25" ht="14.75" customHeight="1" x14ac:dyDescent="0.35">
      <c r="A6" s="14" t="s">
        <v>42</v>
      </c>
      <c r="B6" s="14" t="s">
        <v>357</v>
      </c>
      <c r="C6" s="19" t="s">
        <v>131</v>
      </c>
      <c r="D6" s="52">
        <f>(N6)/70</f>
        <v>50.142857142857146</v>
      </c>
      <c r="E6" s="15">
        <f t="shared" si="0"/>
        <v>58</v>
      </c>
      <c r="F6" s="16">
        <v>1</v>
      </c>
      <c r="G6" s="15">
        <f t="shared" si="1"/>
        <v>2908.2857142857147</v>
      </c>
      <c r="H6" s="167">
        <f t="shared" si="2"/>
        <v>2908.2857142857147</v>
      </c>
      <c r="I6" s="167">
        <f>VLOOKUP(B6,Ordering!$A$1:$J$88,6,FALSE)</f>
        <v>1</v>
      </c>
      <c r="J6" s="167">
        <f>VLOOKUP(B6,Ordering!$A$1:$J$88,10,FALSE)</f>
        <v>4.333333333333333</v>
      </c>
      <c r="K6" s="167">
        <f t="shared" si="3"/>
        <v>2.9082857142857148</v>
      </c>
      <c r="L6" s="169">
        <f t="shared" si="4"/>
        <v>12.60257142857143</v>
      </c>
      <c r="N6">
        <v>3510</v>
      </c>
    </row>
    <row r="7" spans="1:25" ht="14.75" customHeight="1" x14ac:dyDescent="0.3">
      <c r="A7" s="14" t="s">
        <v>43</v>
      </c>
      <c r="B7" s="14" t="s">
        <v>189</v>
      </c>
      <c r="C7" s="30" t="s">
        <v>124</v>
      </c>
      <c r="D7" s="18">
        <f>(N7)/70</f>
        <v>114.28571428571429</v>
      </c>
      <c r="E7" s="15">
        <f t="shared" si="0"/>
        <v>58</v>
      </c>
      <c r="F7" s="16">
        <v>1</v>
      </c>
      <c r="G7" s="15">
        <f t="shared" si="1"/>
        <v>6628.5714285714294</v>
      </c>
      <c r="H7" s="167">
        <f t="shared" si="2"/>
        <v>6628.5714285714294</v>
      </c>
      <c r="I7" s="167">
        <f>VLOOKUP(B7,Ordering!$A$1:$J$88,6,FALSE)</f>
        <v>1</v>
      </c>
      <c r="J7" s="167">
        <f>VLOOKUP(B7,Ordering!$A$1:$J$88,10,FALSE)</f>
        <v>0</v>
      </c>
      <c r="K7" s="167">
        <f t="shared" si="3"/>
        <v>6.628571428571429</v>
      </c>
      <c r="L7" s="169">
        <f t="shared" si="4"/>
        <v>0</v>
      </c>
      <c r="N7">
        <v>8000</v>
      </c>
    </row>
    <row r="8" spans="1:25" ht="14.75" customHeight="1" x14ac:dyDescent="0.35">
      <c r="A8" s="14" t="s">
        <v>12</v>
      </c>
      <c r="B8" s="14" t="s">
        <v>327</v>
      </c>
      <c r="C8" s="19" t="s">
        <v>131</v>
      </c>
      <c r="D8" s="18">
        <v>40</v>
      </c>
      <c r="E8" s="15">
        <f t="shared" si="0"/>
        <v>58</v>
      </c>
      <c r="F8" s="16">
        <v>1</v>
      </c>
      <c r="G8" s="15">
        <f t="shared" si="1"/>
        <v>2320</v>
      </c>
      <c r="H8" s="167">
        <f t="shared" si="2"/>
        <v>2320</v>
      </c>
      <c r="I8" s="167">
        <f>VLOOKUP(B8,Ordering!$A$1:$J$88,6,FALSE)</f>
        <v>1</v>
      </c>
      <c r="J8" s="167">
        <f>VLOOKUP(B8,Ordering!$A$1:$J$88,10,FALSE)</f>
        <v>11.304</v>
      </c>
      <c r="K8" s="167">
        <f t="shared" si="3"/>
        <v>2.3199999999999998</v>
      </c>
      <c r="L8" s="169">
        <f t="shared" si="4"/>
        <v>26.225279999999998</v>
      </c>
      <c r="N8">
        <v>40</v>
      </c>
      <c r="V8" s="171" t="s">
        <v>277</v>
      </c>
      <c r="W8" s="172">
        <v>1</v>
      </c>
      <c r="X8" s="171" t="s">
        <v>80</v>
      </c>
      <c r="Y8" s="184">
        <f>SUM(L5:L11)/S15</f>
        <v>1.2010171428571428</v>
      </c>
    </row>
    <row r="9" spans="1:25" ht="14.75" customHeight="1" x14ac:dyDescent="0.35">
      <c r="A9" s="14" t="s">
        <v>12</v>
      </c>
      <c r="B9" s="14" t="s">
        <v>200</v>
      </c>
      <c r="C9" s="19" t="s">
        <v>131</v>
      </c>
      <c r="D9" s="18">
        <v>20</v>
      </c>
      <c r="E9" s="15">
        <f t="shared" si="0"/>
        <v>58</v>
      </c>
      <c r="F9" s="16">
        <v>1</v>
      </c>
      <c r="G9" s="15">
        <f t="shared" si="1"/>
        <v>1160</v>
      </c>
      <c r="H9" s="167">
        <f t="shared" si="2"/>
        <v>1160</v>
      </c>
      <c r="I9" s="167">
        <f>VLOOKUP(B9,Ordering!$A$1:$J$88,6,FALSE)</f>
        <v>1</v>
      </c>
      <c r="J9" s="167">
        <f>VLOOKUP(B9,Ordering!$A$1:$J$88,10,FALSE)</f>
        <v>14.999999999999998</v>
      </c>
      <c r="K9" s="167">
        <f t="shared" si="3"/>
        <v>1.1599999999999999</v>
      </c>
      <c r="L9" s="169">
        <f t="shared" si="4"/>
        <v>17.399999999999995</v>
      </c>
      <c r="N9">
        <v>20</v>
      </c>
    </row>
    <row r="10" spans="1:25" ht="14.75" customHeight="1" x14ac:dyDescent="0.35">
      <c r="A10" s="14" t="s">
        <v>40</v>
      </c>
      <c r="B10" s="14" t="s">
        <v>182</v>
      </c>
      <c r="C10" s="19" t="s">
        <v>131</v>
      </c>
      <c r="D10" s="18">
        <v>1</v>
      </c>
      <c r="E10" s="15">
        <f t="shared" si="0"/>
        <v>58</v>
      </c>
      <c r="F10" s="16">
        <v>1</v>
      </c>
      <c r="G10" s="15">
        <f t="shared" si="1"/>
        <v>58</v>
      </c>
      <c r="H10" s="167">
        <f t="shared" si="2"/>
        <v>58</v>
      </c>
      <c r="I10" s="167">
        <f>VLOOKUP(B10,Ordering!$A$1:$J$88,6,FALSE)</f>
        <v>1</v>
      </c>
      <c r="J10" s="167">
        <f>VLOOKUP(B10,Ordering!$A$1:$J$88,10,FALSE)</f>
        <v>13</v>
      </c>
      <c r="K10" s="167">
        <f t="shared" si="3"/>
        <v>5.8000000000000003E-2</v>
      </c>
      <c r="L10" s="169">
        <f t="shared" si="4"/>
        <v>0.754</v>
      </c>
      <c r="N10">
        <v>1</v>
      </c>
      <c r="R10" s="244" t="s">
        <v>33</v>
      </c>
      <c r="S10" s="241"/>
    </row>
    <row r="11" spans="1:25" ht="14.5" x14ac:dyDescent="0.35">
      <c r="A11" s="14"/>
      <c r="B11" s="14" t="s">
        <v>170</v>
      </c>
      <c r="C11" s="19" t="s">
        <v>124</v>
      </c>
      <c r="D11" s="18">
        <v>15</v>
      </c>
      <c r="E11" s="15">
        <f t="shared" si="0"/>
        <v>58</v>
      </c>
      <c r="F11" s="16">
        <v>1</v>
      </c>
      <c r="G11" s="15">
        <f t="shared" ref="G11" si="5">E11*D11</f>
        <v>870</v>
      </c>
      <c r="H11" s="15">
        <f t="shared" ref="H11" si="6">G11*F11</f>
        <v>870</v>
      </c>
      <c r="I11" s="14">
        <f>VLOOKUP(B11,Ordering!$A$1:$J$88,6,FALSE)</f>
        <v>1</v>
      </c>
      <c r="J11" s="167">
        <f>VLOOKUP(B11,Ordering!$A$1:$J$88,10,FALSE)</f>
        <v>12.666666666666666</v>
      </c>
      <c r="K11" s="167">
        <f t="shared" si="3"/>
        <v>0.87</v>
      </c>
      <c r="L11" s="169">
        <f t="shared" si="4"/>
        <v>11.02</v>
      </c>
      <c r="M11" s="84"/>
      <c r="N11" s="84"/>
      <c r="R11" s="236" t="s">
        <v>62</v>
      </c>
      <c r="S11" s="237"/>
    </row>
    <row r="12" spans="1:25" ht="14.75" customHeight="1" thickBot="1" x14ac:dyDescent="0.35">
      <c r="I12" s="94"/>
      <c r="J12" s="94"/>
      <c r="K12" s="94"/>
      <c r="L12" s="84"/>
      <c r="M12" s="84"/>
      <c r="N12" s="84"/>
      <c r="R12" s="5" t="s">
        <v>63</v>
      </c>
      <c r="S12" s="6" t="s">
        <v>81</v>
      </c>
    </row>
    <row r="13" spans="1:25" ht="14.75" customHeight="1" thickBot="1" x14ac:dyDescent="0.35">
      <c r="I13" s="94"/>
      <c r="J13" s="94"/>
      <c r="K13" s="94"/>
      <c r="L13" s="84"/>
      <c r="M13" s="84"/>
      <c r="N13" s="84"/>
      <c r="R13" s="7" t="s">
        <v>82</v>
      </c>
      <c r="S13" s="8">
        <f>V1</f>
        <v>56</v>
      </c>
    </row>
    <row r="14" spans="1:25" ht="14.75" customHeight="1" thickBot="1" x14ac:dyDescent="0.35">
      <c r="I14" s="94"/>
      <c r="J14" s="94"/>
      <c r="K14" s="94"/>
      <c r="L14" s="84"/>
      <c r="M14" s="84"/>
      <c r="N14" s="84"/>
      <c r="R14" s="7" t="s">
        <v>83</v>
      </c>
      <c r="S14" s="9">
        <v>2</v>
      </c>
    </row>
    <row r="15" spans="1:25" ht="14.5" thickBot="1" x14ac:dyDescent="0.35">
      <c r="I15" s="94"/>
      <c r="J15" s="94"/>
      <c r="K15" s="94"/>
      <c r="L15" s="84"/>
      <c r="M15" s="84"/>
      <c r="N15" s="84"/>
      <c r="R15" s="10" t="s">
        <v>84</v>
      </c>
      <c r="S15" s="8">
        <f>S13+S14</f>
        <v>58</v>
      </c>
    </row>
    <row r="16" spans="1:25" x14ac:dyDescent="0.3">
      <c r="I16" s="94"/>
      <c r="J16" s="94"/>
      <c r="K16" s="94"/>
      <c r="L16" s="84"/>
      <c r="M16" s="84"/>
      <c r="N16" s="84"/>
      <c r="R16" s="195" t="s">
        <v>80</v>
      </c>
      <c r="S16" s="196">
        <f>SUM(L5:L11)</f>
        <v>69.658994285714286</v>
      </c>
    </row>
    <row r="17" spans="9:14" x14ac:dyDescent="0.3">
      <c r="I17" s="94"/>
      <c r="J17" s="94"/>
      <c r="K17" s="94"/>
      <c r="L17" s="84"/>
      <c r="M17" s="84"/>
      <c r="N17" s="84"/>
    </row>
    <row r="18" spans="9:14" x14ac:dyDescent="0.3">
      <c r="I18" s="94"/>
      <c r="J18" s="94"/>
      <c r="K18" s="94"/>
      <c r="L18" s="84"/>
      <c r="M18" s="84"/>
      <c r="N18" s="84"/>
    </row>
    <row r="19" spans="9:14" x14ac:dyDescent="0.3">
      <c r="I19" s="84"/>
      <c r="J19" s="84"/>
      <c r="K19" s="84"/>
      <c r="L19" s="84"/>
      <c r="M19" s="84"/>
      <c r="N19" s="84"/>
    </row>
    <row r="20" spans="9:14" x14ac:dyDescent="0.3">
      <c r="I20" s="84"/>
      <c r="J20" s="84"/>
      <c r="K20" s="84"/>
      <c r="L20" s="84"/>
      <c r="M20" s="84"/>
      <c r="N20" s="84"/>
    </row>
    <row r="21" spans="9:14" x14ac:dyDescent="0.3">
      <c r="I21" s="84"/>
      <c r="J21" s="84"/>
      <c r="K21" s="84"/>
      <c r="L21" s="84"/>
      <c r="M21" s="84"/>
      <c r="N21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9">
    <tabColor theme="4" tint="-0.249977111117893"/>
    <pageSetUpPr fitToPage="1"/>
  </sheetPr>
  <dimension ref="A1:Y19"/>
  <sheetViews>
    <sheetView topLeftCell="D1" zoomScale="55" zoomScaleNormal="55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9140625" customWidth="1"/>
    <col min="18" max="18" width="8.08203125" bestFit="1" customWidth="1"/>
    <col min="19" max="19" width="15.58203125" customWidth="1"/>
  </cols>
  <sheetData>
    <row r="1" spans="1:25" ht="25.25" customHeight="1" x14ac:dyDescent="0.3">
      <c r="A1" s="47" t="s">
        <v>70</v>
      </c>
      <c r="B1" s="12">
        <v>1</v>
      </c>
      <c r="E1" s="47" t="s">
        <v>45</v>
      </c>
      <c r="F1" s="13">
        <f>S15</f>
        <v>218</v>
      </c>
      <c r="H1" s="47" t="s">
        <v>46</v>
      </c>
      <c r="I1" s="13">
        <f>F1/B1</f>
        <v>218</v>
      </c>
      <c r="J1" s="47" t="s">
        <v>71</v>
      </c>
      <c r="K1" s="46" t="s">
        <v>122</v>
      </c>
      <c r="U1" s="235" t="s">
        <v>321</v>
      </c>
      <c r="V1" s="232">
        <v>216</v>
      </c>
    </row>
    <row r="2" spans="1:25" ht="14.25" customHeight="1" x14ac:dyDescent="0.3">
      <c r="A2" s="59"/>
      <c r="B2" s="242" t="s">
        <v>123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5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5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47" t="s">
        <v>79</v>
      </c>
      <c r="L4" s="47" t="s">
        <v>80</v>
      </c>
    </row>
    <row r="5" spans="1:25" ht="14.75" customHeight="1" x14ac:dyDescent="0.35">
      <c r="A5" s="14" t="s">
        <v>38</v>
      </c>
      <c r="B5" s="14" t="s">
        <v>367</v>
      </c>
      <c r="C5" s="19" t="s">
        <v>5</v>
      </c>
      <c r="D5" s="18">
        <v>1</v>
      </c>
      <c r="E5" s="15">
        <f>$I$1</f>
        <v>218</v>
      </c>
      <c r="F5" s="16">
        <v>1</v>
      </c>
      <c r="G5" s="15">
        <f>E5*D5</f>
        <v>218</v>
      </c>
      <c r="H5" s="167">
        <f>G5*F5</f>
        <v>218</v>
      </c>
      <c r="I5" s="167">
        <f>VLOOKUP(B5,Ordering!$A$1:$J$88,6,FALSE)</f>
        <v>1</v>
      </c>
      <c r="J5" s="167">
        <f>VLOOKUP(B5,Ordering!$A$1:$J$88,10,FALSE)</f>
        <v>2.5</v>
      </c>
      <c r="K5" s="167">
        <f>(H5/I5)</f>
        <v>218</v>
      </c>
      <c r="L5" s="169">
        <f>J5*K5</f>
        <v>545</v>
      </c>
    </row>
    <row r="6" spans="1:25" ht="14.75" customHeight="1" x14ac:dyDescent="0.35">
      <c r="A6" s="14" t="s">
        <v>4</v>
      </c>
      <c r="B6" s="14" t="s">
        <v>144</v>
      </c>
      <c r="C6" s="19" t="s">
        <v>5</v>
      </c>
      <c r="D6" s="18">
        <v>2</v>
      </c>
      <c r="E6" s="15">
        <f t="shared" ref="E6:E9" si="0">$I$1</f>
        <v>218</v>
      </c>
      <c r="F6" s="16">
        <v>1</v>
      </c>
      <c r="G6" s="15">
        <f t="shared" ref="G6:G9" si="1">E6*D6</f>
        <v>436</v>
      </c>
      <c r="H6" s="167">
        <f t="shared" ref="H6:H9" si="2">G6*F6</f>
        <v>436</v>
      </c>
      <c r="I6" s="167">
        <f>VLOOKUP(B6,Ordering!$A$1:$J$88,6,FALSE)</f>
        <v>0.96</v>
      </c>
      <c r="J6" s="167">
        <f>VLOOKUP(B6,Ordering!$A$1:$J$88,10,FALSE)</f>
        <v>0.43333333333333335</v>
      </c>
      <c r="K6" s="167">
        <f t="shared" ref="K6" si="3">(H6/I6)</f>
        <v>454.16666666666669</v>
      </c>
      <c r="L6" s="169">
        <f>J6*K6</f>
        <v>196.80555555555557</v>
      </c>
    </row>
    <row r="7" spans="1:25" ht="14.75" customHeight="1" x14ac:dyDescent="0.35">
      <c r="A7" s="14" t="s">
        <v>12</v>
      </c>
      <c r="B7" s="14" t="s">
        <v>168</v>
      </c>
      <c r="C7" s="19" t="s">
        <v>124</v>
      </c>
      <c r="D7" s="18">
        <f>N7/169</f>
        <v>11.834319526627219</v>
      </c>
      <c r="E7" s="15">
        <f t="shared" si="0"/>
        <v>218</v>
      </c>
      <c r="F7" s="16">
        <v>1</v>
      </c>
      <c r="G7" s="15">
        <f t="shared" si="1"/>
        <v>2579.8816568047337</v>
      </c>
      <c r="H7" s="167">
        <f t="shared" si="2"/>
        <v>2579.8816568047337</v>
      </c>
      <c r="I7" s="167">
        <f>VLOOKUP(B7,Ordering!$A$1:$J$88,6,FALSE)</f>
        <v>1</v>
      </c>
      <c r="J7" s="167">
        <f>VLOOKUP(B7,Ordering!$A$1:$J$88,10,FALSE)</f>
        <v>4.2033333333333331</v>
      </c>
      <c r="K7" s="167">
        <f t="shared" ref="K7:K9" si="4">((H7/(I7))/1000)</f>
        <v>2.5798816568047336</v>
      </c>
      <c r="L7" s="169">
        <f>J7*K7</f>
        <v>10.844102564102563</v>
      </c>
      <c r="N7">
        <v>2000</v>
      </c>
    </row>
    <row r="8" spans="1:25" ht="14.75" customHeight="1" x14ac:dyDescent="0.35">
      <c r="A8" s="14" t="s">
        <v>40</v>
      </c>
      <c r="B8" s="14" t="s">
        <v>175</v>
      </c>
      <c r="C8" s="19" t="s">
        <v>7</v>
      </c>
      <c r="D8" s="18">
        <f>N8/169</f>
        <v>0.47337278106508873</v>
      </c>
      <c r="E8" s="15">
        <f t="shared" si="0"/>
        <v>218</v>
      </c>
      <c r="F8" s="16">
        <v>1</v>
      </c>
      <c r="G8" s="15">
        <f t="shared" si="1"/>
        <v>103.19526627218934</v>
      </c>
      <c r="H8" s="167">
        <f t="shared" si="2"/>
        <v>103.19526627218934</v>
      </c>
      <c r="I8" s="167">
        <f>VLOOKUP(B8,Ordering!$A$1:$J$88,6,FALSE)</f>
        <v>1</v>
      </c>
      <c r="J8" s="167">
        <f>VLOOKUP(B8,Ordering!$A$1:$J$88,10,FALSE)</f>
        <v>0.74</v>
      </c>
      <c r="K8" s="167">
        <f t="shared" si="4"/>
        <v>0.10319526627218935</v>
      </c>
      <c r="L8" s="169">
        <f>J8*K8</f>
        <v>7.6364497041420121E-2</v>
      </c>
      <c r="N8">
        <v>80</v>
      </c>
      <c r="V8" s="171" t="s">
        <v>277</v>
      </c>
      <c r="W8" s="172">
        <v>1</v>
      </c>
      <c r="X8" s="171" t="s">
        <v>80</v>
      </c>
      <c r="Y8" s="184">
        <f>SUM(L5:L9)/S15</f>
        <v>3.4639959237343847</v>
      </c>
    </row>
    <row r="9" spans="1:25" ht="14.75" customHeight="1" x14ac:dyDescent="0.35">
      <c r="A9" s="14" t="s">
        <v>40</v>
      </c>
      <c r="B9" s="14" t="s">
        <v>177</v>
      </c>
      <c r="C9" s="19" t="s">
        <v>7</v>
      </c>
      <c r="D9" s="18">
        <f>N9/169</f>
        <v>0.23668639053254437</v>
      </c>
      <c r="E9" s="15">
        <f t="shared" si="0"/>
        <v>218</v>
      </c>
      <c r="F9" s="16">
        <v>1</v>
      </c>
      <c r="G9" s="15">
        <f t="shared" si="1"/>
        <v>51.597633136094672</v>
      </c>
      <c r="H9" s="167">
        <f t="shared" si="2"/>
        <v>51.597633136094672</v>
      </c>
      <c r="I9" s="167">
        <f>VLOOKUP(B9,Ordering!$A$1:$J$88,6,FALSE)</f>
        <v>1</v>
      </c>
      <c r="J9" s="167">
        <f>VLOOKUP(B9,Ordering!$A$1:$J$88,10,FALSE)</f>
        <v>47</v>
      </c>
      <c r="K9" s="167">
        <f t="shared" si="4"/>
        <v>5.1597633136094674E-2</v>
      </c>
      <c r="L9" s="169">
        <f>J9*K9</f>
        <v>2.4250887573964497</v>
      </c>
      <c r="N9">
        <v>40</v>
      </c>
    </row>
    <row r="10" spans="1:25" ht="14.75" customHeight="1" x14ac:dyDescent="0.35">
      <c r="A10" s="14"/>
      <c r="B10" s="14"/>
      <c r="C10" s="19"/>
      <c r="D10" s="18"/>
      <c r="E10" s="15"/>
      <c r="F10" s="16"/>
      <c r="G10" s="15"/>
      <c r="H10" s="216"/>
      <c r="I10" s="217"/>
      <c r="J10" s="217"/>
      <c r="K10" s="217"/>
      <c r="L10" s="218"/>
      <c r="R10" s="244" t="s">
        <v>34</v>
      </c>
      <c r="S10" s="241"/>
    </row>
    <row r="11" spans="1:25" x14ac:dyDescent="0.3">
      <c r="H11" s="84"/>
      <c r="I11" s="94"/>
      <c r="J11" s="94"/>
      <c r="K11" s="94"/>
      <c r="R11" s="236" t="s">
        <v>62</v>
      </c>
      <c r="S11" s="237"/>
    </row>
    <row r="12" spans="1:25" ht="14.75" customHeight="1" thickBot="1" x14ac:dyDescent="0.35">
      <c r="H12" s="84"/>
      <c r="I12" s="94"/>
      <c r="J12" s="94"/>
      <c r="K12" s="94"/>
      <c r="R12" s="5" t="s">
        <v>63</v>
      </c>
      <c r="S12" s="6" t="s">
        <v>81</v>
      </c>
    </row>
    <row r="13" spans="1:25" ht="14.75" customHeight="1" thickBot="1" x14ac:dyDescent="0.35">
      <c r="H13" s="84"/>
      <c r="I13" s="94"/>
      <c r="J13" s="94"/>
      <c r="K13" s="94"/>
      <c r="R13" s="7" t="s">
        <v>82</v>
      </c>
      <c r="S13" s="8">
        <f>V1</f>
        <v>216</v>
      </c>
    </row>
    <row r="14" spans="1:25" ht="14.75" customHeight="1" thickBot="1" x14ac:dyDescent="0.35">
      <c r="H14" s="84"/>
      <c r="I14" s="94"/>
      <c r="J14" s="94"/>
      <c r="K14" s="94"/>
      <c r="R14" s="7" t="s">
        <v>83</v>
      </c>
      <c r="S14" s="9">
        <v>2</v>
      </c>
    </row>
    <row r="15" spans="1:25" x14ac:dyDescent="0.3">
      <c r="H15" s="84"/>
      <c r="I15" s="94"/>
      <c r="J15" s="94"/>
      <c r="K15" s="94"/>
      <c r="R15" s="10" t="s">
        <v>84</v>
      </c>
      <c r="S15" s="11">
        <f>S13+S14</f>
        <v>218</v>
      </c>
    </row>
    <row r="16" spans="1:25" x14ac:dyDescent="0.3">
      <c r="H16" s="84"/>
      <c r="I16" s="94"/>
      <c r="J16" s="94"/>
      <c r="K16" s="94"/>
      <c r="R16" s="195" t="s">
        <v>80</v>
      </c>
      <c r="S16" s="196">
        <f>SUM(L5:L18)</f>
        <v>755.15111137409588</v>
      </c>
    </row>
    <row r="17" spans="8:11" x14ac:dyDescent="0.3">
      <c r="H17" s="84"/>
      <c r="I17" s="94"/>
      <c r="J17" s="94"/>
      <c r="K17" s="94"/>
    </row>
    <row r="18" spans="8:11" x14ac:dyDescent="0.3">
      <c r="H18" s="84"/>
      <c r="I18" s="94"/>
      <c r="J18" s="94"/>
      <c r="K18" s="94"/>
    </row>
    <row r="19" spans="8:11" x14ac:dyDescent="0.3">
      <c r="H19" s="84"/>
      <c r="I19" s="84"/>
      <c r="J19" s="84"/>
      <c r="K19" s="84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>
    <tabColor theme="4" tint="-0.249977111117893"/>
    <pageSetUpPr fitToPage="1"/>
  </sheetPr>
  <dimension ref="A1:X18"/>
  <sheetViews>
    <sheetView topLeftCell="I1" zoomScale="70" zoomScaleNormal="70" zoomScaleSheetLayoutView="100" workbookViewId="0">
      <selection activeCell="V12" sqref="V1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9.08203125" customWidth="1"/>
    <col min="8" max="8" width="29.83203125" bestFit="1" customWidth="1"/>
    <col min="10" max="10" width="14.5" bestFit="1" customWidth="1"/>
    <col min="11" max="11" width="10.9140625" customWidth="1"/>
    <col min="12" max="12" width="17.33203125" customWidth="1"/>
    <col min="13" max="13" width="29" customWidth="1"/>
    <col min="19" max="19" width="8.5" bestFit="1" customWidth="1"/>
    <col min="20" max="20" width="27.9140625" bestFit="1" customWidth="1"/>
    <col min="23" max="23" width="25.6640625" customWidth="1"/>
    <col min="24" max="24" width="8.6640625" bestFit="1" customWidth="1"/>
    <col min="25" max="25" width="13.83203125" customWidth="1"/>
  </cols>
  <sheetData>
    <row r="1" spans="1:24" ht="39" customHeight="1" x14ac:dyDescent="0.3">
      <c r="A1" s="47" t="s">
        <v>70</v>
      </c>
      <c r="B1" s="12">
        <v>1</v>
      </c>
      <c r="C1" s="47" t="s">
        <v>45</v>
      </c>
      <c r="D1" s="13">
        <f>S15</f>
        <v>154</v>
      </c>
      <c r="E1" s="47" t="s">
        <v>46</v>
      </c>
      <c r="F1" s="13">
        <f>D1/B1</f>
        <v>154</v>
      </c>
      <c r="G1" s="47" t="s">
        <v>49</v>
      </c>
      <c r="H1" s="22" t="s">
        <v>116</v>
      </c>
      <c r="I1" s="23" t="s">
        <v>51</v>
      </c>
      <c r="J1" s="22">
        <v>0.54</v>
      </c>
      <c r="K1" s="57" t="s">
        <v>52</v>
      </c>
      <c r="L1" s="3">
        <v>85</v>
      </c>
      <c r="U1" s="235" t="s">
        <v>321</v>
      </c>
      <c r="V1" s="232">
        <v>152</v>
      </c>
    </row>
    <row r="2" spans="1:24" ht="14.25" customHeight="1" x14ac:dyDescent="0.3">
      <c r="A2" s="59"/>
      <c r="B2" s="242" t="s">
        <v>117</v>
      </c>
      <c r="C2" s="247"/>
      <c r="D2" s="247"/>
      <c r="E2" s="247"/>
      <c r="F2" s="247"/>
      <c r="G2" s="247"/>
      <c r="H2" s="247"/>
      <c r="I2" s="60"/>
      <c r="J2" s="60"/>
      <c r="K2" s="61"/>
    </row>
    <row r="3" spans="1:24" ht="14.25" customHeight="1" x14ac:dyDescent="0.3">
      <c r="A3" s="72"/>
      <c r="B3" s="243"/>
      <c r="C3" s="243"/>
      <c r="D3" s="243"/>
      <c r="E3" s="243"/>
      <c r="F3" s="243"/>
      <c r="G3" s="243"/>
      <c r="H3" s="243"/>
      <c r="I3" s="62"/>
      <c r="J3" s="62"/>
      <c r="K3" s="63"/>
    </row>
    <row r="4" spans="1:24" ht="39" customHeight="1" x14ac:dyDescent="0.3">
      <c r="A4" s="47" t="s">
        <v>54</v>
      </c>
      <c r="B4" s="47" t="s">
        <v>55</v>
      </c>
      <c r="C4" s="47" t="s">
        <v>74</v>
      </c>
      <c r="D4" s="47" t="s">
        <v>57</v>
      </c>
      <c r="E4" s="17" t="s">
        <v>47</v>
      </c>
      <c r="F4" s="17" t="s">
        <v>75</v>
      </c>
      <c r="G4" s="47" t="s">
        <v>76</v>
      </c>
      <c r="H4" s="47" t="s">
        <v>77</v>
      </c>
      <c r="I4" s="47" t="s">
        <v>276</v>
      </c>
      <c r="J4" s="47" t="s">
        <v>78</v>
      </c>
      <c r="K4" s="151" t="s">
        <v>79</v>
      </c>
      <c r="L4" s="151" t="s">
        <v>80</v>
      </c>
    </row>
    <row r="5" spans="1:24" ht="14.75" customHeight="1" x14ac:dyDescent="0.35">
      <c r="A5" s="14" t="s">
        <v>4</v>
      </c>
      <c r="B5" s="56" t="s">
        <v>145</v>
      </c>
      <c r="C5" s="19" t="s">
        <v>7</v>
      </c>
      <c r="D5" s="52">
        <f>58/J1</f>
        <v>107.4074074074074</v>
      </c>
      <c r="E5" s="15">
        <f t="shared" ref="E5:E18" si="0">$F$1</f>
        <v>154</v>
      </c>
      <c r="F5" s="16">
        <v>1</v>
      </c>
      <c r="G5" s="15">
        <f t="shared" ref="G5:G18" si="1">E5*D5</f>
        <v>16540.740740740741</v>
      </c>
      <c r="H5" s="167">
        <f t="shared" ref="H5:H18" si="2">G5*F5</f>
        <v>16540.740740740741</v>
      </c>
      <c r="I5" s="167">
        <f>VLOOKUP(B5,Ordering!$A$1:$J$88,6,FALSE)</f>
        <v>0.86</v>
      </c>
      <c r="J5" s="167">
        <f>VLOOKUP(B5,Ordering!$A$1:$J$88,10,FALSE)</f>
        <v>17.100000000000001</v>
      </c>
      <c r="K5" s="167">
        <f>(H5/I5)</f>
        <v>19233.419465977608</v>
      </c>
      <c r="L5" s="169">
        <f t="shared" ref="L5:L14" si="3">J5*K5</f>
        <v>328891.4728682171</v>
      </c>
      <c r="O5">
        <v>15323</v>
      </c>
    </row>
    <row r="6" spans="1:24" ht="14.75" customHeight="1" x14ac:dyDescent="0.35">
      <c r="A6" s="14" t="s">
        <v>26</v>
      </c>
      <c r="B6" s="56" t="s">
        <v>197</v>
      </c>
      <c r="C6" s="19" t="s">
        <v>7</v>
      </c>
      <c r="D6" s="18">
        <f t="shared" ref="D6:D13" si="4">O6/145</f>
        <v>3.1448275862068966</v>
      </c>
      <c r="E6" s="15">
        <f t="shared" si="0"/>
        <v>154</v>
      </c>
      <c r="F6" s="16">
        <v>1</v>
      </c>
      <c r="G6" s="15">
        <f t="shared" si="1"/>
        <v>484.30344827586208</v>
      </c>
      <c r="H6" s="167">
        <f t="shared" si="2"/>
        <v>484.30344827586208</v>
      </c>
      <c r="I6" s="167">
        <f>VLOOKUP(B6,Ordering!$A$1:$J$88,6,FALSE)</f>
        <v>0.84</v>
      </c>
      <c r="J6" s="167">
        <f>VLOOKUP(B6,Ordering!$A$1:$J$88,10,FALSE)</f>
        <v>2.6</v>
      </c>
      <c r="K6" s="167">
        <f t="shared" ref="K6:K14" si="5">(H6/I6)</f>
        <v>576.55172413793105</v>
      </c>
      <c r="L6" s="169">
        <f t="shared" si="3"/>
        <v>1499.0344827586207</v>
      </c>
      <c r="O6">
        <v>456</v>
      </c>
    </row>
    <row r="7" spans="1:24" ht="14.75" customHeight="1" x14ac:dyDescent="0.35">
      <c r="A7" s="14" t="s">
        <v>40</v>
      </c>
      <c r="B7" s="56" t="s">
        <v>176</v>
      </c>
      <c r="C7" s="19" t="s">
        <v>7</v>
      </c>
      <c r="D7" s="18">
        <f t="shared" si="4"/>
        <v>0.20965517241379308</v>
      </c>
      <c r="E7" s="15">
        <f t="shared" si="0"/>
        <v>154</v>
      </c>
      <c r="F7" s="16">
        <v>1</v>
      </c>
      <c r="G7" s="15">
        <f t="shared" si="1"/>
        <v>32.286896551724134</v>
      </c>
      <c r="H7" s="167">
        <f t="shared" si="2"/>
        <v>32.286896551724134</v>
      </c>
      <c r="I7" s="167">
        <f>VLOOKUP(B7,Ordering!$A$1:$J$88,6,FALSE)</f>
        <v>1</v>
      </c>
      <c r="J7" s="167">
        <f>VLOOKUP(B7,Ordering!$A$1:$J$88,10,FALSE)</f>
        <v>31</v>
      </c>
      <c r="K7" s="167">
        <f t="shared" si="5"/>
        <v>32.286896551724134</v>
      </c>
      <c r="L7" s="169">
        <f t="shared" si="3"/>
        <v>1000.8937931034482</v>
      </c>
      <c r="O7">
        <v>30.4</v>
      </c>
    </row>
    <row r="8" spans="1:24" ht="14.75" customHeight="1" x14ac:dyDescent="0.35">
      <c r="A8" s="14" t="s">
        <v>26</v>
      </c>
      <c r="B8" s="56" t="s">
        <v>383</v>
      </c>
      <c r="C8" s="19" t="s">
        <v>7</v>
      </c>
      <c r="D8" s="18">
        <f t="shared" si="4"/>
        <v>3.4979310344827583</v>
      </c>
      <c r="E8" s="15">
        <f t="shared" si="0"/>
        <v>154</v>
      </c>
      <c r="F8" s="16">
        <v>1</v>
      </c>
      <c r="G8" s="15">
        <f t="shared" si="1"/>
        <v>538.68137931034482</v>
      </c>
      <c r="H8" s="167">
        <f t="shared" si="2"/>
        <v>538.68137931034482</v>
      </c>
      <c r="I8" s="167">
        <f>VLOOKUP(B8,Ordering!$A$1:$J$88,6,FALSE)</f>
        <v>0.72</v>
      </c>
      <c r="J8" s="167">
        <f>VLOOKUP(B8,Ordering!$A$1:$J$88,10,FALSE)</f>
        <v>8.5</v>
      </c>
      <c r="K8" s="167">
        <f t="shared" si="5"/>
        <v>748.16858237547899</v>
      </c>
      <c r="L8" s="169">
        <f t="shared" si="3"/>
        <v>6359.4329501915718</v>
      </c>
      <c r="O8">
        <v>507.2</v>
      </c>
    </row>
    <row r="9" spans="1:24" ht="14.75" customHeight="1" x14ac:dyDescent="0.35">
      <c r="A9" s="14" t="s">
        <v>26</v>
      </c>
      <c r="B9" s="56" t="s">
        <v>193</v>
      </c>
      <c r="C9" s="19" t="s">
        <v>7</v>
      </c>
      <c r="D9" s="18">
        <f t="shared" si="4"/>
        <v>6.2827586206896555</v>
      </c>
      <c r="E9" s="15">
        <f t="shared" si="0"/>
        <v>154</v>
      </c>
      <c r="F9" s="16">
        <v>1</v>
      </c>
      <c r="G9" s="15">
        <f t="shared" si="1"/>
        <v>967.54482758620691</v>
      </c>
      <c r="H9" s="167">
        <f t="shared" si="2"/>
        <v>967.54482758620691</v>
      </c>
      <c r="I9" s="167">
        <f>VLOOKUP(B9,Ordering!$A$1:$J$88,6,FALSE)</f>
        <v>0.84</v>
      </c>
      <c r="J9" s="167">
        <f>VLOOKUP(B9,Ordering!$A$1:$J$88,10,FALSE)</f>
        <v>2.9629629629629628</v>
      </c>
      <c r="K9" s="167">
        <f t="shared" si="5"/>
        <v>1151.8390804597702</v>
      </c>
      <c r="L9" s="169">
        <f t="shared" si="3"/>
        <v>3412.8565346956152</v>
      </c>
      <c r="O9">
        <v>911</v>
      </c>
    </row>
    <row r="10" spans="1:24" ht="14.75" customHeight="1" x14ac:dyDescent="0.35">
      <c r="A10" s="14" t="s">
        <v>12</v>
      </c>
      <c r="B10" s="55" t="s">
        <v>167</v>
      </c>
      <c r="C10" s="19" t="s">
        <v>7</v>
      </c>
      <c r="D10" s="18">
        <f t="shared" si="4"/>
        <v>12.455172413793104</v>
      </c>
      <c r="E10" s="15">
        <f t="shared" si="0"/>
        <v>154</v>
      </c>
      <c r="F10" s="16">
        <v>1</v>
      </c>
      <c r="G10" s="15">
        <f t="shared" si="1"/>
        <v>1918.096551724138</v>
      </c>
      <c r="H10" s="167">
        <f t="shared" si="2"/>
        <v>1918.096551724138</v>
      </c>
      <c r="I10" s="167">
        <f>VLOOKUP(B10,Ordering!$A$1:$J$88,6,FALSE)</f>
        <v>1</v>
      </c>
      <c r="J10" s="167">
        <f>VLOOKUP(B10,Ordering!$A$1:$J$88,10,FALSE)</f>
        <v>6.6959999999999997</v>
      </c>
      <c r="K10" s="167">
        <f t="shared" si="5"/>
        <v>1918.096551724138</v>
      </c>
      <c r="L10" s="169">
        <f t="shared" si="3"/>
        <v>12843.574510344828</v>
      </c>
      <c r="O10">
        <v>1806</v>
      </c>
      <c r="R10" s="244" t="s">
        <v>24</v>
      </c>
      <c r="S10" s="241"/>
    </row>
    <row r="11" spans="1:24" ht="14.75" customHeight="1" x14ac:dyDescent="0.35">
      <c r="A11" s="14" t="s">
        <v>41</v>
      </c>
      <c r="B11" s="55" t="s">
        <v>185</v>
      </c>
      <c r="C11" s="19" t="s">
        <v>7</v>
      </c>
      <c r="D11" s="18">
        <f t="shared" si="4"/>
        <v>12.586206896551724</v>
      </c>
      <c r="E11" s="15">
        <f t="shared" si="0"/>
        <v>154</v>
      </c>
      <c r="F11" s="16">
        <v>1</v>
      </c>
      <c r="G11" s="15">
        <f t="shared" si="1"/>
        <v>1938.2758620689656</v>
      </c>
      <c r="H11" s="15">
        <f t="shared" si="2"/>
        <v>1938.2758620689656</v>
      </c>
      <c r="I11" s="14">
        <f>VLOOKUP(B11,Ordering!$A$1:$J$88,6,FALSE)</f>
        <v>1</v>
      </c>
      <c r="J11" s="14">
        <f>VLOOKUP(B11,Ordering!$A$1:$J$88,10,FALSE)</f>
        <v>6.4189189189189184</v>
      </c>
      <c r="K11" s="148">
        <f t="shared" si="5"/>
        <v>1938.2758620689656</v>
      </c>
      <c r="L11" s="154">
        <f t="shared" si="3"/>
        <v>12441.63560111836</v>
      </c>
      <c r="O11">
        <v>1825</v>
      </c>
      <c r="R11" s="236" t="s">
        <v>62</v>
      </c>
      <c r="S11" s="237"/>
    </row>
    <row r="12" spans="1:24" ht="15" customHeight="1" thickBot="1" x14ac:dyDescent="0.4">
      <c r="A12" s="14" t="s">
        <v>40</v>
      </c>
      <c r="B12" s="55" t="s">
        <v>179</v>
      </c>
      <c r="C12" s="19" t="s">
        <v>7</v>
      </c>
      <c r="D12" s="18">
        <f t="shared" si="4"/>
        <v>0.49793103448275866</v>
      </c>
      <c r="E12" s="15">
        <f t="shared" si="0"/>
        <v>154</v>
      </c>
      <c r="F12" s="16">
        <v>1</v>
      </c>
      <c r="G12" s="15">
        <f t="shared" si="1"/>
        <v>76.681379310344838</v>
      </c>
      <c r="H12" s="15">
        <f t="shared" si="2"/>
        <v>76.681379310344838</v>
      </c>
      <c r="I12" s="14">
        <f>VLOOKUP(B12,Ordering!$A$1:$J$88,6,FALSE)</f>
        <v>1</v>
      </c>
      <c r="J12" s="14">
        <f>VLOOKUP(B12,Ordering!$A$1:$J$88,10,FALSE)</f>
        <v>64.243759177679877</v>
      </c>
      <c r="K12" s="148">
        <f t="shared" si="5"/>
        <v>76.681379310344838</v>
      </c>
      <c r="L12" s="154">
        <f t="shared" si="3"/>
        <v>4926.300065826118</v>
      </c>
      <c r="O12">
        <v>72.2</v>
      </c>
      <c r="R12" s="5" t="s">
        <v>63</v>
      </c>
      <c r="S12" s="6" t="s">
        <v>81</v>
      </c>
    </row>
    <row r="13" spans="1:24" ht="15" customHeight="1" thickBot="1" x14ac:dyDescent="0.4">
      <c r="A13" s="14" t="s">
        <v>40</v>
      </c>
      <c r="B13" s="55" t="s">
        <v>175</v>
      </c>
      <c r="C13" s="19" t="s">
        <v>7</v>
      </c>
      <c r="D13" s="18">
        <f t="shared" si="4"/>
        <v>0.28482758620689652</v>
      </c>
      <c r="E13" s="15">
        <f t="shared" si="0"/>
        <v>154</v>
      </c>
      <c r="F13" s="16">
        <v>1</v>
      </c>
      <c r="G13" s="15">
        <f t="shared" si="1"/>
        <v>43.863448275862062</v>
      </c>
      <c r="H13" s="15">
        <f t="shared" si="2"/>
        <v>43.863448275862062</v>
      </c>
      <c r="I13" s="14">
        <f>VLOOKUP(B13,Ordering!$A$1:$J$88,6,FALSE)</f>
        <v>1</v>
      </c>
      <c r="J13" s="14">
        <f>VLOOKUP(B13,Ordering!$A$1:$J$88,10,FALSE)</f>
        <v>0.74</v>
      </c>
      <c r="K13" s="148">
        <f t="shared" si="5"/>
        <v>43.863448275862062</v>
      </c>
      <c r="L13" s="154">
        <f t="shared" si="3"/>
        <v>32.458951724137926</v>
      </c>
      <c r="O13">
        <v>41.3</v>
      </c>
      <c r="R13" s="7" t="s">
        <v>82</v>
      </c>
      <c r="S13" s="8">
        <f>V1</f>
        <v>152</v>
      </c>
      <c r="T13" s="11"/>
    </row>
    <row r="14" spans="1:24" ht="15" customHeight="1" thickBot="1" x14ac:dyDescent="0.4">
      <c r="A14" s="14" t="s">
        <v>4</v>
      </c>
      <c r="B14" s="58" t="s">
        <v>375</v>
      </c>
      <c r="C14" s="19" t="s">
        <v>7</v>
      </c>
      <c r="D14" s="18">
        <v>27</v>
      </c>
      <c r="E14" s="15">
        <f t="shared" si="0"/>
        <v>154</v>
      </c>
      <c r="F14" s="16">
        <v>1</v>
      </c>
      <c r="G14" s="15">
        <f t="shared" si="1"/>
        <v>4158</v>
      </c>
      <c r="H14" s="15">
        <f t="shared" si="2"/>
        <v>4158</v>
      </c>
      <c r="I14" s="14">
        <f>VLOOKUP(B14,Ordering!$A$1:$J$88,6,FALSE)</f>
        <v>1</v>
      </c>
      <c r="J14" s="14">
        <f>VLOOKUP(B14,Ordering!$A$1:$J$88,10,FALSE)</f>
        <v>65</v>
      </c>
      <c r="K14" s="148">
        <f t="shared" si="5"/>
        <v>4158</v>
      </c>
      <c r="L14" s="154">
        <f t="shared" si="3"/>
        <v>270270</v>
      </c>
      <c r="R14" s="7" t="s">
        <v>83</v>
      </c>
      <c r="S14" s="9">
        <v>2</v>
      </c>
    </row>
    <row r="15" spans="1:24" ht="14.75" customHeight="1" x14ac:dyDescent="0.35">
      <c r="A15" s="14" t="s">
        <v>26</v>
      </c>
      <c r="B15" s="58" t="s">
        <v>381</v>
      </c>
      <c r="C15" s="19" t="s">
        <v>7</v>
      </c>
      <c r="D15" s="18">
        <v>43</v>
      </c>
      <c r="E15" s="15">
        <f t="shared" si="0"/>
        <v>154</v>
      </c>
      <c r="F15" s="16">
        <v>1</v>
      </c>
      <c r="G15" s="15">
        <f t="shared" si="1"/>
        <v>6622</v>
      </c>
      <c r="H15" s="15">
        <f t="shared" si="2"/>
        <v>6622</v>
      </c>
      <c r="I15" s="14">
        <f>VLOOKUP(B15,Ordering!$A$1:$J$88,6,FALSE)</f>
        <v>0.66</v>
      </c>
      <c r="J15" s="14">
        <f>VLOOKUP(B15,Ordering!$A$1:$J$88,10,FALSE)</f>
        <v>3.5</v>
      </c>
      <c r="K15" s="148">
        <f t="shared" ref="K15:K18" si="6">(H15/I15)/1000</f>
        <v>10.033333333333331</v>
      </c>
      <c r="L15" s="154">
        <f t="shared" ref="L15:L18" si="7">J15*K15</f>
        <v>35.11666666666666</v>
      </c>
      <c r="R15" s="10" t="s">
        <v>84</v>
      </c>
      <c r="S15" s="11">
        <f>S13+S14</f>
        <v>154</v>
      </c>
    </row>
    <row r="16" spans="1:24" ht="14.75" customHeight="1" x14ac:dyDescent="0.35">
      <c r="A16" s="14" t="s">
        <v>12</v>
      </c>
      <c r="B16" s="58" t="s">
        <v>331</v>
      </c>
      <c r="C16" s="19" t="s">
        <v>5</v>
      </c>
      <c r="D16" s="18">
        <v>1</v>
      </c>
      <c r="E16" s="15">
        <f t="shared" si="0"/>
        <v>154</v>
      </c>
      <c r="F16" s="16">
        <v>1</v>
      </c>
      <c r="G16" s="15">
        <f t="shared" si="1"/>
        <v>154</v>
      </c>
      <c r="H16" s="15">
        <f t="shared" si="2"/>
        <v>154</v>
      </c>
      <c r="I16" s="14">
        <f>VLOOKUP(B16,Ordering!$A$1:$J$88,6,FALSE)</f>
        <v>1</v>
      </c>
      <c r="J16" s="14">
        <f>VLOOKUP(B16,Ordering!$A$1:$J$88,10,FALSE)</f>
        <v>0.58333333333333337</v>
      </c>
      <c r="K16" s="148">
        <f t="shared" si="6"/>
        <v>0.154</v>
      </c>
      <c r="L16" s="154">
        <f t="shared" si="7"/>
        <v>8.9833333333333334E-2</v>
      </c>
      <c r="R16" s="53"/>
      <c r="S16" s="11"/>
    </row>
    <row r="17" spans="1:12" ht="14.75" customHeight="1" x14ac:dyDescent="0.35">
      <c r="A17" s="14" t="s">
        <v>26</v>
      </c>
      <c r="B17" s="58" t="s">
        <v>377</v>
      </c>
      <c r="C17" s="19" t="s">
        <v>7</v>
      </c>
      <c r="D17" s="18">
        <v>7.5</v>
      </c>
      <c r="E17" s="15">
        <f t="shared" si="0"/>
        <v>154</v>
      </c>
      <c r="F17" s="16">
        <v>1</v>
      </c>
      <c r="G17" s="15">
        <f t="shared" si="1"/>
        <v>1155</v>
      </c>
      <c r="H17" s="15">
        <f t="shared" si="2"/>
        <v>1155</v>
      </c>
      <c r="I17" s="14">
        <f>VLOOKUP(B17,Ordering!$A$1:$J$88,6,FALSE)</f>
        <v>0.56999999999999995</v>
      </c>
      <c r="J17" s="14">
        <f>VLOOKUP(B17,Ordering!$A$1:$J$88,10,FALSE)</f>
        <v>8.5</v>
      </c>
      <c r="K17" s="148">
        <f t="shared" si="6"/>
        <v>2.0263157894736845</v>
      </c>
      <c r="L17" s="154">
        <f t="shared" si="7"/>
        <v>17.223684210526319</v>
      </c>
    </row>
    <row r="18" spans="1:12" ht="14.75" customHeight="1" x14ac:dyDescent="0.35">
      <c r="A18" s="14" t="s">
        <v>38</v>
      </c>
      <c r="B18" s="58" t="s">
        <v>363</v>
      </c>
      <c r="C18" s="19" t="s">
        <v>5</v>
      </c>
      <c r="D18" s="18">
        <v>3</v>
      </c>
      <c r="E18" s="15">
        <f t="shared" si="0"/>
        <v>154</v>
      </c>
      <c r="F18" s="16">
        <v>1</v>
      </c>
      <c r="G18" s="15">
        <f t="shared" si="1"/>
        <v>462</v>
      </c>
      <c r="H18" s="15">
        <f t="shared" si="2"/>
        <v>462</v>
      </c>
      <c r="I18" s="14">
        <f>VLOOKUP(B18,Ordering!$A$1:$J$88,6,FALSE)</f>
        <v>1</v>
      </c>
      <c r="J18" s="14">
        <f>VLOOKUP(B18,Ordering!$A$1:$J$88,10,FALSE)</f>
        <v>0.26749999999999996</v>
      </c>
      <c r="K18" s="148">
        <f t="shared" si="6"/>
        <v>0.46200000000000002</v>
      </c>
      <c r="L18" s="154">
        <f t="shared" si="7"/>
        <v>0.12358499999999999</v>
      </c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38" orientation="landscape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2BF8-6B60-403F-9075-FA5A96718D86}">
  <sheetPr codeName="Sheet32">
    <tabColor theme="4" tint="-0.249977111117893"/>
    <pageSetUpPr fitToPage="1"/>
  </sheetPr>
  <dimension ref="A1:Y18"/>
  <sheetViews>
    <sheetView zoomScale="55" zoomScaleNormal="55" zoomScaleSheetLayoutView="100" workbookViewId="0">
      <selection activeCell="V12" sqref="V12"/>
    </sheetView>
  </sheetViews>
  <sheetFormatPr defaultColWidth="8.6640625" defaultRowHeight="14" x14ac:dyDescent="0.3"/>
  <cols>
    <col min="1" max="1" width="17.6640625" style="107" bestFit="1" customWidth="1"/>
    <col min="2" max="2" width="36.33203125" style="107" bestFit="1" customWidth="1"/>
    <col min="3" max="3" width="17.4140625" style="107" customWidth="1"/>
    <col min="4" max="4" width="14.5" style="107" bestFit="1" customWidth="1"/>
    <col min="5" max="5" width="14.33203125" style="107" bestFit="1" customWidth="1"/>
    <col min="6" max="6" width="11.5" style="107" bestFit="1" customWidth="1"/>
    <col min="7" max="7" width="8.6640625" style="107"/>
    <col min="8" max="8" width="29.83203125" style="107" bestFit="1" customWidth="1"/>
    <col min="9" max="9" width="8.6640625" style="107"/>
    <col min="10" max="10" width="14.5" style="107" bestFit="1" customWidth="1"/>
    <col min="11" max="11" width="10.9140625" style="107" customWidth="1"/>
    <col min="12" max="18" width="8.6640625" style="107"/>
    <col min="19" max="19" width="8.5" style="107" bestFit="1" customWidth="1"/>
    <col min="20" max="16384" width="8.6640625" style="107"/>
  </cols>
  <sheetData>
    <row r="1" spans="1:25" ht="39" x14ac:dyDescent="0.3">
      <c r="A1" s="104" t="s">
        <v>70</v>
      </c>
      <c r="B1" s="105">
        <v>1</v>
      </c>
      <c r="C1" s="104" t="s">
        <v>45</v>
      </c>
      <c r="D1" s="106">
        <f>S15</f>
        <v>8</v>
      </c>
      <c r="F1" s="104" t="s">
        <v>46</v>
      </c>
      <c r="G1" s="106">
        <f>D1/B1</f>
        <v>8</v>
      </c>
      <c r="H1" s="104" t="s">
        <v>90</v>
      </c>
      <c r="I1" s="133">
        <f>L28/M1</f>
        <v>0</v>
      </c>
      <c r="J1" s="104" t="s">
        <v>141</v>
      </c>
      <c r="K1" s="109" t="s">
        <v>140</v>
      </c>
      <c r="L1" s="110" t="s">
        <v>51</v>
      </c>
      <c r="M1" s="109">
        <v>0.68</v>
      </c>
      <c r="U1" s="234" t="s">
        <v>321</v>
      </c>
      <c r="V1" s="231">
        <v>6</v>
      </c>
    </row>
    <row r="2" spans="1:25" ht="14.25" customHeight="1" x14ac:dyDescent="0.3">
      <c r="A2" s="125"/>
      <c r="B2" s="253" t="s">
        <v>142</v>
      </c>
      <c r="C2" s="253"/>
      <c r="D2" s="253"/>
      <c r="E2" s="253"/>
      <c r="F2" s="253"/>
      <c r="G2" s="253"/>
      <c r="H2" s="253"/>
      <c r="I2" s="126"/>
      <c r="J2" s="126"/>
      <c r="K2" s="127"/>
    </row>
    <row r="3" spans="1:25" ht="14.25" customHeight="1" x14ac:dyDescent="0.3">
      <c r="A3" s="128"/>
      <c r="B3" s="254"/>
      <c r="C3" s="254"/>
      <c r="D3" s="254"/>
      <c r="E3" s="254"/>
      <c r="F3" s="254"/>
      <c r="G3" s="254"/>
      <c r="H3" s="254"/>
      <c r="I3" s="129"/>
      <c r="J3" s="129"/>
      <c r="K3" s="130"/>
    </row>
    <row r="4" spans="1:25" ht="39" x14ac:dyDescent="0.3">
      <c r="A4" s="104" t="s">
        <v>54</v>
      </c>
      <c r="B4" s="104" t="s">
        <v>136</v>
      </c>
      <c r="C4" s="104" t="s">
        <v>74</v>
      </c>
      <c r="D4" s="104" t="s">
        <v>57</v>
      </c>
      <c r="E4" s="111" t="s">
        <v>47</v>
      </c>
      <c r="F4" s="111" t="s">
        <v>75</v>
      </c>
      <c r="G4" s="104" t="s">
        <v>76</v>
      </c>
      <c r="H4" s="104" t="s">
        <v>77</v>
      </c>
      <c r="I4" s="153" t="s">
        <v>276</v>
      </c>
      <c r="J4" s="153" t="s">
        <v>78</v>
      </c>
      <c r="K4" s="153" t="s">
        <v>79</v>
      </c>
      <c r="L4" s="153" t="s">
        <v>80</v>
      </c>
    </row>
    <row r="5" spans="1:25" ht="14.5" x14ac:dyDescent="0.35">
      <c r="A5" s="112"/>
      <c r="B5" s="112" t="s">
        <v>191</v>
      </c>
      <c r="C5" s="132" t="s">
        <v>7</v>
      </c>
      <c r="D5" s="114">
        <f>135/M1</f>
        <v>198.52941176470586</v>
      </c>
      <c r="E5" s="115">
        <f t="shared" ref="E5:E10" si="0">$G$1</f>
        <v>8</v>
      </c>
      <c r="F5" s="116">
        <v>1</v>
      </c>
      <c r="G5" s="115">
        <f t="shared" ref="G5:G10" si="1">E5*D5</f>
        <v>1588.2352941176468</v>
      </c>
      <c r="H5" s="197">
        <f t="shared" ref="H5:H10" si="2">G5*F5</f>
        <v>1588.2352941176468</v>
      </c>
      <c r="I5" s="197">
        <f>VLOOKUP(B5,Ordering!$A$1:$J$88,6,FALSE)</f>
        <v>0.98</v>
      </c>
      <c r="J5" s="197">
        <f>VLOOKUP(B5,Ordering!$A$1:$J$88,10,FALSE)</f>
        <v>3.5</v>
      </c>
      <c r="K5" s="167">
        <f t="shared" ref="K5:K8" si="3">((H5/(I5))/1000)</f>
        <v>1.6206482593037213</v>
      </c>
      <c r="L5" s="198">
        <f t="shared" ref="L5:L10" si="4">J5*K5</f>
        <v>5.6722689075630246</v>
      </c>
    </row>
    <row r="6" spans="1:25" ht="14.5" x14ac:dyDescent="0.35">
      <c r="A6" s="112"/>
      <c r="B6" s="112" t="s">
        <v>176</v>
      </c>
      <c r="C6" s="132" t="s">
        <v>7</v>
      </c>
      <c r="D6" s="197">
        <f>M6/12</f>
        <v>0.41666666666666669</v>
      </c>
      <c r="E6" s="115">
        <f t="shared" si="0"/>
        <v>8</v>
      </c>
      <c r="F6" s="116">
        <v>1</v>
      </c>
      <c r="G6" s="115">
        <f t="shared" si="1"/>
        <v>3.3333333333333335</v>
      </c>
      <c r="H6" s="197">
        <f t="shared" si="2"/>
        <v>3.3333333333333335</v>
      </c>
      <c r="I6" s="197">
        <f>VLOOKUP(B6,Ordering!$A$1:$J$88,6,FALSE)</f>
        <v>1</v>
      </c>
      <c r="J6" s="197">
        <f>VLOOKUP(B6,Ordering!$A$1:$J$88,10,FALSE)</f>
        <v>31</v>
      </c>
      <c r="K6" s="167">
        <f t="shared" si="3"/>
        <v>3.3333333333333335E-3</v>
      </c>
      <c r="L6" s="198">
        <f t="shared" si="4"/>
        <v>0.10333333333333335</v>
      </c>
      <c r="M6" s="107">
        <v>5</v>
      </c>
    </row>
    <row r="7" spans="1:25" ht="14.5" x14ac:dyDescent="0.35">
      <c r="A7" s="112"/>
      <c r="B7" s="112" t="s">
        <v>175</v>
      </c>
      <c r="C7" s="132" t="s">
        <v>7</v>
      </c>
      <c r="D7" s="197">
        <f t="shared" ref="D7:D8" si="5">M7/12</f>
        <v>2.0833333333333335</v>
      </c>
      <c r="E7" s="115">
        <f t="shared" si="0"/>
        <v>8</v>
      </c>
      <c r="F7" s="116">
        <v>1</v>
      </c>
      <c r="G7" s="115">
        <f t="shared" si="1"/>
        <v>16.666666666666668</v>
      </c>
      <c r="H7" s="197">
        <f t="shared" si="2"/>
        <v>16.666666666666668</v>
      </c>
      <c r="I7" s="197">
        <f>VLOOKUP(B7,Ordering!$A$1:$J$88,6,FALSE)</f>
        <v>1</v>
      </c>
      <c r="J7" s="197">
        <f>VLOOKUP(B7,Ordering!$A$1:$J$88,10,FALSE)</f>
        <v>0.74</v>
      </c>
      <c r="K7" s="167">
        <f t="shared" si="3"/>
        <v>1.6666666666666666E-2</v>
      </c>
      <c r="L7" s="198">
        <f t="shared" si="4"/>
        <v>1.2333333333333333E-2</v>
      </c>
      <c r="M7" s="107">
        <v>25</v>
      </c>
    </row>
    <row r="8" spans="1:25" ht="14.5" x14ac:dyDescent="0.35">
      <c r="A8" s="112"/>
      <c r="B8" s="112" t="s">
        <v>172</v>
      </c>
      <c r="C8" s="132" t="s">
        <v>7</v>
      </c>
      <c r="D8" s="197">
        <f t="shared" si="5"/>
        <v>12.5</v>
      </c>
      <c r="E8" s="115">
        <f t="shared" si="0"/>
        <v>8</v>
      </c>
      <c r="F8" s="116">
        <v>1</v>
      </c>
      <c r="G8" s="115">
        <f t="shared" si="1"/>
        <v>100</v>
      </c>
      <c r="H8" s="197">
        <f t="shared" si="2"/>
        <v>100</v>
      </c>
      <c r="I8" s="197">
        <f>VLOOKUP(B8,Ordering!$A$1:$J$88,6,FALSE)</f>
        <v>1</v>
      </c>
      <c r="J8" s="197">
        <f>VLOOKUP(B8,Ordering!$A$1:$J$88,10,FALSE)</f>
        <v>30</v>
      </c>
      <c r="K8" s="167">
        <f t="shared" si="3"/>
        <v>0.1</v>
      </c>
      <c r="L8" s="198">
        <f t="shared" si="4"/>
        <v>3</v>
      </c>
      <c r="M8" s="107">
        <v>150</v>
      </c>
      <c r="V8" s="171" t="s">
        <v>277</v>
      </c>
      <c r="W8" s="172">
        <v>1</v>
      </c>
      <c r="X8" s="171" t="s">
        <v>80</v>
      </c>
      <c r="Y8" s="184">
        <f>SUM(L5:L10)/S15</f>
        <v>2.0066543399411048</v>
      </c>
    </row>
    <row r="9" spans="1:25" ht="14.5" x14ac:dyDescent="0.35">
      <c r="A9" s="112"/>
      <c r="B9" s="112" t="s">
        <v>144</v>
      </c>
      <c r="C9" s="132" t="s">
        <v>5</v>
      </c>
      <c r="D9" s="197">
        <v>2</v>
      </c>
      <c r="E9" s="115">
        <f t="shared" si="0"/>
        <v>8</v>
      </c>
      <c r="F9" s="116">
        <v>1</v>
      </c>
      <c r="G9" s="115">
        <f t="shared" si="1"/>
        <v>16</v>
      </c>
      <c r="H9" s="197">
        <f t="shared" si="2"/>
        <v>16</v>
      </c>
      <c r="I9" s="197">
        <f>VLOOKUP(B9,Ordering!$A$1:$J$88,6,FALSE)</f>
        <v>0.96</v>
      </c>
      <c r="J9" s="197">
        <f>VLOOKUP(B9,Ordering!$A$1:$J$88,10,FALSE)</f>
        <v>0.43333333333333335</v>
      </c>
      <c r="K9" s="197">
        <f t="shared" ref="K9" si="6">(H9/I9)</f>
        <v>16.666666666666668</v>
      </c>
      <c r="L9" s="198">
        <f t="shared" si="4"/>
        <v>7.2222222222222232</v>
      </c>
      <c r="M9" s="107">
        <v>4</v>
      </c>
    </row>
    <row r="10" spans="1:25" ht="14.5" x14ac:dyDescent="0.35">
      <c r="A10" s="112"/>
      <c r="B10" s="112" t="s">
        <v>199</v>
      </c>
      <c r="C10" s="132" t="s">
        <v>7</v>
      </c>
      <c r="D10" s="131">
        <v>1</v>
      </c>
      <c r="E10" s="115">
        <f t="shared" si="0"/>
        <v>8</v>
      </c>
      <c r="F10" s="116">
        <v>1</v>
      </c>
      <c r="G10" s="115">
        <f t="shared" si="1"/>
        <v>8</v>
      </c>
      <c r="H10" s="197">
        <f t="shared" si="2"/>
        <v>8</v>
      </c>
      <c r="I10" s="197">
        <f>VLOOKUP(B10,Ordering!$A$1:$J$88,6,FALSE)</f>
        <v>0.65</v>
      </c>
      <c r="J10" s="197">
        <f>VLOOKUP(B10,Ordering!$A$1:$J$88,10,FALSE)</f>
        <v>3.5</v>
      </c>
      <c r="K10" s="167">
        <f t="shared" ref="K10" si="7">((H10/(I10))/1000)</f>
        <v>1.2307692307692306E-2</v>
      </c>
      <c r="L10" s="198">
        <f t="shared" si="4"/>
        <v>4.3076923076923068E-2</v>
      </c>
      <c r="R10" s="251" t="s">
        <v>139</v>
      </c>
      <c r="S10" s="251"/>
    </row>
    <row r="11" spans="1:25" x14ac:dyDescent="0.3">
      <c r="I11" s="152"/>
      <c r="J11" s="152"/>
      <c r="K11" s="152"/>
      <c r="R11" s="252" t="s">
        <v>62</v>
      </c>
      <c r="S11" s="252"/>
    </row>
    <row r="12" spans="1:25" ht="14.5" thickBot="1" x14ac:dyDescent="0.35">
      <c r="I12" s="152"/>
      <c r="J12" s="152"/>
      <c r="K12" s="152"/>
      <c r="R12" s="118" t="s">
        <v>63</v>
      </c>
      <c r="S12" s="119" t="s">
        <v>81</v>
      </c>
    </row>
    <row r="13" spans="1:25" ht="14.5" thickBot="1" x14ac:dyDescent="0.35">
      <c r="I13" s="152"/>
      <c r="J13" s="152"/>
      <c r="K13" s="152"/>
      <c r="R13" s="120" t="s">
        <v>82</v>
      </c>
      <c r="S13" s="121">
        <f>V1</f>
        <v>6</v>
      </c>
    </row>
    <row r="14" spans="1:25" ht="14.5" thickBot="1" x14ac:dyDescent="0.35">
      <c r="I14" s="152"/>
      <c r="J14" s="152"/>
      <c r="K14" s="152"/>
      <c r="R14" s="120" t="s">
        <v>83</v>
      </c>
      <c r="S14" s="122">
        <v>2</v>
      </c>
    </row>
    <row r="15" spans="1:25" x14ac:dyDescent="0.3">
      <c r="I15" s="152"/>
      <c r="J15" s="152"/>
      <c r="K15" s="152"/>
      <c r="R15" s="123" t="s">
        <v>84</v>
      </c>
      <c r="S15" s="124">
        <f>S13+S14</f>
        <v>8</v>
      </c>
    </row>
    <row r="16" spans="1:25" x14ac:dyDescent="0.3">
      <c r="I16" s="152"/>
      <c r="J16" s="152"/>
      <c r="K16" s="152"/>
      <c r="R16" s="195" t="s">
        <v>80</v>
      </c>
      <c r="S16" s="196">
        <f>SUM(L5:L10)</f>
        <v>16.053234719528838</v>
      </c>
    </row>
    <row r="17" spans="9:11" x14ac:dyDescent="0.3">
      <c r="I17" s="152"/>
      <c r="J17" s="152"/>
      <c r="K17" s="152"/>
    </row>
    <row r="18" spans="9:11" x14ac:dyDescent="0.3">
      <c r="I18" s="152"/>
      <c r="J18" s="152"/>
      <c r="K18" s="152"/>
    </row>
  </sheetData>
  <mergeCells count="3">
    <mergeCell ref="R10:S10"/>
    <mergeCell ref="R11:S11"/>
    <mergeCell ref="B2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822A6-EE25-4717-B34F-0D031F8DC493}">
  <dimension ref="A1:E129"/>
  <sheetViews>
    <sheetView topLeftCell="A7" workbookViewId="0">
      <selection activeCell="D15" sqref="D15"/>
    </sheetView>
  </sheetViews>
  <sheetFormatPr defaultRowHeight="14" x14ac:dyDescent="0.3"/>
  <cols>
    <col min="1" max="5" width="28.6640625" customWidth="1"/>
  </cols>
  <sheetData>
    <row r="1" spans="1:5" x14ac:dyDescent="0.3">
      <c r="A1" s="20" t="s">
        <v>322</v>
      </c>
      <c r="B1" s="20" t="s">
        <v>323</v>
      </c>
      <c r="C1" s="20" t="s">
        <v>324</v>
      </c>
      <c r="D1" s="20" t="s">
        <v>325</v>
      </c>
      <c r="E1" s="20" t="s">
        <v>326</v>
      </c>
    </row>
    <row r="2" spans="1:5" x14ac:dyDescent="0.3">
      <c r="A2" t="s">
        <v>328</v>
      </c>
      <c r="B2" t="s">
        <v>329</v>
      </c>
      <c r="C2" t="s">
        <v>171</v>
      </c>
      <c r="D2" t="s">
        <v>327</v>
      </c>
      <c r="E2" t="s">
        <v>330</v>
      </c>
    </row>
    <row r="3" spans="1:5" x14ac:dyDescent="0.3">
      <c r="A3" t="s">
        <v>328</v>
      </c>
      <c r="B3" t="s">
        <v>332</v>
      </c>
      <c r="C3" t="s">
        <v>149</v>
      </c>
      <c r="D3" t="s">
        <v>331</v>
      </c>
      <c r="E3" t="s">
        <v>330</v>
      </c>
    </row>
    <row r="4" spans="1:5" x14ac:dyDescent="0.3">
      <c r="A4" t="s">
        <v>328</v>
      </c>
      <c r="B4" t="s">
        <v>334</v>
      </c>
      <c r="C4" t="s">
        <v>148</v>
      </c>
      <c r="D4" t="s">
        <v>333</v>
      </c>
      <c r="E4" t="s">
        <v>330</v>
      </c>
    </row>
    <row r="5" spans="1:5" x14ac:dyDescent="0.3">
      <c r="A5" t="s">
        <v>328</v>
      </c>
      <c r="B5" t="s">
        <v>336</v>
      </c>
      <c r="C5" t="s">
        <v>150</v>
      </c>
      <c r="D5" t="s">
        <v>335</v>
      </c>
      <c r="E5" t="s">
        <v>330</v>
      </c>
    </row>
    <row r="6" spans="1:5" x14ac:dyDescent="0.3">
      <c r="A6" t="s">
        <v>328</v>
      </c>
      <c r="B6" t="s">
        <v>338</v>
      </c>
      <c r="C6" t="s">
        <v>156</v>
      </c>
      <c r="D6" t="s">
        <v>337</v>
      </c>
      <c r="E6" t="s">
        <v>330</v>
      </c>
    </row>
    <row r="7" spans="1:5" x14ac:dyDescent="0.3">
      <c r="A7" t="s">
        <v>328</v>
      </c>
      <c r="B7" t="s">
        <v>340</v>
      </c>
      <c r="C7" t="s">
        <v>154</v>
      </c>
      <c r="D7" t="s">
        <v>339</v>
      </c>
      <c r="E7" t="s">
        <v>330</v>
      </c>
    </row>
    <row r="8" spans="1:5" x14ac:dyDescent="0.3">
      <c r="A8" t="s">
        <v>328</v>
      </c>
      <c r="B8" t="s">
        <v>342</v>
      </c>
      <c r="C8" t="s">
        <v>153</v>
      </c>
      <c r="D8" t="s">
        <v>341</v>
      </c>
      <c r="E8" t="s">
        <v>330</v>
      </c>
    </row>
    <row r="9" spans="1:5" x14ac:dyDescent="0.3">
      <c r="A9" t="s">
        <v>328</v>
      </c>
      <c r="B9" t="s">
        <v>344</v>
      </c>
      <c r="C9" t="s">
        <v>155</v>
      </c>
      <c r="D9" t="s">
        <v>343</v>
      </c>
      <c r="E9" t="s">
        <v>330</v>
      </c>
    </row>
    <row r="10" spans="1:5" x14ac:dyDescent="0.3">
      <c r="A10" t="s">
        <v>328</v>
      </c>
      <c r="B10" t="s">
        <v>346</v>
      </c>
      <c r="C10" t="s">
        <v>160</v>
      </c>
      <c r="D10" t="s">
        <v>345</v>
      </c>
      <c r="E10" t="s">
        <v>330</v>
      </c>
    </row>
    <row r="11" spans="1:5" x14ac:dyDescent="0.3">
      <c r="A11" t="s">
        <v>328</v>
      </c>
      <c r="B11" t="s">
        <v>348</v>
      </c>
      <c r="C11" t="s">
        <v>159</v>
      </c>
      <c r="D11" t="s">
        <v>347</v>
      </c>
      <c r="E11" t="s">
        <v>330</v>
      </c>
    </row>
    <row r="12" spans="1:5" x14ac:dyDescent="0.3">
      <c r="A12" t="s">
        <v>328</v>
      </c>
      <c r="B12" t="s">
        <v>350</v>
      </c>
      <c r="C12" t="s">
        <v>275</v>
      </c>
      <c r="D12" t="s">
        <v>349</v>
      </c>
      <c r="E12" t="s">
        <v>330</v>
      </c>
    </row>
    <row r="13" spans="1:5" x14ac:dyDescent="0.3">
      <c r="A13" t="s">
        <v>328</v>
      </c>
      <c r="B13" t="s">
        <v>352</v>
      </c>
      <c r="C13" t="s">
        <v>274</v>
      </c>
      <c r="D13" t="s">
        <v>351</v>
      </c>
      <c r="E13" t="s">
        <v>330</v>
      </c>
    </row>
    <row r="14" spans="1:5" x14ac:dyDescent="0.3">
      <c r="A14" t="s">
        <v>328</v>
      </c>
      <c r="B14" t="s">
        <v>354</v>
      </c>
      <c r="C14" t="s">
        <v>268</v>
      </c>
      <c r="D14" t="s">
        <v>353</v>
      </c>
      <c r="E14" t="s">
        <v>330</v>
      </c>
    </row>
    <row r="15" spans="1:5" x14ac:dyDescent="0.3">
      <c r="A15" t="s">
        <v>328</v>
      </c>
      <c r="B15" t="s">
        <v>356</v>
      </c>
      <c r="C15" t="s">
        <v>157</v>
      </c>
      <c r="D15" t="s">
        <v>355</v>
      </c>
      <c r="E15" t="s">
        <v>330</v>
      </c>
    </row>
    <row r="16" spans="1:5" x14ac:dyDescent="0.3">
      <c r="A16" t="s">
        <v>328</v>
      </c>
      <c r="B16" t="s">
        <v>358</v>
      </c>
      <c r="C16" t="s">
        <v>158</v>
      </c>
      <c r="D16" t="s">
        <v>357</v>
      </c>
      <c r="E16" t="s">
        <v>330</v>
      </c>
    </row>
    <row r="17" spans="1:5" x14ac:dyDescent="0.3">
      <c r="A17" t="s">
        <v>328</v>
      </c>
      <c r="B17" t="s">
        <v>360</v>
      </c>
      <c r="C17" t="s">
        <v>288</v>
      </c>
      <c r="D17" t="s">
        <v>359</v>
      </c>
      <c r="E17" t="s">
        <v>330</v>
      </c>
    </row>
    <row r="18" spans="1:5" x14ac:dyDescent="0.3">
      <c r="A18" t="s">
        <v>328</v>
      </c>
      <c r="B18" t="s">
        <v>362</v>
      </c>
      <c r="C18" t="s">
        <v>290</v>
      </c>
      <c r="D18" t="s">
        <v>361</v>
      </c>
      <c r="E18" t="s">
        <v>330</v>
      </c>
    </row>
    <row r="19" spans="1:5" x14ac:dyDescent="0.3">
      <c r="A19" t="s">
        <v>328</v>
      </c>
      <c r="B19" t="s">
        <v>364</v>
      </c>
      <c r="C19" t="s">
        <v>289</v>
      </c>
      <c r="D19" t="s">
        <v>363</v>
      </c>
      <c r="E19" t="s">
        <v>330</v>
      </c>
    </row>
    <row r="20" spans="1:5" x14ac:dyDescent="0.3">
      <c r="A20" t="s">
        <v>328</v>
      </c>
      <c r="B20" t="s">
        <v>366</v>
      </c>
      <c r="C20" t="s">
        <v>292</v>
      </c>
      <c r="D20" t="s">
        <v>365</v>
      </c>
      <c r="E20" t="s">
        <v>330</v>
      </c>
    </row>
    <row r="21" spans="1:5" x14ac:dyDescent="0.3">
      <c r="A21" t="s">
        <v>328</v>
      </c>
      <c r="B21" t="s">
        <v>368</v>
      </c>
      <c r="C21" t="s">
        <v>151</v>
      </c>
      <c r="D21" t="s">
        <v>367</v>
      </c>
      <c r="E21" t="s">
        <v>330</v>
      </c>
    </row>
    <row r="22" spans="1:5" x14ac:dyDescent="0.3">
      <c r="A22" t="s">
        <v>328</v>
      </c>
      <c r="B22" t="s">
        <v>370</v>
      </c>
      <c r="C22" t="s">
        <v>208</v>
      </c>
      <c r="D22" t="s">
        <v>369</v>
      </c>
      <c r="E22" t="s">
        <v>330</v>
      </c>
    </row>
    <row r="23" spans="1:5" x14ac:dyDescent="0.3">
      <c r="A23" t="s">
        <v>328</v>
      </c>
      <c r="B23" t="s">
        <v>372</v>
      </c>
      <c r="C23" t="s">
        <v>152</v>
      </c>
      <c r="D23" t="s">
        <v>371</v>
      </c>
      <c r="E23" t="s">
        <v>330</v>
      </c>
    </row>
    <row r="24" spans="1:5" x14ac:dyDescent="0.3">
      <c r="A24" t="s">
        <v>328</v>
      </c>
      <c r="B24" t="s">
        <v>374</v>
      </c>
      <c r="C24" t="s">
        <v>147</v>
      </c>
      <c r="D24" t="s">
        <v>373</v>
      </c>
      <c r="E24" t="s">
        <v>330</v>
      </c>
    </row>
    <row r="25" spans="1:5" x14ac:dyDescent="0.3">
      <c r="A25" t="s">
        <v>328</v>
      </c>
      <c r="B25" t="s">
        <v>376</v>
      </c>
      <c r="C25" t="s">
        <v>146</v>
      </c>
      <c r="D25" t="s">
        <v>375</v>
      </c>
      <c r="E25" t="s">
        <v>330</v>
      </c>
    </row>
    <row r="26" spans="1:5" x14ac:dyDescent="0.3">
      <c r="A26" t="s">
        <v>328</v>
      </c>
      <c r="B26" t="s">
        <v>378</v>
      </c>
      <c r="C26" t="s">
        <v>127</v>
      </c>
      <c r="D26" t="s">
        <v>377</v>
      </c>
      <c r="E26" t="s">
        <v>330</v>
      </c>
    </row>
    <row r="27" spans="1:5" x14ac:dyDescent="0.3">
      <c r="A27" t="s">
        <v>328</v>
      </c>
      <c r="B27" t="s">
        <v>380</v>
      </c>
      <c r="C27" t="s">
        <v>162</v>
      </c>
      <c r="D27" t="s">
        <v>379</v>
      </c>
      <c r="E27" t="s">
        <v>330</v>
      </c>
    </row>
    <row r="28" spans="1:5" x14ac:dyDescent="0.3">
      <c r="A28" t="s">
        <v>328</v>
      </c>
      <c r="B28" t="s">
        <v>382</v>
      </c>
      <c r="C28" t="s">
        <v>161</v>
      </c>
      <c r="D28" t="s">
        <v>381</v>
      </c>
      <c r="E28" t="s">
        <v>330</v>
      </c>
    </row>
    <row r="29" spans="1:5" x14ac:dyDescent="0.3">
      <c r="A29" t="s">
        <v>328</v>
      </c>
      <c r="B29" t="s">
        <v>384</v>
      </c>
      <c r="C29" t="s">
        <v>163</v>
      </c>
      <c r="D29" t="s">
        <v>383</v>
      </c>
      <c r="E29" t="s">
        <v>330</v>
      </c>
    </row>
    <row r="30" spans="1:5" x14ac:dyDescent="0.3">
      <c r="A30" t="s">
        <v>328</v>
      </c>
      <c r="B30" t="s">
        <v>386</v>
      </c>
      <c r="C30" t="s">
        <v>165</v>
      </c>
      <c r="D30" t="s">
        <v>385</v>
      </c>
      <c r="E30" t="s">
        <v>330</v>
      </c>
    </row>
    <row r="31" spans="1:5" x14ac:dyDescent="0.3">
      <c r="A31" t="s">
        <v>328</v>
      </c>
      <c r="B31" t="s">
        <v>388</v>
      </c>
      <c r="C31" t="s">
        <v>164</v>
      </c>
      <c r="D31" t="s">
        <v>387</v>
      </c>
      <c r="E31" t="s">
        <v>330</v>
      </c>
    </row>
    <row r="32" spans="1:5" x14ac:dyDescent="0.3">
      <c r="A32" t="s">
        <v>328</v>
      </c>
      <c r="B32" t="s">
        <v>390</v>
      </c>
      <c r="C32" t="s">
        <v>202</v>
      </c>
      <c r="D32" t="s">
        <v>389</v>
      </c>
      <c r="E32" t="s">
        <v>330</v>
      </c>
    </row>
    <row r="33" spans="1:5" x14ac:dyDescent="0.3">
      <c r="A33" t="s">
        <v>3</v>
      </c>
      <c r="B33" t="s">
        <v>392</v>
      </c>
      <c r="C33" t="s">
        <v>56</v>
      </c>
      <c r="D33" t="s">
        <v>391</v>
      </c>
      <c r="E33" t="s">
        <v>330</v>
      </c>
    </row>
    <row r="34" spans="1:5" x14ac:dyDescent="0.3">
      <c r="A34" t="s">
        <v>3</v>
      </c>
      <c r="B34" t="s">
        <v>393</v>
      </c>
      <c r="C34" t="s">
        <v>58</v>
      </c>
      <c r="D34" t="s">
        <v>394</v>
      </c>
      <c r="E34" t="s">
        <v>395</v>
      </c>
    </row>
    <row r="35" spans="1:5" x14ac:dyDescent="0.3">
      <c r="A35" t="s">
        <v>3</v>
      </c>
      <c r="B35" t="s">
        <v>396</v>
      </c>
      <c r="C35" t="s">
        <v>59</v>
      </c>
      <c r="D35" t="s">
        <v>397</v>
      </c>
      <c r="E35" t="s">
        <v>395</v>
      </c>
    </row>
    <row r="36" spans="1:5" x14ac:dyDescent="0.3">
      <c r="A36" t="s">
        <v>3</v>
      </c>
      <c r="B36" t="s">
        <v>398</v>
      </c>
      <c r="C36" t="s">
        <v>60</v>
      </c>
      <c r="D36" t="s">
        <v>399</v>
      </c>
      <c r="E36" t="s">
        <v>395</v>
      </c>
    </row>
    <row r="37" spans="1:5" x14ac:dyDescent="0.3">
      <c r="A37" t="s">
        <v>3</v>
      </c>
      <c r="B37" t="s">
        <v>400</v>
      </c>
      <c r="C37" t="s">
        <v>61</v>
      </c>
      <c r="D37" t="s">
        <v>401</v>
      </c>
      <c r="E37" t="s">
        <v>395</v>
      </c>
    </row>
    <row r="38" spans="1:5" x14ac:dyDescent="0.3">
      <c r="A38" t="s">
        <v>3</v>
      </c>
      <c r="B38" t="s">
        <v>402</v>
      </c>
      <c r="C38" t="s">
        <v>152</v>
      </c>
      <c r="D38" t="s">
        <v>371</v>
      </c>
      <c r="E38" t="s">
        <v>330</v>
      </c>
    </row>
    <row r="39" spans="1:5" x14ac:dyDescent="0.3">
      <c r="A39" t="s">
        <v>3</v>
      </c>
      <c r="B39" t="s">
        <v>403</v>
      </c>
      <c r="C39" t="s">
        <v>292</v>
      </c>
      <c r="D39" t="s">
        <v>365</v>
      </c>
      <c r="E39" t="s">
        <v>330</v>
      </c>
    </row>
    <row r="40" spans="1:5" x14ac:dyDescent="0.3">
      <c r="A40" t="s">
        <v>6</v>
      </c>
      <c r="B40" t="s">
        <v>404</v>
      </c>
      <c r="C40" t="s">
        <v>288</v>
      </c>
      <c r="D40" t="s">
        <v>359</v>
      </c>
      <c r="E40" t="s">
        <v>330</v>
      </c>
    </row>
    <row r="41" spans="1:5" x14ac:dyDescent="0.3">
      <c r="A41" t="s">
        <v>8</v>
      </c>
      <c r="B41" t="s">
        <v>402</v>
      </c>
      <c r="C41" t="s">
        <v>151</v>
      </c>
      <c r="D41" t="s">
        <v>367</v>
      </c>
      <c r="E41" t="s">
        <v>330</v>
      </c>
    </row>
    <row r="42" spans="1:5" x14ac:dyDescent="0.3">
      <c r="A42" t="s">
        <v>8</v>
      </c>
      <c r="B42" t="s">
        <v>405</v>
      </c>
      <c r="C42" t="s">
        <v>148</v>
      </c>
      <c r="D42" t="s">
        <v>333</v>
      </c>
      <c r="E42" t="s">
        <v>330</v>
      </c>
    </row>
    <row r="43" spans="1:5" x14ac:dyDescent="0.3">
      <c r="A43" t="s">
        <v>9</v>
      </c>
      <c r="B43" t="s">
        <v>402</v>
      </c>
      <c r="C43" t="s">
        <v>146</v>
      </c>
      <c r="D43" t="s">
        <v>375</v>
      </c>
      <c r="E43" t="s">
        <v>330</v>
      </c>
    </row>
    <row r="44" spans="1:5" x14ac:dyDescent="0.3">
      <c r="A44" t="s">
        <v>9</v>
      </c>
      <c r="B44" t="s">
        <v>406</v>
      </c>
      <c r="C44" t="s">
        <v>161</v>
      </c>
      <c r="D44" t="s">
        <v>381</v>
      </c>
      <c r="E44" t="s">
        <v>330</v>
      </c>
    </row>
    <row r="45" spans="1:5" x14ac:dyDescent="0.3">
      <c r="A45" t="s">
        <v>9</v>
      </c>
      <c r="B45" t="s">
        <v>405</v>
      </c>
      <c r="C45" t="s">
        <v>127</v>
      </c>
      <c r="D45" t="s">
        <v>377</v>
      </c>
      <c r="E45" t="s">
        <v>330</v>
      </c>
    </row>
    <row r="46" spans="1:5" x14ac:dyDescent="0.3">
      <c r="A46" t="s">
        <v>9</v>
      </c>
      <c r="B46" t="s">
        <v>407</v>
      </c>
      <c r="C46" t="s">
        <v>149</v>
      </c>
      <c r="D46" t="s">
        <v>331</v>
      </c>
      <c r="E46" t="s">
        <v>330</v>
      </c>
    </row>
    <row r="47" spans="1:5" x14ac:dyDescent="0.3">
      <c r="A47" t="s">
        <v>9</v>
      </c>
      <c r="B47" t="s">
        <v>404</v>
      </c>
      <c r="C47" t="s">
        <v>289</v>
      </c>
      <c r="D47" t="s">
        <v>363</v>
      </c>
      <c r="E47" t="s">
        <v>330</v>
      </c>
    </row>
    <row r="48" spans="1:5" x14ac:dyDescent="0.3">
      <c r="A48" t="s">
        <v>10</v>
      </c>
      <c r="B48" t="s">
        <v>406</v>
      </c>
      <c r="C48" t="s">
        <v>274</v>
      </c>
      <c r="D48" t="s">
        <v>351</v>
      </c>
      <c r="E48" t="s">
        <v>330</v>
      </c>
    </row>
    <row r="49" spans="1:5" x14ac:dyDescent="0.3">
      <c r="A49" t="s">
        <v>10</v>
      </c>
      <c r="B49" t="s">
        <v>405</v>
      </c>
      <c r="C49" t="s">
        <v>165</v>
      </c>
      <c r="D49" t="s">
        <v>385</v>
      </c>
      <c r="E49" t="s">
        <v>330</v>
      </c>
    </row>
    <row r="50" spans="1:5" x14ac:dyDescent="0.3">
      <c r="A50" t="s">
        <v>10</v>
      </c>
      <c r="B50" t="s">
        <v>408</v>
      </c>
      <c r="C50" t="s">
        <v>208</v>
      </c>
      <c r="D50" t="s">
        <v>369</v>
      </c>
      <c r="E50" t="s">
        <v>330</v>
      </c>
    </row>
    <row r="51" spans="1:5" x14ac:dyDescent="0.3">
      <c r="A51" t="s">
        <v>36</v>
      </c>
      <c r="B51" t="s">
        <v>402</v>
      </c>
      <c r="C51" t="s">
        <v>151</v>
      </c>
      <c r="D51" t="s">
        <v>367</v>
      </c>
      <c r="E51" t="s">
        <v>330</v>
      </c>
    </row>
    <row r="52" spans="1:5" x14ac:dyDescent="0.3">
      <c r="A52" t="s">
        <v>36</v>
      </c>
      <c r="B52" t="s">
        <v>406</v>
      </c>
      <c r="C52" t="s">
        <v>146</v>
      </c>
      <c r="D52" t="s">
        <v>375</v>
      </c>
      <c r="E52" t="s">
        <v>330</v>
      </c>
    </row>
    <row r="53" spans="1:5" x14ac:dyDescent="0.3">
      <c r="A53" t="s">
        <v>36</v>
      </c>
      <c r="B53" t="s">
        <v>405</v>
      </c>
      <c r="C53" t="s">
        <v>127</v>
      </c>
      <c r="D53" t="s">
        <v>377</v>
      </c>
      <c r="E53" t="s">
        <v>330</v>
      </c>
    </row>
    <row r="54" spans="1:5" x14ac:dyDescent="0.3">
      <c r="A54" t="s">
        <v>36</v>
      </c>
      <c r="B54" t="s">
        <v>408</v>
      </c>
      <c r="C54" t="s">
        <v>161</v>
      </c>
      <c r="D54" t="s">
        <v>381</v>
      </c>
      <c r="E54" t="s">
        <v>330</v>
      </c>
    </row>
    <row r="55" spans="1:5" x14ac:dyDescent="0.3">
      <c r="A55" t="s">
        <v>11</v>
      </c>
      <c r="B55" t="s">
        <v>402</v>
      </c>
      <c r="C55" t="s">
        <v>147</v>
      </c>
      <c r="D55" t="s">
        <v>373</v>
      </c>
      <c r="E55" t="s">
        <v>330</v>
      </c>
    </row>
    <row r="56" spans="1:5" x14ac:dyDescent="0.3">
      <c r="A56" t="s">
        <v>11</v>
      </c>
      <c r="B56" t="s">
        <v>409</v>
      </c>
      <c r="C56" t="s">
        <v>288</v>
      </c>
      <c r="D56" t="s">
        <v>359</v>
      </c>
      <c r="E56" t="s">
        <v>330</v>
      </c>
    </row>
    <row r="57" spans="1:5" x14ac:dyDescent="0.3">
      <c r="A57" t="s">
        <v>13</v>
      </c>
      <c r="B57" t="s">
        <v>402</v>
      </c>
      <c r="C57" t="s">
        <v>159</v>
      </c>
      <c r="D57" t="s">
        <v>347</v>
      </c>
      <c r="E57" t="s">
        <v>330</v>
      </c>
    </row>
    <row r="58" spans="1:5" x14ac:dyDescent="0.3">
      <c r="A58" t="s">
        <v>13</v>
      </c>
      <c r="B58" t="s">
        <v>406</v>
      </c>
      <c r="C58" t="s">
        <v>160</v>
      </c>
      <c r="D58" t="s">
        <v>345</v>
      </c>
      <c r="E58" t="s">
        <v>330</v>
      </c>
    </row>
    <row r="59" spans="1:5" x14ac:dyDescent="0.3">
      <c r="A59" t="s">
        <v>13</v>
      </c>
      <c r="B59" t="s">
        <v>407</v>
      </c>
      <c r="C59" t="s">
        <v>153</v>
      </c>
      <c r="D59" t="s">
        <v>341</v>
      </c>
      <c r="E59" t="s">
        <v>330</v>
      </c>
    </row>
    <row r="60" spans="1:5" x14ac:dyDescent="0.3">
      <c r="A60" t="s">
        <v>13</v>
      </c>
      <c r="B60" t="s">
        <v>404</v>
      </c>
      <c r="C60" t="s">
        <v>292</v>
      </c>
      <c r="D60" t="s">
        <v>365</v>
      </c>
      <c r="E60" t="s">
        <v>330</v>
      </c>
    </row>
    <row r="61" spans="1:5" x14ac:dyDescent="0.3">
      <c r="A61" t="s">
        <v>13</v>
      </c>
      <c r="B61" t="s">
        <v>410</v>
      </c>
      <c r="C61" t="s">
        <v>157</v>
      </c>
      <c r="D61" t="s">
        <v>355</v>
      </c>
      <c r="E61" t="s">
        <v>330</v>
      </c>
    </row>
    <row r="62" spans="1:5" x14ac:dyDescent="0.3">
      <c r="A62" t="s">
        <v>15</v>
      </c>
      <c r="B62" t="s">
        <v>408</v>
      </c>
      <c r="C62" t="s">
        <v>208</v>
      </c>
      <c r="D62" t="s">
        <v>369</v>
      </c>
      <c r="E62" t="s">
        <v>330</v>
      </c>
    </row>
    <row r="63" spans="1:5" x14ac:dyDescent="0.3">
      <c r="A63" t="s">
        <v>16</v>
      </c>
      <c r="B63" t="s">
        <v>406</v>
      </c>
      <c r="C63" t="s">
        <v>163</v>
      </c>
      <c r="D63" t="s">
        <v>383</v>
      </c>
      <c r="E63" t="s">
        <v>330</v>
      </c>
    </row>
    <row r="64" spans="1:5" x14ac:dyDescent="0.3">
      <c r="A64" t="s">
        <v>16</v>
      </c>
      <c r="B64" t="s">
        <v>409</v>
      </c>
      <c r="C64" t="s">
        <v>289</v>
      </c>
      <c r="D64" t="s">
        <v>363</v>
      </c>
      <c r="E64" t="s">
        <v>330</v>
      </c>
    </row>
    <row r="65" spans="1:5" x14ac:dyDescent="0.3">
      <c r="A65" t="s">
        <v>17</v>
      </c>
      <c r="B65" t="s">
        <v>411</v>
      </c>
      <c r="C65" t="s">
        <v>288</v>
      </c>
      <c r="D65" t="s">
        <v>359</v>
      </c>
      <c r="E65" t="s">
        <v>330</v>
      </c>
    </row>
    <row r="66" spans="1:5" x14ac:dyDescent="0.3">
      <c r="A66" t="s">
        <v>18</v>
      </c>
      <c r="B66" t="s">
        <v>402</v>
      </c>
      <c r="C66" t="s">
        <v>290</v>
      </c>
      <c r="D66" t="s">
        <v>361</v>
      </c>
      <c r="E66" t="s">
        <v>330</v>
      </c>
    </row>
    <row r="67" spans="1:5" x14ac:dyDescent="0.3">
      <c r="A67" t="s">
        <v>18</v>
      </c>
      <c r="B67" t="s">
        <v>406</v>
      </c>
      <c r="C67" t="s">
        <v>202</v>
      </c>
      <c r="D67" t="s">
        <v>389</v>
      </c>
      <c r="E67" t="s">
        <v>330</v>
      </c>
    </row>
    <row r="68" spans="1:5" x14ac:dyDescent="0.3">
      <c r="A68" t="s">
        <v>18</v>
      </c>
      <c r="B68" t="s">
        <v>407</v>
      </c>
      <c r="C68" t="s">
        <v>171</v>
      </c>
      <c r="D68" t="s">
        <v>327</v>
      </c>
      <c r="E68" t="s">
        <v>330</v>
      </c>
    </row>
    <row r="69" spans="1:5" x14ac:dyDescent="0.3">
      <c r="A69" t="s">
        <v>19</v>
      </c>
      <c r="B69" t="s">
        <v>402</v>
      </c>
      <c r="C69" t="s">
        <v>151</v>
      </c>
      <c r="D69" t="s">
        <v>367</v>
      </c>
      <c r="E69" t="s">
        <v>330</v>
      </c>
    </row>
    <row r="70" spans="1:5" x14ac:dyDescent="0.3">
      <c r="A70" t="s">
        <v>20</v>
      </c>
      <c r="B70" t="s">
        <v>402</v>
      </c>
      <c r="C70" t="s">
        <v>150</v>
      </c>
      <c r="D70" t="s">
        <v>335</v>
      </c>
      <c r="E70" t="s">
        <v>330</v>
      </c>
    </row>
    <row r="71" spans="1:5" x14ac:dyDescent="0.3">
      <c r="A71" t="s">
        <v>20</v>
      </c>
      <c r="B71" t="s">
        <v>406</v>
      </c>
      <c r="C71" t="s">
        <v>161</v>
      </c>
      <c r="D71" t="s">
        <v>381</v>
      </c>
      <c r="E71" t="s">
        <v>330</v>
      </c>
    </row>
    <row r="72" spans="1:5" x14ac:dyDescent="0.3">
      <c r="A72" t="s">
        <v>20</v>
      </c>
      <c r="B72" t="s">
        <v>405</v>
      </c>
      <c r="C72" t="s">
        <v>162</v>
      </c>
      <c r="D72" t="s">
        <v>379</v>
      </c>
      <c r="E72" t="s">
        <v>330</v>
      </c>
    </row>
    <row r="73" spans="1:5" x14ac:dyDescent="0.3">
      <c r="A73" t="s">
        <v>20</v>
      </c>
      <c r="B73" t="s">
        <v>408</v>
      </c>
      <c r="C73" t="s">
        <v>288</v>
      </c>
      <c r="D73" t="s">
        <v>359</v>
      </c>
      <c r="E73" t="s">
        <v>330</v>
      </c>
    </row>
    <row r="74" spans="1:5" x14ac:dyDescent="0.3">
      <c r="A74" t="s">
        <v>21</v>
      </c>
      <c r="B74" t="s">
        <v>406</v>
      </c>
      <c r="C74" t="s">
        <v>163</v>
      </c>
      <c r="D74" t="s">
        <v>383</v>
      </c>
      <c r="E74" t="s">
        <v>330</v>
      </c>
    </row>
    <row r="75" spans="1:5" x14ac:dyDescent="0.3">
      <c r="A75" t="s">
        <v>21</v>
      </c>
      <c r="B75" t="s">
        <v>409</v>
      </c>
      <c r="C75" t="s">
        <v>289</v>
      </c>
      <c r="D75" t="s">
        <v>363</v>
      </c>
      <c r="E75" t="s">
        <v>330</v>
      </c>
    </row>
    <row r="76" spans="1:5" x14ac:dyDescent="0.3">
      <c r="A76" t="s">
        <v>14</v>
      </c>
      <c r="B76" t="s">
        <v>402</v>
      </c>
      <c r="C76" t="s">
        <v>275</v>
      </c>
      <c r="D76" t="s">
        <v>349</v>
      </c>
      <c r="E76" t="s">
        <v>330</v>
      </c>
    </row>
    <row r="77" spans="1:5" x14ac:dyDescent="0.3">
      <c r="A77" t="s">
        <v>14</v>
      </c>
      <c r="B77" t="s">
        <v>406</v>
      </c>
      <c r="C77" t="s">
        <v>146</v>
      </c>
      <c r="D77" t="s">
        <v>375</v>
      </c>
      <c r="E77" t="s">
        <v>330</v>
      </c>
    </row>
    <row r="78" spans="1:5" x14ac:dyDescent="0.3">
      <c r="A78" t="s">
        <v>14</v>
      </c>
      <c r="B78" t="s">
        <v>405</v>
      </c>
      <c r="C78" t="s">
        <v>161</v>
      </c>
      <c r="D78" t="s">
        <v>381</v>
      </c>
      <c r="E78" t="s">
        <v>330</v>
      </c>
    </row>
    <row r="79" spans="1:5" x14ac:dyDescent="0.3">
      <c r="A79" t="s">
        <v>14</v>
      </c>
      <c r="B79" t="s">
        <v>408</v>
      </c>
      <c r="C79" t="s">
        <v>127</v>
      </c>
      <c r="D79" t="s">
        <v>377</v>
      </c>
      <c r="E79" t="s">
        <v>330</v>
      </c>
    </row>
    <row r="80" spans="1:5" x14ac:dyDescent="0.3">
      <c r="A80" t="s">
        <v>14</v>
      </c>
      <c r="B80" t="s">
        <v>407</v>
      </c>
      <c r="C80" t="s">
        <v>288</v>
      </c>
      <c r="D80" t="s">
        <v>359</v>
      </c>
      <c r="E80" t="s">
        <v>330</v>
      </c>
    </row>
    <row r="81" spans="1:5" x14ac:dyDescent="0.3">
      <c r="A81" t="s">
        <v>22</v>
      </c>
      <c r="B81" t="s">
        <v>406</v>
      </c>
      <c r="C81" t="s">
        <v>161</v>
      </c>
      <c r="D81" t="s">
        <v>381</v>
      </c>
      <c r="E81" t="s">
        <v>330</v>
      </c>
    </row>
    <row r="82" spans="1:5" x14ac:dyDescent="0.3">
      <c r="A82" t="s">
        <v>22</v>
      </c>
      <c r="B82" t="s">
        <v>404</v>
      </c>
      <c r="C82" t="s">
        <v>288</v>
      </c>
      <c r="D82" t="s">
        <v>359</v>
      </c>
      <c r="E82" t="s">
        <v>330</v>
      </c>
    </row>
    <row r="83" spans="1:5" x14ac:dyDescent="0.3">
      <c r="A83" t="s">
        <v>22</v>
      </c>
      <c r="B83" t="s">
        <v>410</v>
      </c>
      <c r="C83" t="s">
        <v>127</v>
      </c>
      <c r="D83" t="s">
        <v>377</v>
      </c>
      <c r="E83" t="s">
        <v>330</v>
      </c>
    </row>
    <row r="84" spans="1:5" x14ac:dyDescent="0.3">
      <c r="A84" t="s">
        <v>23</v>
      </c>
      <c r="B84" t="s">
        <v>402</v>
      </c>
      <c r="C84" t="s">
        <v>151</v>
      </c>
      <c r="D84" t="s">
        <v>367</v>
      </c>
      <c r="E84" t="s">
        <v>330</v>
      </c>
    </row>
    <row r="85" spans="1:5" x14ac:dyDescent="0.3">
      <c r="A85" t="s">
        <v>23</v>
      </c>
      <c r="B85" t="s">
        <v>406</v>
      </c>
      <c r="C85" t="s">
        <v>161</v>
      </c>
      <c r="D85" t="s">
        <v>381</v>
      </c>
      <c r="E85" t="s">
        <v>330</v>
      </c>
    </row>
    <row r="86" spans="1:5" x14ac:dyDescent="0.3">
      <c r="A86" t="s">
        <v>23</v>
      </c>
      <c r="B86" t="s">
        <v>405</v>
      </c>
      <c r="C86" t="s">
        <v>162</v>
      </c>
      <c r="D86" t="s">
        <v>379</v>
      </c>
      <c r="E86" t="s">
        <v>330</v>
      </c>
    </row>
    <row r="87" spans="1:5" x14ac:dyDescent="0.3">
      <c r="A87" t="s">
        <v>23</v>
      </c>
      <c r="B87" t="s">
        <v>408</v>
      </c>
      <c r="C87" t="s">
        <v>148</v>
      </c>
      <c r="D87" t="s">
        <v>333</v>
      </c>
      <c r="E87" t="s">
        <v>330</v>
      </c>
    </row>
    <row r="88" spans="1:5" x14ac:dyDescent="0.3">
      <c r="A88" t="s">
        <v>24</v>
      </c>
      <c r="B88" t="s">
        <v>408</v>
      </c>
      <c r="C88" t="s">
        <v>163</v>
      </c>
      <c r="D88" t="s">
        <v>383</v>
      </c>
      <c r="E88" t="s">
        <v>330</v>
      </c>
    </row>
    <row r="89" spans="1:5" x14ac:dyDescent="0.3">
      <c r="A89" t="s">
        <v>24</v>
      </c>
      <c r="B89" t="s">
        <v>412</v>
      </c>
      <c r="C89" t="s">
        <v>146</v>
      </c>
      <c r="D89" t="s">
        <v>375</v>
      </c>
      <c r="E89" t="s">
        <v>330</v>
      </c>
    </row>
    <row r="90" spans="1:5" x14ac:dyDescent="0.3">
      <c r="A90" t="s">
        <v>24</v>
      </c>
      <c r="B90" t="s">
        <v>403</v>
      </c>
      <c r="C90" t="s">
        <v>161</v>
      </c>
      <c r="D90" t="s">
        <v>381</v>
      </c>
      <c r="E90" t="s">
        <v>330</v>
      </c>
    </row>
    <row r="91" spans="1:5" x14ac:dyDescent="0.3">
      <c r="A91" t="s">
        <v>24</v>
      </c>
      <c r="B91" t="s">
        <v>413</v>
      </c>
      <c r="C91" t="s">
        <v>149</v>
      </c>
      <c r="D91" t="s">
        <v>331</v>
      </c>
      <c r="E91" t="s">
        <v>330</v>
      </c>
    </row>
    <row r="92" spans="1:5" x14ac:dyDescent="0.3">
      <c r="A92" t="s">
        <v>24</v>
      </c>
      <c r="B92" t="s">
        <v>414</v>
      </c>
      <c r="C92" t="s">
        <v>127</v>
      </c>
      <c r="D92" t="s">
        <v>377</v>
      </c>
      <c r="E92" t="s">
        <v>330</v>
      </c>
    </row>
    <row r="93" spans="1:5" x14ac:dyDescent="0.3">
      <c r="A93" t="s">
        <v>24</v>
      </c>
      <c r="B93" t="s">
        <v>415</v>
      </c>
      <c r="C93" t="s">
        <v>289</v>
      </c>
      <c r="D93" t="s">
        <v>363</v>
      </c>
      <c r="E93" t="s">
        <v>330</v>
      </c>
    </row>
    <row r="94" spans="1:5" x14ac:dyDescent="0.3">
      <c r="A94" t="s">
        <v>25</v>
      </c>
      <c r="B94" t="s">
        <v>408</v>
      </c>
      <c r="C94" t="s">
        <v>154</v>
      </c>
      <c r="D94" t="s">
        <v>339</v>
      </c>
      <c r="E94" t="s">
        <v>330</v>
      </c>
    </row>
    <row r="95" spans="1:5" x14ac:dyDescent="0.3">
      <c r="A95" t="s">
        <v>25</v>
      </c>
      <c r="B95" t="s">
        <v>407</v>
      </c>
      <c r="C95" t="s">
        <v>155</v>
      </c>
      <c r="D95" t="s">
        <v>343</v>
      </c>
      <c r="E95" t="s">
        <v>330</v>
      </c>
    </row>
    <row r="96" spans="1:5" x14ac:dyDescent="0.3">
      <c r="A96" t="s">
        <v>25</v>
      </c>
      <c r="B96" t="s">
        <v>411</v>
      </c>
      <c r="C96" t="s">
        <v>164</v>
      </c>
      <c r="D96" t="s">
        <v>387</v>
      </c>
      <c r="E96" t="s">
        <v>330</v>
      </c>
    </row>
    <row r="97" spans="1:5" x14ac:dyDescent="0.3">
      <c r="A97" t="s">
        <v>27</v>
      </c>
      <c r="B97" t="s">
        <v>402</v>
      </c>
      <c r="C97" t="s">
        <v>151</v>
      </c>
      <c r="D97" t="s">
        <v>367</v>
      </c>
      <c r="E97" t="s">
        <v>330</v>
      </c>
    </row>
    <row r="98" spans="1:5" x14ac:dyDescent="0.3">
      <c r="A98" t="s">
        <v>27</v>
      </c>
      <c r="B98" t="s">
        <v>406</v>
      </c>
      <c r="C98" t="s">
        <v>268</v>
      </c>
      <c r="D98" t="s">
        <v>353</v>
      </c>
      <c r="E98" t="s">
        <v>330</v>
      </c>
    </row>
    <row r="99" spans="1:5" x14ac:dyDescent="0.3">
      <c r="A99" t="s">
        <v>29</v>
      </c>
      <c r="B99" t="s">
        <v>402</v>
      </c>
      <c r="C99" t="s">
        <v>150</v>
      </c>
      <c r="D99" t="s">
        <v>335</v>
      </c>
      <c r="E99" t="s">
        <v>330</v>
      </c>
    </row>
    <row r="100" spans="1:5" x14ac:dyDescent="0.3">
      <c r="A100" t="s">
        <v>29</v>
      </c>
      <c r="B100" t="s">
        <v>406</v>
      </c>
      <c r="C100" t="s">
        <v>161</v>
      </c>
      <c r="D100" t="s">
        <v>381</v>
      </c>
      <c r="E100" t="s">
        <v>330</v>
      </c>
    </row>
    <row r="101" spans="1:5" x14ac:dyDescent="0.3">
      <c r="A101" t="s">
        <v>29</v>
      </c>
      <c r="B101" t="s">
        <v>405</v>
      </c>
      <c r="C101" t="s">
        <v>162</v>
      </c>
      <c r="D101" t="s">
        <v>379</v>
      </c>
      <c r="E101" t="s">
        <v>330</v>
      </c>
    </row>
    <row r="102" spans="1:5" x14ac:dyDescent="0.3">
      <c r="A102" t="s">
        <v>29</v>
      </c>
      <c r="B102" t="s">
        <v>408</v>
      </c>
      <c r="C102" t="s">
        <v>288</v>
      </c>
      <c r="D102" t="s">
        <v>359</v>
      </c>
      <c r="E102" t="s">
        <v>330</v>
      </c>
    </row>
    <row r="103" spans="1:5" x14ac:dyDescent="0.3">
      <c r="A103" t="s">
        <v>30</v>
      </c>
      <c r="B103" t="s">
        <v>404</v>
      </c>
      <c r="C103" t="s">
        <v>288</v>
      </c>
      <c r="D103" t="s">
        <v>359</v>
      </c>
      <c r="E103" t="s">
        <v>330</v>
      </c>
    </row>
    <row r="104" spans="1:5" x14ac:dyDescent="0.3">
      <c r="A104" t="s">
        <v>135</v>
      </c>
      <c r="B104" t="s">
        <v>406</v>
      </c>
      <c r="C104" t="s">
        <v>156</v>
      </c>
      <c r="D104" t="s">
        <v>337</v>
      </c>
      <c r="E104" t="s">
        <v>330</v>
      </c>
    </row>
    <row r="105" spans="1:5" x14ac:dyDescent="0.3">
      <c r="A105" t="s">
        <v>135</v>
      </c>
      <c r="B105" t="s">
        <v>410</v>
      </c>
      <c r="C105" t="s">
        <v>152</v>
      </c>
      <c r="D105" t="s">
        <v>371</v>
      </c>
      <c r="E105" t="s">
        <v>330</v>
      </c>
    </row>
    <row r="106" spans="1:5" x14ac:dyDescent="0.3">
      <c r="A106" t="s">
        <v>135</v>
      </c>
      <c r="B106" t="s">
        <v>409</v>
      </c>
      <c r="C106" t="s">
        <v>292</v>
      </c>
      <c r="D106" t="s">
        <v>365</v>
      </c>
      <c r="E106" t="s">
        <v>330</v>
      </c>
    </row>
    <row r="107" spans="1:5" x14ac:dyDescent="0.3">
      <c r="A107" t="s">
        <v>28</v>
      </c>
      <c r="B107" t="s">
        <v>408</v>
      </c>
      <c r="C107" t="s">
        <v>163</v>
      </c>
      <c r="D107" t="s">
        <v>383</v>
      </c>
      <c r="E107" t="s">
        <v>330</v>
      </c>
    </row>
    <row r="108" spans="1:5" x14ac:dyDescent="0.3">
      <c r="A108" t="s">
        <v>28</v>
      </c>
      <c r="B108" t="s">
        <v>412</v>
      </c>
      <c r="C108" t="s">
        <v>146</v>
      </c>
      <c r="D108" t="s">
        <v>375</v>
      </c>
      <c r="E108" t="s">
        <v>330</v>
      </c>
    </row>
    <row r="109" spans="1:5" x14ac:dyDescent="0.3">
      <c r="A109" t="s">
        <v>28</v>
      </c>
      <c r="B109" t="s">
        <v>403</v>
      </c>
      <c r="C109" t="s">
        <v>161</v>
      </c>
      <c r="D109" t="s">
        <v>381</v>
      </c>
      <c r="E109" t="s">
        <v>330</v>
      </c>
    </row>
    <row r="110" spans="1:5" x14ac:dyDescent="0.3">
      <c r="A110" t="s">
        <v>28</v>
      </c>
      <c r="B110" t="s">
        <v>413</v>
      </c>
      <c r="C110" t="s">
        <v>149</v>
      </c>
      <c r="D110" t="s">
        <v>331</v>
      </c>
      <c r="E110" t="s">
        <v>330</v>
      </c>
    </row>
    <row r="111" spans="1:5" x14ac:dyDescent="0.3">
      <c r="A111" t="s">
        <v>28</v>
      </c>
      <c r="B111" t="s">
        <v>414</v>
      </c>
      <c r="C111" t="s">
        <v>127</v>
      </c>
      <c r="D111" t="s">
        <v>377</v>
      </c>
      <c r="E111" t="s">
        <v>330</v>
      </c>
    </row>
    <row r="112" spans="1:5" x14ac:dyDescent="0.3">
      <c r="A112" t="s">
        <v>28</v>
      </c>
      <c r="B112" t="s">
        <v>415</v>
      </c>
      <c r="C112" t="s">
        <v>289</v>
      </c>
      <c r="D112" t="s">
        <v>363</v>
      </c>
      <c r="E112" t="s">
        <v>330</v>
      </c>
    </row>
    <row r="113" spans="1:5" x14ac:dyDescent="0.3">
      <c r="A113" t="s">
        <v>31</v>
      </c>
      <c r="B113" t="s">
        <v>406</v>
      </c>
      <c r="C113" t="s">
        <v>163</v>
      </c>
      <c r="D113" t="s">
        <v>383</v>
      </c>
      <c r="E113" t="s">
        <v>330</v>
      </c>
    </row>
    <row r="114" spans="1:5" x14ac:dyDescent="0.3">
      <c r="A114" t="s">
        <v>31</v>
      </c>
      <c r="B114" t="s">
        <v>409</v>
      </c>
      <c r="C114" t="s">
        <v>289</v>
      </c>
      <c r="D114" t="s">
        <v>363</v>
      </c>
      <c r="E114" t="s">
        <v>330</v>
      </c>
    </row>
    <row r="115" spans="1:5" x14ac:dyDescent="0.3">
      <c r="A115" t="s">
        <v>32</v>
      </c>
      <c r="B115" t="s">
        <v>402</v>
      </c>
      <c r="C115" t="s">
        <v>146</v>
      </c>
      <c r="D115" t="s">
        <v>375</v>
      </c>
      <c r="E115" t="s">
        <v>330</v>
      </c>
    </row>
    <row r="116" spans="1:5" x14ac:dyDescent="0.3">
      <c r="A116" t="s">
        <v>32</v>
      </c>
      <c r="B116" t="s">
        <v>406</v>
      </c>
      <c r="C116" t="s">
        <v>161</v>
      </c>
      <c r="D116" t="s">
        <v>381</v>
      </c>
      <c r="E116" t="s">
        <v>330</v>
      </c>
    </row>
    <row r="117" spans="1:5" x14ac:dyDescent="0.3">
      <c r="A117" t="s">
        <v>32</v>
      </c>
      <c r="B117" t="s">
        <v>405</v>
      </c>
      <c r="C117" t="s">
        <v>127</v>
      </c>
      <c r="D117" t="s">
        <v>377</v>
      </c>
      <c r="E117" t="s">
        <v>330</v>
      </c>
    </row>
    <row r="118" spans="1:5" x14ac:dyDescent="0.3">
      <c r="A118" t="s">
        <v>32</v>
      </c>
      <c r="B118" t="s">
        <v>407</v>
      </c>
      <c r="C118" t="s">
        <v>149</v>
      </c>
      <c r="D118" t="s">
        <v>331</v>
      </c>
      <c r="E118" t="s">
        <v>330</v>
      </c>
    </row>
    <row r="119" spans="1:5" x14ac:dyDescent="0.3">
      <c r="A119" t="s">
        <v>32</v>
      </c>
      <c r="B119" t="s">
        <v>404</v>
      </c>
      <c r="C119" t="s">
        <v>289</v>
      </c>
      <c r="D119" t="s">
        <v>363</v>
      </c>
      <c r="E119" t="s">
        <v>330</v>
      </c>
    </row>
    <row r="120" spans="1:5" x14ac:dyDescent="0.3">
      <c r="A120" t="s">
        <v>33</v>
      </c>
      <c r="B120" t="s">
        <v>402</v>
      </c>
      <c r="C120" t="s">
        <v>290</v>
      </c>
      <c r="D120" t="s">
        <v>361</v>
      </c>
      <c r="E120" t="s">
        <v>330</v>
      </c>
    </row>
    <row r="121" spans="1:5" x14ac:dyDescent="0.3">
      <c r="A121" t="s">
        <v>33</v>
      </c>
      <c r="B121" t="s">
        <v>406</v>
      </c>
      <c r="C121" t="s">
        <v>158</v>
      </c>
      <c r="D121" t="s">
        <v>357</v>
      </c>
      <c r="E121" t="s">
        <v>330</v>
      </c>
    </row>
    <row r="122" spans="1:5" x14ac:dyDescent="0.3">
      <c r="A122" t="s">
        <v>33</v>
      </c>
      <c r="B122" t="s">
        <v>408</v>
      </c>
      <c r="C122" t="s">
        <v>171</v>
      </c>
      <c r="D122" t="s">
        <v>327</v>
      </c>
      <c r="E122" t="s">
        <v>330</v>
      </c>
    </row>
    <row r="123" spans="1:5" x14ac:dyDescent="0.3">
      <c r="A123" t="s">
        <v>34</v>
      </c>
      <c r="B123" t="s">
        <v>402</v>
      </c>
      <c r="C123" t="s">
        <v>151</v>
      </c>
      <c r="D123" t="s">
        <v>367</v>
      </c>
      <c r="E123" t="s">
        <v>330</v>
      </c>
    </row>
    <row r="124" spans="1:5" x14ac:dyDescent="0.3">
      <c r="A124" t="s">
        <v>35</v>
      </c>
      <c r="B124" t="s">
        <v>408</v>
      </c>
      <c r="C124" t="s">
        <v>163</v>
      </c>
      <c r="D124" t="s">
        <v>383</v>
      </c>
      <c r="E124" t="s">
        <v>330</v>
      </c>
    </row>
    <row r="125" spans="1:5" x14ac:dyDescent="0.3">
      <c r="A125" t="s">
        <v>35</v>
      </c>
      <c r="B125" t="s">
        <v>412</v>
      </c>
      <c r="C125" t="s">
        <v>146</v>
      </c>
      <c r="D125" t="s">
        <v>375</v>
      </c>
      <c r="E125" t="s">
        <v>330</v>
      </c>
    </row>
    <row r="126" spans="1:5" x14ac:dyDescent="0.3">
      <c r="A126" t="s">
        <v>35</v>
      </c>
      <c r="B126" t="s">
        <v>403</v>
      </c>
      <c r="C126" t="s">
        <v>161</v>
      </c>
      <c r="D126" t="s">
        <v>381</v>
      </c>
      <c r="E126" t="s">
        <v>330</v>
      </c>
    </row>
    <row r="127" spans="1:5" x14ac:dyDescent="0.3">
      <c r="A127" t="s">
        <v>35</v>
      </c>
      <c r="B127" t="s">
        <v>413</v>
      </c>
      <c r="C127" t="s">
        <v>149</v>
      </c>
      <c r="D127" t="s">
        <v>331</v>
      </c>
      <c r="E127" t="s">
        <v>330</v>
      </c>
    </row>
    <row r="128" spans="1:5" x14ac:dyDescent="0.3">
      <c r="A128" t="s">
        <v>35</v>
      </c>
      <c r="B128" t="s">
        <v>414</v>
      </c>
      <c r="C128" t="s">
        <v>127</v>
      </c>
      <c r="D128" t="s">
        <v>377</v>
      </c>
      <c r="E128" t="s">
        <v>330</v>
      </c>
    </row>
    <row r="129" spans="1:5" x14ac:dyDescent="0.3">
      <c r="A129" t="s">
        <v>35</v>
      </c>
      <c r="B129" t="s">
        <v>415</v>
      </c>
      <c r="C129" t="s">
        <v>289</v>
      </c>
      <c r="D129" t="s">
        <v>363</v>
      </c>
      <c r="E129" t="s">
        <v>330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Ordering</vt:lpstr>
      <vt:lpstr>Foul</vt:lpstr>
      <vt:lpstr>Egg and Cheese Sandwich</vt:lpstr>
      <vt:lpstr>Croissant Spinach and Cheese </vt:lpstr>
      <vt:lpstr>Club Sandwich</vt:lpstr>
      <vt:lpstr>Greek Yogurt with Oats</vt:lpstr>
      <vt:lpstr>Croissant Turkey </vt:lpstr>
      <vt:lpstr>Tuna Sandwich</vt:lpstr>
      <vt:lpstr>Ta'teema</vt:lpstr>
      <vt:lpstr>Oatmeal Egg Pie</vt:lpstr>
      <vt:lpstr>Omelette Vegetable and Mushroom</vt:lpstr>
      <vt:lpstr>Shakshuka Sandwich</vt:lpstr>
      <vt:lpstr>Masoob</vt:lpstr>
      <vt:lpstr>Croissant Cheddar Cheese</vt:lpstr>
      <vt:lpstr>Halloumi Sandwich</vt:lpstr>
      <vt:lpstr>Omelette Vegetable and Mush (2)</vt:lpstr>
      <vt:lpstr>Turkey &amp; Cranberry Sandwich</vt:lpstr>
      <vt:lpstr>Boiled Egg Sandwich </vt:lpstr>
      <vt:lpstr>Croissant Feta Cheese and Veget</vt:lpstr>
      <vt:lpstr>Chicken Club Sandwich</vt:lpstr>
      <vt:lpstr>Pancake</vt:lpstr>
      <vt:lpstr>Croissant Chocolate </vt:lpstr>
      <vt:lpstr>Halloumi Sandwich (2)</vt:lpstr>
      <vt:lpstr>Egg and Cheese Sandwich (2)</vt:lpstr>
      <vt:lpstr>Hummus</vt:lpstr>
      <vt:lpstr>Chicken Club Sandwich (2)</vt:lpstr>
      <vt:lpstr>Omelette Vegetable and Mush (3)</vt:lpstr>
      <vt:lpstr>Club Sandwich (2)</vt:lpstr>
      <vt:lpstr>Areekah</vt:lpstr>
      <vt:lpstr>Croissant Scrambled Egg </vt:lpstr>
      <vt:lpstr>Chicken Club Sandwich (3)</vt:lpstr>
      <vt:lpstr>Sakshuka Turkish</vt:lpstr>
      <vt:lpstr>NameNormalizationLog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2026-07-14T16:44:57Z</cp:lastPrinted>
  <dcterms:created xsi:type="dcterms:W3CDTF">2026-01-12T00:14:28Z</dcterms:created>
  <dcterms:modified xsi:type="dcterms:W3CDTF">2026-07-14T16:45:31Z</dcterms:modified>
</cp:coreProperties>
</file>