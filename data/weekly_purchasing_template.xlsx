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ctafoodsa-my.sharepoint.com/personal/alshareef_ka_octafoodksa_com/Documents/Octa File/SOPs &amp; Operation/Tokyo Project/Tokyo Files/Purchasing File/"/>
    </mc:Choice>
  </mc:AlternateContent>
  <xr:revisionPtr revIDLastSave="133" documentId="8_{ECFFD1EB-3AAF-432E-8BBE-097501731896}" xr6:coauthVersionLast="47" xr6:coauthVersionMax="47" xr10:uidLastSave="{FCDFEA81-5E2B-4AB7-B361-ED1B4B2E3380}"/>
  <bookViews>
    <workbookView xWindow="-120" yWindow="-120" windowWidth="29040" windowHeight="15840" tabRatio="500" xr2:uid="{00000000-000D-0000-FFFF-FFFF00000000}"/>
  </bookViews>
  <sheets>
    <sheet name="Sheet1" sheetId="8" r:id="rId1"/>
  </sheets>
  <definedNames>
    <definedName name="_xlnm._FilterDatabase" localSheetId="0" hidden="1">Sheet1!$A$1:$Q$164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Purchasing-8dc5c5d9-2ff5-4033-ae33-9ba0e1ba1946" name="Purchasing" connection="Query - Purchasing"/>
          <x15:modelTable id="Purchasing-5d028423-6cc9-4e50-addb-e3c2be92d859" name="Purchasing1" connection="Query - Purchasing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8" l="1"/>
  <c r="M15" i="8" s="1"/>
  <c r="L43" i="8"/>
  <c r="O43" i="8" s="1"/>
  <c r="Q43" i="8" s="1"/>
  <c r="L86" i="8"/>
  <c r="O86" i="8" s="1"/>
  <c r="Q86" i="8" s="1"/>
  <c r="L99" i="8"/>
  <c r="M99" i="8" s="1"/>
  <c r="L104" i="8"/>
  <c r="O104" i="8" s="1"/>
  <c r="Q104" i="8" s="1"/>
  <c r="L111" i="8"/>
  <c r="O111" i="8" s="1"/>
  <c r="Q111" i="8" s="1"/>
  <c r="L126" i="8"/>
  <c r="O126" i="8" s="1"/>
  <c r="Q126" i="8" s="1"/>
  <c r="L132" i="8"/>
  <c r="O132" i="8" s="1"/>
  <c r="Q132" i="8" s="1"/>
  <c r="L2" i="8"/>
  <c r="M2" i="8" s="1"/>
  <c r="I3" i="8"/>
  <c r="L3" i="8" s="1"/>
  <c r="I4" i="8"/>
  <c r="L4" i="8" s="1"/>
  <c r="I5" i="8"/>
  <c r="L5" i="8" s="1"/>
  <c r="I6" i="8"/>
  <c r="L6" i="8" s="1"/>
  <c r="I7" i="8"/>
  <c r="L7" i="8" s="1"/>
  <c r="I8" i="8"/>
  <c r="L8" i="8" s="1"/>
  <c r="I9" i="8"/>
  <c r="L9" i="8" s="1"/>
  <c r="I10" i="8"/>
  <c r="L10" i="8" s="1"/>
  <c r="I11" i="8"/>
  <c r="L11" i="8" s="1"/>
  <c r="I12" i="8"/>
  <c r="L12" i="8" s="1"/>
  <c r="I13" i="8"/>
  <c r="L13" i="8" s="1"/>
  <c r="I14" i="8"/>
  <c r="L14" i="8" s="1"/>
  <c r="I15" i="8"/>
  <c r="I16" i="8"/>
  <c r="L16" i="8" s="1"/>
  <c r="I17" i="8"/>
  <c r="L17" i="8" s="1"/>
  <c r="I18" i="8"/>
  <c r="L18" i="8" s="1"/>
  <c r="I19" i="8"/>
  <c r="L19" i="8" s="1"/>
  <c r="I20" i="8"/>
  <c r="L20" i="8" s="1"/>
  <c r="I21" i="8"/>
  <c r="L21" i="8" s="1"/>
  <c r="I22" i="8"/>
  <c r="L22" i="8" s="1"/>
  <c r="I23" i="8"/>
  <c r="L23" i="8" s="1"/>
  <c r="I24" i="8"/>
  <c r="L24" i="8" s="1"/>
  <c r="I25" i="8"/>
  <c r="L25" i="8" s="1"/>
  <c r="I26" i="8"/>
  <c r="L26" i="8" s="1"/>
  <c r="I27" i="8"/>
  <c r="L27" i="8" s="1"/>
  <c r="I28" i="8"/>
  <c r="L28" i="8" s="1"/>
  <c r="I29" i="8"/>
  <c r="L29" i="8" s="1"/>
  <c r="I30" i="8"/>
  <c r="L30" i="8" s="1"/>
  <c r="I31" i="8"/>
  <c r="L31" i="8" s="1"/>
  <c r="I32" i="8"/>
  <c r="L32" i="8" s="1"/>
  <c r="I33" i="8"/>
  <c r="L33" i="8" s="1"/>
  <c r="I34" i="8"/>
  <c r="L34" i="8" s="1"/>
  <c r="I35" i="8"/>
  <c r="L35" i="8" s="1"/>
  <c r="I36" i="8"/>
  <c r="L36" i="8" s="1"/>
  <c r="I37" i="8"/>
  <c r="L37" i="8" s="1"/>
  <c r="I38" i="8"/>
  <c r="L38" i="8" s="1"/>
  <c r="I39" i="8"/>
  <c r="L39" i="8" s="1"/>
  <c r="I40" i="8"/>
  <c r="L40" i="8" s="1"/>
  <c r="I41" i="8"/>
  <c r="L41" i="8" s="1"/>
  <c r="I42" i="8"/>
  <c r="L42" i="8" s="1"/>
  <c r="I43" i="8"/>
  <c r="I44" i="8"/>
  <c r="L44" i="8" s="1"/>
  <c r="I45" i="8"/>
  <c r="L45" i="8" s="1"/>
  <c r="I46" i="8"/>
  <c r="L46" i="8" s="1"/>
  <c r="I47" i="8"/>
  <c r="L47" i="8" s="1"/>
  <c r="I48" i="8"/>
  <c r="L48" i="8" s="1"/>
  <c r="I49" i="8"/>
  <c r="L49" i="8" s="1"/>
  <c r="I50" i="8"/>
  <c r="L50" i="8" s="1"/>
  <c r="I51" i="8"/>
  <c r="L51" i="8" s="1"/>
  <c r="I52" i="8"/>
  <c r="L52" i="8" s="1"/>
  <c r="I53" i="8"/>
  <c r="L53" i="8" s="1"/>
  <c r="I54" i="8"/>
  <c r="L54" i="8" s="1"/>
  <c r="I55" i="8"/>
  <c r="L55" i="8" s="1"/>
  <c r="I56" i="8"/>
  <c r="L56" i="8" s="1"/>
  <c r="I57" i="8"/>
  <c r="L57" i="8" s="1"/>
  <c r="I58" i="8"/>
  <c r="L58" i="8" s="1"/>
  <c r="I59" i="8"/>
  <c r="L59" i="8" s="1"/>
  <c r="I60" i="8"/>
  <c r="L60" i="8" s="1"/>
  <c r="I61" i="8"/>
  <c r="L61" i="8" s="1"/>
  <c r="I62" i="8"/>
  <c r="L62" i="8" s="1"/>
  <c r="I63" i="8"/>
  <c r="L63" i="8" s="1"/>
  <c r="I64" i="8"/>
  <c r="L64" i="8" s="1"/>
  <c r="I65" i="8"/>
  <c r="L65" i="8" s="1"/>
  <c r="I66" i="8"/>
  <c r="L66" i="8" s="1"/>
  <c r="I67" i="8"/>
  <c r="L67" i="8" s="1"/>
  <c r="I68" i="8"/>
  <c r="L68" i="8" s="1"/>
  <c r="I69" i="8"/>
  <c r="L69" i="8" s="1"/>
  <c r="I70" i="8"/>
  <c r="L70" i="8" s="1"/>
  <c r="I71" i="8"/>
  <c r="L71" i="8" s="1"/>
  <c r="I72" i="8"/>
  <c r="L72" i="8" s="1"/>
  <c r="I73" i="8"/>
  <c r="L73" i="8" s="1"/>
  <c r="I74" i="8"/>
  <c r="L74" i="8" s="1"/>
  <c r="I75" i="8"/>
  <c r="L75" i="8" s="1"/>
  <c r="I76" i="8"/>
  <c r="L76" i="8" s="1"/>
  <c r="I77" i="8"/>
  <c r="L77" i="8" s="1"/>
  <c r="I78" i="8"/>
  <c r="L78" i="8" s="1"/>
  <c r="I79" i="8"/>
  <c r="L79" i="8" s="1"/>
  <c r="I80" i="8"/>
  <c r="L80" i="8" s="1"/>
  <c r="I81" i="8"/>
  <c r="L81" i="8" s="1"/>
  <c r="I82" i="8"/>
  <c r="L82" i="8" s="1"/>
  <c r="I83" i="8"/>
  <c r="L83" i="8" s="1"/>
  <c r="I84" i="8"/>
  <c r="L84" i="8" s="1"/>
  <c r="I85" i="8"/>
  <c r="L85" i="8" s="1"/>
  <c r="I86" i="8"/>
  <c r="I87" i="8"/>
  <c r="L87" i="8" s="1"/>
  <c r="I88" i="8"/>
  <c r="L88" i="8" s="1"/>
  <c r="I89" i="8"/>
  <c r="L89" i="8" s="1"/>
  <c r="I90" i="8"/>
  <c r="L90" i="8" s="1"/>
  <c r="I91" i="8"/>
  <c r="L91" i="8" s="1"/>
  <c r="I92" i="8"/>
  <c r="L92" i="8" s="1"/>
  <c r="I93" i="8"/>
  <c r="L93" i="8" s="1"/>
  <c r="I94" i="8"/>
  <c r="L94" i="8" s="1"/>
  <c r="I95" i="8"/>
  <c r="L95" i="8" s="1"/>
  <c r="I96" i="8"/>
  <c r="L96" i="8" s="1"/>
  <c r="I97" i="8"/>
  <c r="L97" i="8" s="1"/>
  <c r="I98" i="8"/>
  <c r="L98" i="8" s="1"/>
  <c r="I99" i="8"/>
  <c r="I100" i="8"/>
  <c r="L100" i="8" s="1"/>
  <c r="I101" i="8"/>
  <c r="L101" i="8" s="1"/>
  <c r="I102" i="8"/>
  <c r="L102" i="8" s="1"/>
  <c r="I103" i="8"/>
  <c r="L103" i="8" s="1"/>
  <c r="I104" i="8"/>
  <c r="I105" i="8"/>
  <c r="L105" i="8" s="1"/>
  <c r="I106" i="8"/>
  <c r="L106" i="8" s="1"/>
  <c r="I107" i="8"/>
  <c r="L107" i="8" s="1"/>
  <c r="I108" i="8"/>
  <c r="L108" i="8" s="1"/>
  <c r="I109" i="8"/>
  <c r="L109" i="8" s="1"/>
  <c r="I110" i="8"/>
  <c r="L110" i="8" s="1"/>
  <c r="I111" i="8"/>
  <c r="I112" i="8"/>
  <c r="L112" i="8" s="1"/>
  <c r="I113" i="8"/>
  <c r="L113" i="8" s="1"/>
  <c r="I114" i="8"/>
  <c r="L114" i="8" s="1"/>
  <c r="I115" i="8"/>
  <c r="L115" i="8" s="1"/>
  <c r="I116" i="8"/>
  <c r="L116" i="8" s="1"/>
  <c r="I117" i="8"/>
  <c r="L117" i="8" s="1"/>
  <c r="I118" i="8"/>
  <c r="L118" i="8" s="1"/>
  <c r="I119" i="8"/>
  <c r="L119" i="8" s="1"/>
  <c r="I120" i="8"/>
  <c r="L120" i="8" s="1"/>
  <c r="I121" i="8"/>
  <c r="L121" i="8" s="1"/>
  <c r="I122" i="8"/>
  <c r="L122" i="8" s="1"/>
  <c r="I123" i="8"/>
  <c r="L123" i="8" s="1"/>
  <c r="I124" i="8"/>
  <c r="L124" i="8" s="1"/>
  <c r="I125" i="8"/>
  <c r="L125" i="8" s="1"/>
  <c r="I126" i="8"/>
  <c r="I127" i="8"/>
  <c r="L127" i="8" s="1"/>
  <c r="I128" i="8"/>
  <c r="L128" i="8" s="1"/>
  <c r="I129" i="8"/>
  <c r="L129" i="8" s="1"/>
  <c r="I130" i="8"/>
  <c r="L130" i="8" s="1"/>
  <c r="I131" i="8"/>
  <c r="L131" i="8" s="1"/>
  <c r="I132" i="8"/>
  <c r="I133" i="8"/>
  <c r="L133" i="8" s="1"/>
  <c r="I134" i="8"/>
  <c r="L134" i="8" s="1"/>
  <c r="I135" i="8"/>
  <c r="L135" i="8" s="1"/>
  <c r="I136" i="8"/>
  <c r="L136" i="8" s="1"/>
  <c r="I137" i="8"/>
  <c r="L137" i="8" s="1"/>
  <c r="I138" i="8"/>
  <c r="L138" i="8" s="1"/>
  <c r="I139" i="8"/>
  <c r="L139" i="8" s="1"/>
  <c r="I140" i="8"/>
  <c r="L140" i="8" s="1"/>
  <c r="I141" i="8"/>
  <c r="L141" i="8" s="1"/>
  <c r="I142" i="8"/>
  <c r="L142" i="8" s="1"/>
  <c r="I143" i="8"/>
  <c r="L143" i="8" s="1"/>
  <c r="I144" i="8"/>
  <c r="L144" i="8" s="1"/>
  <c r="I145" i="8"/>
  <c r="L145" i="8" s="1"/>
  <c r="I146" i="8"/>
  <c r="L146" i="8" s="1"/>
  <c r="I147" i="8"/>
  <c r="L147" i="8" s="1"/>
  <c r="I148" i="8"/>
  <c r="L148" i="8" s="1"/>
  <c r="I149" i="8"/>
  <c r="L149" i="8" s="1"/>
  <c r="I150" i="8"/>
  <c r="L150" i="8" s="1"/>
  <c r="I151" i="8"/>
  <c r="L151" i="8" s="1"/>
  <c r="I152" i="8"/>
  <c r="L152" i="8" s="1"/>
  <c r="I153" i="8"/>
  <c r="L153" i="8" s="1"/>
  <c r="I154" i="8"/>
  <c r="L154" i="8" s="1"/>
  <c r="I155" i="8"/>
  <c r="L155" i="8" s="1"/>
  <c r="I156" i="8"/>
  <c r="L156" i="8" s="1"/>
  <c r="I157" i="8"/>
  <c r="L157" i="8" s="1"/>
  <c r="I158" i="8"/>
  <c r="L158" i="8" s="1"/>
  <c r="I159" i="8"/>
  <c r="L159" i="8" s="1"/>
  <c r="I160" i="8"/>
  <c r="L160" i="8" s="1"/>
  <c r="I161" i="8"/>
  <c r="L161" i="8" s="1"/>
  <c r="I162" i="8"/>
  <c r="L162" i="8" s="1"/>
  <c r="I163" i="8"/>
  <c r="L163" i="8" s="1"/>
  <c r="I164" i="8"/>
  <c r="L164" i="8" s="1"/>
  <c r="I2" i="8"/>
  <c r="O57" i="8" l="1"/>
  <c r="Q57" i="8" s="1"/>
  <c r="M57" i="8"/>
  <c r="O28" i="8"/>
  <c r="Q28" i="8" s="1"/>
  <c r="M28" i="8"/>
  <c r="M83" i="8"/>
  <c r="O83" i="8"/>
  <c r="Q83" i="8" s="1"/>
  <c r="O27" i="8"/>
  <c r="Q27" i="8" s="1"/>
  <c r="M27" i="8"/>
  <c r="O136" i="8"/>
  <c r="Q136" i="8" s="1"/>
  <c r="M136" i="8"/>
  <c r="O80" i="8"/>
  <c r="Q80" i="8" s="1"/>
  <c r="M80" i="8"/>
  <c r="O52" i="8"/>
  <c r="Q52" i="8" s="1"/>
  <c r="M52" i="8"/>
  <c r="O135" i="8"/>
  <c r="Q135" i="8" s="1"/>
  <c r="M135" i="8"/>
  <c r="O107" i="8"/>
  <c r="Q107" i="8" s="1"/>
  <c r="M107" i="8"/>
  <c r="M79" i="8"/>
  <c r="O79" i="8"/>
  <c r="Q79" i="8" s="1"/>
  <c r="O51" i="8"/>
  <c r="Q51" i="8" s="1"/>
  <c r="M51" i="8"/>
  <c r="O23" i="8"/>
  <c r="Q23" i="8" s="1"/>
  <c r="M23" i="8"/>
  <c r="M161" i="8"/>
  <c r="O161" i="8"/>
  <c r="Q161" i="8" s="1"/>
  <c r="O133" i="8"/>
  <c r="Q133" i="8" s="1"/>
  <c r="M133" i="8"/>
  <c r="M105" i="8"/>
  <c r="O105" i="8"/>
  <c r="Q105" i="8" s="1"/>
  <c r="M77" i="8"/>
  <c r="O77" i="8"/>
  <c r="Q77" i="8" s="1"/>
  <c r="O49" i="8"/>
  <c r="Q49" i="8" s="1"/>
  <c r="M49" i="8"/>
  <c r="M21" i="8"/>
  <c r="O21" i="8"/>
  <c r="Q21" i="8" s="1"/>
  <c r="O160" i="8"/>
  <c r="Q160" i="8" s="1"/>
  <c r="M160" i="8"/>
  <c r="O76" i="8"/>
  <c r="Q76" i="8" s="1"/>
  <c r="M76" i="8"/>
  <c r="O48" i="8"/>
  <c r="Q48" i="8" s="1"/>
  <c r="M48" i="8"/>
  <c r="O20" i="8"/>
  <c r="Q20" i="8" s="1"/>
  <c r="M20" i="8"/>
  <c r="O85" i="8"/>
  <c r="Q85" i="8" s="1"/>
  <c r="M85" i="8"/>
  <c r="O131" i="8"/>
  <c r="Q131" i="8" s="1"/>
  <c r="M131" i="8"/>
  <c r="M46" i="8"/>
  <c r="O46" i="8"/>
  <c r="Q46" i="8" s="1"/>
  <c r="O101" i="8"/>
  <c r="Q101" i="8" s="1"/>
  <c r="M101" i="8"/>
  <c r="M17" i="8"/>
  <c r="O17" i="8"/>
  <c r="Q17" i="8" s="1"/>
  <c r="O113" i="8"/>
  <c r="Q113" i="8" s="1"/>
  <c r="M113" i="8"/>
  <c r="O84" i="8"/>
  <c r="Q84" i="8" s="1"/>
  <c r="M84" i="8"/>
  <c r="M19" i="8"/>
  <c r="O19" i="8"/>
  <c r="Q19" i="8" s="1"/>
  <c r="O102" i="8"/>
  <c r="Q102" i="8" s="1"/>
  <c r="M102" i="8"/>
  <c r="O74" i="8"/>
  <c r="Q74" i="8" s="1"/>
  <c r="M74" i="8"/>
  <c r="M18" i="8"/>
  <c r="O18" i="8"/>
  <c r="Q18" i="8" s="1"/>
  <c r="M157" i="8"/>
  <c r="O157" i="8"/>
  <c r="Q157" i="8" s="1"/>
  <c r="M129" i="8"/>
  <c r="O129" i="8"/>
  <c r="Q129" i="8" s="1"/>
  <c r="O73" i="8"/>
  <c r="Q73" i="8" s="1"/>
  <c r="M73" i="8"/>
  <c r="O45" i="8"/>
  <c r="Q45" i="8" s="1"/>
  <c r="M45" i="8"/>
  <c r="O156" i="8"/>
  <c r="Q156" i="8" s="1"/>
  <c r="M156" i="8"/>
  <c r="O128" i="8"/>
  <c r="Q128" i="8" s="1"/>
  <c r="M128" i="8"/>
  <c r="O100" i="8"/>
  <c r="Q100" i="8" s="1"/>
  <c r="M100" i="8"/>
  <c r="O72" i="8"/>
  <c r="Q72" i="8" s="1"/>
  <c r="M72" i="8"/>
  <c r="O44" i="8"/>
  <c r="Q44" i="8" s="1"/>
  <c r="M44" i="8"/>
  <c r="O16" i="8"/>
  <c r="Q16" i="8" s="1"/>
  <c r="M16" i="8"/>
  <c r="O58" i="8"/>
  <c r="Q58" i="8" s="1"/>
  <c r="M58" i="8"/>
  <c r="O47" i="8"/>
  <c r="Q47" i="8" s="1"/>
  <c r="M47" i="8"/>
  <c r="M155" i="8"/>
  <c r="O155" i="8"/>
  <c r="Q155" i="8" s="1"/>
  <c r="O42" i="8"/>
  <c r="Q42" i="8" s="1"/>
  <c r="M42" i="8"/>
  <c r="O97" i="8"/>
  <c r="Q97" i="8" s="1"/>
  <c r="M97" i="8"/>
  <c r="O152" i="8"/>
  <c r="Q152" i="8" s="1"/>
  <c r="M152" i="8"/>
  <c r="M151" i="8"/>
  <c r="O151" i="8"/>
  <c r="Q151" i="8" s="1"/>
  <c r="M67" i="8"/>
  <c r="O67" i="8"/>
  <c r="Q67" i="8" s="1"/>
  <c r="M39" i="8"/>
  <c r="O39" i="8"/>
  <c r="Q39" i="8" s="1"/>
  <c r="M11" i="8"/>
  <c r="O11" i="8"/>
  <c r="Q11" i="8" s="1"/>
  <c r="M145" i="8"/>
  <c r="O145" i="8"/>
  <c r="Q145" i="8" s="1"/>
  <c r="O141" i="8"/>
  <c r="Q141" i="8" s="1"/>
  <c r="M141" i="8"/>
  <c r="O140" i="8"/>
  <c r="Q140" i="8" s="1"/>
  <c r="M140" i="8"/>
  <c r="O75" i="8"/>
  <c r="Q75" i="8" s="1"/>
  <c r="M75" i="8"/>
  <c r="O158" i="8"/>
  <c r="Q158" i="8" s="1"/>
  <c r="M158" i="8"/>
  <c r="O127" i="8"/>
  <c r="Q127" i="8" s="1"/>
  <c r="M127" i="8"/>
  <c r="O154" i="8"/>
  <c r="Q154" i="8" s="1"/>
  <c r="M154" i="8"/>
  <c r="O70" i="8"/>
  <c r="Q70" i="8" s="1"/>
  <c r="M70" i="8"/>
  <c r="O153" i="8"/>
  <c r="Q153" i="8" s="1"/>
  <c r="M153" i="8"/>
  <c r="M69" i="8"/>
  <c r="O69" i="8"/>
  <c r="Q69" i="8" s="1"/>
  <c r="M13" i="8"/>
  <c r="O13" i="8"/>
  <c r="Q13" i="8" s="1"/>
  <c r="O96" i="8"/>
  <c r="Q96" i="8" s="1"/>
  <c r="M96" i="8"/>
  <c r="O40" i="8"/>
  <c r="Q40" i="8" s="1"/>
  <c r="M40" i="8"/>
  <c r="O123" i="8"/>
  <c r="Q123" i="8" s="1"/>
  <c r="M123" i="8"/>
  <c r="O122" i="8"/>
  <c r="Q122" i="8" s="1"/>
  <c r="M122" i="8"/>
  <c r="O66" i="8"/>
  <c r="Q66" i="8" s="1"/>
  <c r="M66" i="8"/>
  <c r="O10" i="8"/>
  <c r="Q10" i="8" s="1"/>
  <c r="M10" i="8"/>
  <c r="O92" i="8"/>
  <c r="Q92" i="8" s="1"/>
  <c r="M92" i="8"/>
  <c r="O114" i="8"/>
  <c r="Q114" i="8" s="1"/>
  <c r="M114" i="8"/>
  <c r="O29" i="8"/>
  <c r="Q29" i="8" s="1"/>
  <c r="M29" i="8"/>
  <c r="O112" i="8"/>
  <c r="Q112" i="8" s="1"/>
  <c r="M112" i="8"/>
  <c r="M159" i="8"/>
  <c r="O159" i="8"/>
  <c r="Q159" i="8" s="1"/>
  <c r="M103" i="8"/>
  <c r="O103" i="8"/>
  <c r="Q103" i="8" s="1"/>
  <c r="O130" i="8"/>
  <c r="Q130" i="8" s="1"/>
  <c r="M130" i="8"/>
  <c r="M71" i="8"/>
  <c r="O71" i="8"/>
  <c r="Q71" i="8" s="1"/>
  <c r="O98" i="8"/>
  <c r="Q98" i="8" s="1"/>
  <c r="M98" i="8"/>
  <c r="O14" i="8"/>
  <c r="Q14" i="8" s="1"/>
  <c r="M14" i="8"/>
  <c r="O125" i="8"/>
  <c r="Q125" i="8" s="1"/>
  <c r="M125" i="8"/>
  <c r="M41" i="8"/>
  <c r="O41" i="8"/>
  <c r="Q41" i="8" s="1"/>
  <c r="O124" i="8"/>
  <c r="Q124" i="8" s="1"/>
  <c r="M124" i="8"/>
  <c r="O68" i="8"/>
  <c r="Q68" i="8" s="1"/>
  <c r="M68" i="8"/>
  <c r="O12" i="8"/>
  <c r="Q12" i="8" s="1"/>
  <c r="M12" i="8"/>
  <c r="M95" i="8"/>
  <c r="O95" i="8"/>
  <c r="Q95" i="8" s="1"/>
  <c r="O150" i="8"/>
  <c r="Q150" i="8" s="1"/>
  <c r="M150" i="8"/>
  <c r="O94" i="8"/>
  <c r="Q94" i="8" s="1"/>
  <c r="M94" i="8"/>
  <c r="O38" i="8"/>
  <c r="Q38" i="8" s="1"/>
  <c r="M38" i="8"/>
  <c r="M149" i="8"/>
  <c r="O149" i="8"/>
  <c r="Q149" i="8" s="1"/>
  <c r="M121" i="8"/>
  <c r="O121" i="8"/>
  <c r="Q121" i="8" s="1"/>
  <c r="M93" i="8"/>
  <c r="O93" i="8"/>
  <c r="Q93" i="8" s="1"/>
  <c r="O65" i="8"/>
  <c r="Q65" i="8" s="1"/>
  <c r="M65" i="8"/>
  <c r="M37" i="8"/>
  <c r="O37" i="8"/>
  <c r="Q37" i="8" s="1"/>
  <c r="O9" i="8"/>
  <c r="Q9" i="8" s="1"/>
  <c r="M9" i="8"/>
  <c r="O148" i="8"/>
  <c r="Q148" i="8" s="1"/>
  <c r="M148" i="8"/>
  <c r="O120" i="8"/>
  <c r="Q120" i="8" s="1"/>
  <c r="M120" i="8"/>
  <c r="O64" i="8"/>
  <c r="Q64" i="8" s="1"/>
  <c r="M64" i="8"/>
  <c r="O36" i="8"/>
  <c r="Q36" i="8" s="1"/>
  <c r="M36" i="8"/>
  <c r="O8" i="8"/>
  <c r="Q8" i="8" s="1"/>
  <c r="M8" i="8"/>
  <c r="M147" i="8"/>
  <c r="O147" i="8"/>
  <c r="Q147" i="8" s="1"/>
  <c r="M119" i="8"/>
  <c r="O119" i="8"/>
  <c r="Q119" i="8" s="1"/>
  <c r="M91" i="8"/>
  <c r="O91" i="8"/>
  <c r="Q91" i="8" s="1"/>
  <c r="M63" i="8"/>
  <c r="O63" i="8"/>
  <c r="Q63" i="8" s="1"/>
  <c r="M35" i="8"/>
  <c r="O35" i="8"/>
  <c r="Q35" i="8" s="1"/>
  <c r="M7" i="8"/>
  <c r="O7" i="8"/>
  <c r="Q7" i="8" s="1"/>
  <c r="M146" i="8"/>
  <c r="O146" i="8"/>
  <c r="Q146" i="8" s="1"/>
  <c r="M118" i="8"/>
  <c r="O118" i="8"/>
  <c r="Q118" i="8" s="1"/>
  <c r="O90" i="8"/>
  <c r="Q90" i="8" s="1"/>
  <c r="M90" i="8"/>
  <c r="M62" i="8"/>
  <c r="O62" i="8"/>
  <c r="Q62" i="8" s="1"/>
  <c r="M34" i="8"/>
  <c r="O34" i="8"/>
  <c r="Q34" i="8" s="1"/>
  <c r="M6" i="8"/>
  <c r="O6" i="8"/>
  <c r="Q6" i="8" s="1"/>
  <c r="M117" i="8"/>
  <c r="O117" i="8"/>
  <c r="Q117" i="8" s="1"/>
  <c r="M89" i="8"/>
  <c r="O89" i="8"/>
  <c r="Q89" i="8" s="1"/>
  <c r="M61" i="8"/>
  <c r="O61" i="8"/>
  <c r="Q61" i="8" s="1"/>
  <c r="M33" i="8"/>
  <c r="O33" i="8"/>
  <c r="Q33" i="8" s="1"/>
  <c r="M5" i="8"/>
  <c r="O5" i="8"/>
  <c r="Q5" i="8" s="1"/>
  <c r="O144" i="8"/>
  <c r="Q144" i="8" s="1"/>
  <c r="M144" i="8"/>
  <c r="O116" i="8"/>
  <c r="Q116" i="8" s="1"/>
  <c r="M116" i="8"/>
  <c r="O88" i="8"/>
  <c r="Q88" i="8" s="1"/>
  <c r="M88" i="8"/>
  <c r="O60" i="8"/>
  <c r="Q60" i="8" s="1"/>
  <c r="M60" i="8"/>
  <c r="O32" i="8"/>
  <c r="Q32" i="8" s="1"/>
  <c r="M32" i="8"/>
  <c r="O4" i="8"/>
  <c r="Q4" i="8" s="1"/>
  <c r="M4" i="8"/>
  <c r="M143" i="8"/>
  <c r="O143" i="8"/>
  <c r="Q143" i="8" s="1"/>
  <c r="M115" i="8"/>
  <c r="O115" i="8"/>
  <c r="Q115" i="8" s="1"/>
  <c r="M87" i="8"/>
  <c r="O87" i="8"/>
  <c r="Q87" i="8" s="1"/>
  <c r="M59" i="8"/>
  <c r="O59" i="8"/>
  <c r="Q59" i="8" s="1"/>
  <c r="M31" i="8"/>
  <c r="O31" i="8"/>
  <c r="Q31" i="8" s="1"/>
  <c r="M3" i="8"/>
  <c r="O3" i="8"/>
  <c r="Q3" i="8" s="1"/>
  <c r="O30" i="8"/>
  <c r="Q30" i="8" s="1"/>
  <c r="M30" i="8"/>
  <c r="O138" i="8"/>
  <c r="Q138" i="8" s="1"/>
  <c r="M138" i="8"/>
  <c r="O110" i="8"/>
  <c r="Q110" i="8" s="1"/>
  <c r="M110" i="8"/>
  <c r="O82" i="8"/>
  <c r="Q82" i="8" s="1"/>
  <c r="M82" i="8"/>
  <c r="O54" i="8"/>
  <c r="Q54" i="8" s="1"/>
  <c r="M54" i="8"/>
  <c r="O26" i="8"/>
  <c r="Q26" i="8" s="1"/>
  <c r="M26" i="8"/>
  <c r="O137" i="8"/>
  <c r="Q137" i="8" s="1"/>
  <c r="M137" i="8"/>
  <c r="O109" i="8"/>
  <c r="Q109" i="8" s="1"/>
  <c r="M109" i="8"/>
  <c r="O81" i="8"/>
  <c r="Q81" i="8" s="1"/>
  <c r="M81" i="8"/>
  <c r="O53" i="8"/>
  <c r="Q53" i="8" s="1"/>
  <c r="M53" i="8"/>
  <c r="O25" i="8"/>
  <c r="Q25" i="8" s="1"/>
  <c r="M25" i="8"/>
  <c r="O142" i="8"/>
  <c r="Q142" i="8" s="1"/>
  <c r="M142" i="8"/>
  <c r="O56" i="8"/>
  <c r="Q56" i="8" s="1"/>
  <c r="M56" i="8"/>
  <c r="O139" i="8"/>
  <c r="Q139" i="8" s="1"/>
  <c r="M139" i="8"/>
  <c r="O55" i="8"/>
  <c r="Q55" i="8" s="1"/>
  <c r="M55" i="8"/>
  <c r="O164" i="8"/>
  <c r="Q164" i="8" s="1"/>
  <c r="M164" i="8"/>
  <c r="O108" i="8"/>
  <c r="Q108" i="8" s="1"/>
  <c r="M108" i="8"/>
  <c r="O24" i="8"/>
  <c r="Q24" i="8" s="1"/>
  <c r="M24" i="8"/>
  <c r="O163" i="8"/>
  <c r="Q163" i="8" s="1"/>
  <c r="M163" i="8"/>
  <c r="O162" i="8"/>
  <c r="Q162" i="8" s="1"/>
  <c r="M162" i="8"/>
  <c r="O134" i="8"/>
  <c r="Q134" i="8" s="1"/>
  <c r="M134" i="8"/>
  <c r="O106" i="8"/>
  <c r="Q106" i="8" s="1"/>
  <c r="M106" i="8"/>
  <c r="O78" i="8"/>
  <c r="Q78" i="8" s="1"/>
  <c r="M78" i="8"/>
  <c r="O50" i="8"/>
  <c r="Q50" i="8" s="1"/>
  <c r="M50" i="8"/>
  <c r="O22" i="8"/>
  <c r="Q22" i="8" s="1"/>
  <c r="M22" i="8"/>
  <c r="M86" i="8"/>
  <c r="M111" i="8"/>
  <c r="O15" i="8"/>
  <c r="Q15" i="8" s="1"/>
  <c r="O2" i="8"/>
  <c r="Q2" i="8" s="1"/>
  <c r="M104" i="8"/>
  <c r="M132" i="8"/>
  <c r="O99" i="8"/>
  <c r="Q99" i="8" s="1"/>
  <c r="M43" i="8"/>
  <c r="M12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D20227-EA02-436E-B5C9-0841348CCAB9}" name="Query - Purchasing" description="Connection to the 'Purchasing' query in the workbook." type="100" refreshedVersion="8" minRefreshableVersion="5">
    <extLst>
      <ext xmlns:x15="http://schemas.microsoft.com/office/spreadsheetml/2010/11/main" uri="{DE250136-89BD-433C-8126-D09CA5730AF9}">
        <x15:connection id="864cf575-3831-48d0-89b2-f82c5d749683">
          <x15:oledbPr connection="Provider=Microsoft.Mashup.OleDb.1;Data Source=$Workbook$;Location=Purchasing;Extended Properties=&quot;&quot;">
            <x15:dbTables>
              <x15:dbTable name="Purchasing"/>
            </x15:dbTables>
          </x15:oledbPr>
        </x15:connection>
      </ext>
    </extLst>
  </connection>
  <connection id="2" xr16:uid="{3A0D49F1-00A0-42E2-AC65-C2711FF12D6D}" name="Query - Purchasing (2)" description="Connection to the 'Purchasing (2)' query in the workbook." type="100" refreshedVersion="8" minRefreshableVersion="5">
    <extLst>
      <ext xmlns:x15="http://schemas.microsoft.com/office/spreadsheetml/2010/11/main" uri="{DE250136-89BD-433C-8126-D09CA5730AF9}">
        <x15:connection id="ac523d8a-3bb5-48fe-9a9a-345c367d94ef">
          <x15:oledbPr connection="Provider=Microsoft.Mashup.OleDb.1;Data Source=$Workbook$;Location=&quot;Purchasing (2)&quot;;Extended Properties=&quot;&quot;">
            <x15:dbTables>
              <x15:dbTable name="Purchasing (2)"/>
            </x15:dbTables>
          </x15:oledbPr>
        </x15:connection>
      </ext>
    </extLst>
  </connection>
  <connection id="3" xr16:uid="{5159F088-0FB4-40C7-AA73-C1D777E66BE0}" keepAlive="1" name="Query - tblbreakfast" description="Connection to the 'tblbreakfast' query in the workbook." type="5" refreshedVersion="0" background="1">
    <dbPr connection="Provider=Microsoft.Mashup.OleDb.1;Data Source=$Workbook$;Location=tblbreakfast;Extended Properties=&quot;&quot;" command="SELECT * FROM [tblbreakfast]"/>
  </connection>
  <connection id="4" xr16:uid="{2CB1CDC1-86FB-41E6-A2B9-12CF648764AB}" keepAlive="1" name="Query - tblbreakfast (2)" description="Connection to the 'tblbreakfast (2)' query in the workbook." type="5" refreshedVersion="0" background="1">
    <dbPr connection="Provider=Microsoft.Mashup.OleDb.1;Data Source=$Workbook$;Location=&quot;tblbreakfast (2)&quot;;Extended Properties=&quot;&quot;" command="SELECT * FROM [tblbreakfast (2)]"/>
  </connection>
  <connection id="5" xr16:uid="{4130448E-D9DE-443A-8A9F-453837E25E10}" keepAlive="1" name="Query - tbldessert" description="Connection to the 'tbldessert' query in the workbook." type="5" refreshedVersion="0" background="1">
    <dbPr connection="Provider=Microsoft.Mashup.OleDb.1;Data Source=$Workbook$;Location=tbldessert;Extended Properties=&quot;&quot;" command="SELECT * FROM [tbldessert]"/>
  </connection>
  <connection id="6" xr16:uid="{B3524F59-5F20-4B3C-82D4-210836E49E87}" keepAlive="1" name="Query - tbldessert (2)" description="Connection to the 'tbldessert (2)' query in the workbook." type="5" refreshedVersion="0" background="1">
    <dbPr connection="Provider=Microsoft.Mashup.OleDb.1;Data Source=$Workbook$;Location=&quot;tbldessert (2)&quot;;Extended Properties=&quot;&quot;" command="SELECT * FROM [tbldessert (2)]"/>
  </connection>
  <connection id="7" xr16:uid="{1A271691-6E8A-46CE-A308-A4CD8CE93692}" keepAlive="1" name="Query - tblmarin" description="Connection to the 'tblmarin' query in the workbook." type="5" refreshedVersion="0" background="1">
    <dbPr connection="Provider=Microsoft.Mashup.OleDb.1;Data Source=$Workbook$;Location=tblmarin;Extended Properties=&quot;&quot;" command="SELECT * FROM [tblmarin]"/>
  </connection>
  <connection id="8" xr16:uid="{177CE338-C206-4B08-B4C4-DCE14C92E81B}" keepAlive="1" name="Query - tblmarin (2)" description="Connection to the 'tblmarin (2)' query in the workbook." type="5" refreshedVersion="0" background="1">
    <dbPr connection="Provider=Microsoft.Mashup.OleDb.1;Data Source=$Workbook$;Location=&quot;tblmarin (2)&quot;;Extended Properties=&quot;&quot;" command="SELECT * FROM [tblmarin (2)]"/>
  </connection>
  <connection id="9" xr16:uid="{2E719000-5F4A-4DD5-B4BE-8D0F0BFE99EE}" keepAlive="1" name="Query - tblrice" description="Connection to the 'tblrice' query in the workbook." type="5" refreshedVersion="0" background="1">
    <dbPr connection="Provider=Microsoft.Mashup.OleDb.1;Data Source=$Workbook$;Location=tblrice;Extended Properties=&quot;&quot;" command="SELECT * FROM [tblrice]"/>
  </connection>
  <connection id="10" xr16:uid="{1F873E75-7E1D-424D-A9FC-159203C56979}" keepAlive="1" name="Query - tblrice (2)" description="Connection to the 'tblrice (2)' query in the workbook." type="5" refreshedVersion="0" background="1">
    <dbPr connection="Provider=Microsoft.Mashup.OleDb.1;Data Source=$Workbook$;Location=&quot;tblrice (2)&quot;;Extended Properties=&quot;&quot;" command="SELECT * FROM [tblrice (2)]"/>
  </connection>
  <connection id="11" xr16:uid="{BE08394D-4D1D-4096-9D25-E54358823A3C}" keepAlive="1" name="Query - tblsalads" description="Connection to the 'tblsalads' query in the workbook." type="5" refreshedVersion="0" background="1">
    <dbPr connection="Provider=Microsoft.Mashup.OleDb.1;Data Source=$Workbook$;Location=tblsalads;Extended Properties=&quot;&quot;" command="SELECT * FROM [tblsalads]"/>
  </connection>
  <connection id="12" xr16:uid="{3A05573E-09C6-4766-B3B4-2E08001F34ED}" keepAlive="1" name="Query - tblsalads (2)" description="Connection to the 'tblsalads (2)' query in the workbook." type="5" refreshedVersion="0" background="1">
    <dbPr connection="Provider=Microsoft.Mashup.OleDb.1;Data Source=$Workbook$;Location=&quot;tblsalads (2)&quot;;Extended Properties=&quot;&quot;" command="SELECT * FROM [tblsalads (2)]"/>
  </connection>
  <connection id="13" xr16:uid="{9C0C118B-E152-47D5-8871-42549147D8ED}" keepAlive="1" name="Query - tblsauce" description="Connection to the 'tblsauce' query in the workbook." type="5" refreshedVersion="0" background="1">
    <dbPr connection="Provider=Microsoft.Mashup.OleDb.1;Data Source=$Workbook$;Location=tblsauce;Extended Properties=&quot;&quot;" command="SELECT * FROM [tblsauce]"/>
  </connection>
  <connection id="14" xr16:uid="{B1F08A07-1F0F-46AC-ACC0-3C6734438B43}" keepAlive="1" name="Query - tblsauce (2)" description="Connection to the 'tblsauce (2)' query in the workbook." type="5" refreshedVersion="0" background="1">
    <dbPr connection="Provider=Microsoft.Mashup.OleDb.1;Data Source=$Workbook$;Location=&quot;tblsauce (2)&quot;;Extended Properties=&quot;&quot;" command="SELECT * FROM [tblsauce (2)]"/>
  </connection>
  <connection id="15" xr16:uid="{97706E5C-172E-412C-A04C-B2958548E39D}" keepAlive="1" name="Query - tblTokyo" description="Connection to the 'tblTokyo' query in the workbook." type="5" refreshedVersion="0" background="1">
    <dbPr connection="Provider=Microsoft.Mashup.OleDb.1;Data Source=$Workbook$;Location=tblTokyo;Extended Properties=&quot;&quot;" command="SELECT * FROM [tblTokyo]"/>
  </connection>
  <connection id="16" xr16:uid="{070C70F1-23FB-4FE2-8D92-DEDCBB3B0046}" keepAlive="1" name="Query - tblTokyo (2)" description="Connection to the 'tblTokyo (2)' query in the workbook." type="5" refreshedVersion="0" background="1">
    <dbPr connection="Provider=Microsoft.Mashup.OleDb.1;Data Source=$Workbook$;Location=&quot;tblTokyo (2)&quot;;Extended Properties=&quot;&quot;" command="SELECT * FROM [tblTokyo (2)]"/>
  </connection>
  <connection id="17" xr16:uid="{9294F4DC-2F0F-4434-99E9-FBD47060E56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<sst xmlns="http://schemas.openxmlformats.org/spreadsheetml/2006/main" count="1482" uniqueCount="571">
  <si>
    <t>الحد الأدنى للكمية المتاحة (MAQ)</t>
  </si>
  <si>
    <t>المخزون المتوقع المتاح</t>
  </si>
  <si>
    <t>المخزون المتاح</t>
  </si>
  <si>
    <t>الطلب الأسبوعي</t>
  </si>
  <si>
    <t>المخزون المتوقع المتاح للأسبوع القادم</t>
  </si>
  <si>
    <t>المورد</t>
  </si>
  <si>
    <t>Almond - لوز بالليمون</t>
  </si>
  <si>
    <t>gm</t>
  </si>
  <si>
    <t>مكسرات</t>
  </si>
  <si>
    <t>الخياليه</t>
  </si>
  <si>
    <t>Almond Whole - لوز كامل</t>
  </si>
  <si>
    <t>Apple cider vinegar - خل تفاح</t>
  </si>
  <si>
    <t>ml</t>
  </si>
  <si>
    <t>صوصات ومنكهات</t>
  </si>
  <si>
    <t>Baking powder - بيكنج باودر</t>
  </si>
  <si>
    <t>ألوان وإضافات</t>
  </si>
  <si>
    <t>ملتقى الخبازين</t>
  </si>
  <si>
    <t>Balsamic Vinegar - خل بلسميك</t>
  </si>
  <si>
    <t>الاقتصاد الأولى</t>
  </si>
  <si>
    <t>Bay Leaf - ورق غار</t>
  </si>
  <si>
    <t>أعشاب مجففة</t>
  </si>
  <si>
    <t>BBQ Sauce - صوص باربيكيو</t>
  </si>
  <si>
    <t>غذاء الشروق / الاقتصادية الاولى</t>
  </si>
  <si>
    <t>BBQ seasoning – توابل المشويات</t>
  </si>
  <si>
    <t>توابل</t>
  </si>
  <si>
    <t>Beef Stock - مرق لحم بقري</t>
  </si>
  <si>
    <t>سوائل ومرق</t>
  </si>
  <si>
    <t>Belgian chocolate - شوكولاتة بلجيكية</t>
  </si>
  <si>
    <t>محليات</t>
  </si>
  <si>
    <t>Biryani Masala - بهارات برياني</t>
  </si>
  <si>
    <t>Black Pepper Powder - فلفل أسود مطحون</t>
  </si>
  <si>
    <t>Black Pepper Whole - فلفل أسود حب</t>
  </si>
  <si>
    <t>Blueberry filling - حشوة توت أزرق</t>
  </si>
  <si>
    <t>Bread Crumbs - فتات الخبز (بقسماط)</t>
  </si>
  <si>
    <t>حبوب ودقيق</t>
  </si>
  <si>
    <t>Bread improver - محسن خبز</t>
  </si>
  <si>
    <t>Brown Color - لون بني</t>
  </si>
  <si>
    <t>Brown Sugar - سكر بني</t>
  </si>
  <si>
    <t>Butter - زبدة</t>
  </si>
  <si>
    <t>منتجات ألبان</t>
  </si>
  <si>
    <t>Cardamom Powder - هيل مطحون</t>
  </si>
  <si>
    <t>Cardamom Whole - هيل حب</t>
  </si>
  <si>
    <t>Carrot Pickle - مخلل جزر</t>
  </si>
  <si>
    <t xml:space="preserve"> المخللات</t>
  </si>
  <si>
    <t>Cashew Nut - كاجو</t>
  </si>
  <si>
    <t>Chantilly cream - كريمة شانتيل</t>
  </si>
  <si>
    <t>Charcoal - فحم</t>
  </si>
  <si>
    <t>Cheddar Cheese - جبنة شيدر</t>
  </si>
  <si>
    <t>حي المصفاة</t>
  </si>
  <si>
    <t>بروتين</t>
  </si>
  <si>
    <t>Chicken Stock - مرق دجاج</t>
  </si>
  <si>
    <t>Chocolate Muffin Mix(pillsbury) - خليط المافن بالشوكولاتة</t>
  </si>
  <si>
    <t>Cinnamon Powder - قرفة مطحونة</t>
  </si>
  <si>
    <t>Cinnamon Whole - قرفة أعواد</t>
  </si>
  <si>
    <t>Cloves Whole - قرنفل حب</t>
  </si>
  <si>
    <t>Cocoa powder - بودرة كاكاو</t>
  </si>
  <si>
    <t>Coconut Milk - حليب جوز الهند</t>
  </si>
  <si>
    <t>Condensed milk - حليب مكثف محلى</t>
  </si>
  <si>
    <t>Cooking Cream - كريمة طبخ</t>
  </si>
  <si>
    <t>خطوط الصفا</t>
  </si>
  <si>
    <t>Coriander Powder - كزبرة مطحونة</t>
  </si>
  <si>
    <t>Corn Oil - زيت ذرة</t>
  </si>
  <si>
    <t>Corn Starch - نشا ذرة</t>
  </si>
  <si>
    <t>Piece</t>
  </si>
  <si>
    <t>Crushed fava beans - فول مجروش</t>
  </si>
  <si>
    <t>Cucumber Pickle - مخلل خيار</t>
  </si>
  <si>
    <t>Cumin Powder - كمون مطحون</t>
  </si>
  <si>
    <t>Cumin Whole - كمون حب</t>
  </si>
  <si>
    <t>Curry Powder - كاري بودرة</t>
  </si>
  <si>
    <t>Dark chocolate - شوكولاتة داكنة</t>
  </si>
  <si>
    <t>Date Paste - معجون تمر</t>
  </si>
  <si>
    <t>Demi Glaze Sauce - صوص ديمي غلاز</t>
  </si>
  <si>
    <t>Digestive biscuits - بسكويت دايجستف</t>
  </si>
  <si>
    <t>Double Chocolate Chip powder - حبيبات الشوكولاتة المزدوجة</t>
  </si>
  <si>
    <t>Dried Mint Leaves - نعناع مجفف</t>
  </si>
  <si>
    <t>Dry Basil - ريحان مجفف</t>
  </si>
  <si>
    <t>Dry Oregano - أوريجانو مجفف</t>
  </si>
  <si>
    <t>Dry Thyme - زعتر مجفف</t>
  </si>
  <si>
    <t>Dry yeast - خميرة جافة</t>
  </si>
  <si>
    <t>Egg - بيضة</t>
  </si>
  <si>
    <t>شركة روحاء النقاء للبيض</t>
  </si>
  <si>
    <t>Egg yellow colour powder - لون صفار البيض</t>
  </si>
  <si>
    <t>Egyptian Rice - رز مصرى</t>
  </si>
  <si>
    <t>KG</t>
  </si>
  <si>
    <t>Evaporated milk - حليب مبخر</t>
  </si>
  <si>
    <t>Fennel Seeds - شمر حب</t>
  </si>
  <si>
    <t>Fettuccine Pasta - مكرونة فيتوتشيني</t>
  </si>
  <si>
    <t>مكرونة</t>
  </si>
  <si>
    <t>Flour - دقيق</t>
  </si>
  <si>
    <t>Fresh Cream (Qishta) - قشطة</t>
  </si>
  <si>
    <t>Fresh saffron - زعفران طازج</t>
  </si>
  <si>
    <t>Frozen Baby Spinach - سبانخ صغيرة مجمدة</t>
  </si>
  <si>
    <t>معلبات و مجمدات</t>
  </si>
  <si>
    <t>Frozen Green Beans - فاصوليا خضراء مجمدة</t>
  </si>
  <si>
    <t>Frozen Green Peas - بازلاء خضراء مجمده</t>
  </si>
  <si>
    <t>Frozen mango puree - لب مانجو مجمد</t>
  </si>
  <si>
    <t>Frozen Molokeya - ملوخية مجمدة</t>
  </si>
  <si>
    <t>Frozen Okra - بامية مجمدة</t>
  </si>
  <si>
    <t>Frozen raspberry - توت العليق مجمد</t>
  </si>
  <si>
    <t>Garlic Powder - ثوم بودرة</t>
  </si>
  <si>
    <t>Ghee - سمن</t>
  </si>
  <si>
    <t>Ginger Powder - زنجبيل مطحون</t>
  </si>
  <si>
    <t>Green Color - لون أخضر</t>
  </si>
  <si>
    <t>Halloumi cheese - حلوم</t>
  </si>
  <si>
    <t>Honey - عسل</t>
  </si>
  <si>
    <t>Honey Packet - عسل شرائح</t>
  </si>
  <si>
    <t>Hummus Peas - حمص</t>
  </si>
  <si>
    <t>Italian Seasoning - توابل إيطالية</t>
  </si>
  <si>
    <t>Kabsa Spices Powder - توابل كبسة بودر</t>
  </si>
  <si>
    <t>Kashmiri Red Chilli Whole - فلفل كشميري أحمر كامل</t>
  </si>
  <si>
    <t>Kasuri Methi - ورق حلبة مجففة</t>
  </si>
  <si>
    <t>Labneh - لبنة</t>
  </si>
  <si>
    <t>Lemon Juice - عصير ليمون</t>
  </si>
  <si>
    <t>Light Soy Sauce - صويا صوص خفيف</t>
  </si>
  <si>
    <t>Lotus spread - سبريد لوتس</t>
  </si>
  <si>
    <t>Maggi Cubes - مكعبات ماجي</t>
  </si>
  <si>
    <t>Mayonnaise - مايونيز</t>
  </si>
  <si>
    <t>Milk - حليب</t>
  </si>
  <si>
    <t>Milk powder - حليب بودرة</t>
  </si>
  <si>
    <t>Millets Powder - مسحوق الدخن</t>
  </si>
  <si>
    <t>Mozzarella Cheese - جبنة موتزاريلا</t>
  </si>
  <si>
    <t>Mustard - خردل</t>
  </si>
  <si>
    <t>Nigella Seeds - حبة البركة</t>
  </si>
  <si>
    <t>Olive Oil - زيت زيتون</t>
  </si>
  <si>
    <t>Onion Powder - بصل بودرة</t>
  </si>
  <si>
    <t>Orange Color - لون برتقالي</t>
  </si>
  <si>
    <t>Oyster Sauce - صوص محار</t>
  </si>
  <si>
    <t>Paprika Powder - بابريكا مطحون</t>
  </si>
  <si>
    <t>Parmesan Cheese Powder - بديل البارميزان</t>
  </si>
  <si>
    <t>Pasta fusilli - مكرونة مبرومة</t>
  </si>
  <si>
    <t>Pasta Lasagna Sheets - شرائح لازانيا باستا</t>
  </si>
  <si>
    <t>Pasta Orzo - مكرونة لسان عصفور</t>
  </si>
  <si>
    <t>Pasta Penne - مكرونة أقلام</t>
  </si>
  <si>
    <t>Pasta Spaghettini  - مكرونة اسباجيتي</t>
  </si>
  <si>
    <t>Peanut Butter - زبدة فول سوداني</t>
  </si>
  <si>
    <t>Pecan Nuts - مكسرات بيكان</t>
  </si>
  <si>
    <t>Philadelphia cheese - جبنة فيلادلفيا</t>
  </si>
  <si>
    <t>Pine Nuts - صنوبر</t>
  </si>
  <si>
    <t>Pistachio - فستق محمص بالليمون</t>
  </si>
  <si>
    <t>Pistachio cream - كريمة فستق</t>
  </si>
  <si>
    <t>Pistachio powder - بودرة فستق</t>
  </si>
  <si>
    <t>Powdered sugar - سكر بودرة</t>
  </si>
  <si>
    <t>Quinoa - كينوا</t>
  </si>
  <si>
    <t>Radish Pickle - مخلل فجل</t>
  </si>
  <si>
    <t>Raisin - زبيب</t>
  </si>
  <si>
    <t>Raspberry filling - حشوة توت العليق</t>
  </si>
  <si>
    <t>Red Chilli Powder - شطة حمراء مطحونة</t>
  </si>
  <si>
    <t>Red Kidney Beans - فاصوليا حمراء</t>
  </si>
  <si>
    <t>Rice - رز</t>
  </si>
  <si>
    <t>Rose Water - ماء الورد</t>
  </si>
  <si>
    <t>Saffron flavored powder - بودرة بنكهة الزعفران</t>
  </si>
  <si>
    <t>Saffron yellow color powder - لون صفار زعفران بودر</t>
  </si>
  <si>
    <t>Salt - ملح</t>
  </si>
  <si>
    <t>Semolina powder - سميد بودرة</t>
  </si>
  <si>
    <t>Sesame Paste - طحينة السمسم</t>
  </si>
  <si>
    <t>Sesame seeds - بذور سمسم</t>
  </si>
  <si>
    <t>Sliced almond - لوز شرائح</t>
  </si>
  <si>
    <t>Sliced black olives - زيتون أسود شرائح</t>
  </si>
  <si>
    <t>Sliced cheese - جبنة شرائح</t>
  </si>
  <si>
    <t>Sliced green olives - زيتون أخضر شرائح</t>
  </si>
  <si>
    <t>Smoked Paprika Powder - بابريكا مدخنة مطحونة</t>
  </si>
  <si>
    <t>Soda Bi Carb - بيكربونات الصوديوم</t>
  </si>
  <si>
    <t>Sriracha Sauce - صوص سريراتشا</t>
  </si>
  <si>
    <t>Star Anise - ينسون نجمي</t>
  </si>
  <si>
    <t>Strawberry jam - مربى فراولة</t>
  </si>
  <si>
    <t>Sugar - سكر</t>
  </si>
  <si>
    <t>Sumac - سماق</t>
  </si>
  <si>
    <t>Sweet Corn - ذرة حلوة</t>
  </si>
  <si>
    <t>Sweet Soy Sauce - صويا صوص حلو</t>
  </si>
  <si>
    <t>Tomato Ketchup - كاتشب طماطم</t>
  </si>
  <si>
    <t>Tomato Paste - صلصة طماطم</t>
  </si>
  <si>
    <t>Tuna - تونة</t>
  </si>
  <si>
    <t>Turkey - ديك رومي</t>
  </si>
  <si>
    <t>Turmeric - كركم</t>
  </si>
  <si>
    <t>Vanilla powder - بودرة فانيليا</t>
  </si>
  <si>
    <t>Vinegar - خل</t>
  </si>
  <si>
    <t>Walnuts - عين جمل</t>
  </si>
  <si>
    <t>Water - ماء</t>
  </si>
  <si>
    <t>Wheat flour - دقيق بر</t>
  </si>
  <si>
    <t>Whipping cream - كريمة خفق</t>
  </si>
  <si>
    <t>White Beans - فاصوليا بيضاء</t>
  </si>
  <si>
    <t>White Pepper - فلفل أبيض</t>
  </si>
  <si>
    <t>White sugar - سكر أبيض</t>
  </si>
  <si>
    <t>Whole oats - شوفان كامل</t>
  </si>
  <si>
    <t>Worcestershire sauce - صوص الورشيستر</t>
  </si>
  <si>
    <t>Yogurt - زبادي</t>
  </si>
  <si>
    <t>Chicken Stock Powder - بودرة مرق دجاج</t>
  </si>
  <si>
    <t>Noodles - نودلز</t>
  </si>
  <si>
    <t>Ice Water - ماء مثلج</t>
  </si>
  <si>
    <t>Soy Sauce - صلصة الصويا</t>
  </si>
  <si>
    <t>ITEMS</t>
  </si>
  <si>
    <t>Order Base Unit وحدة الطلب الأساسية</t>
  </si>
  <si>
    <t>Order Unit وحدة الطلب</t>
  </si>
  <si>
    <t>Price of ordering unit سعر وحدة الطلب</t>
  </si>
  <si>
    <t>Cost Per KG or L السعر للكيلو او للتر</t>
  </si>
  <si>
    <t>1000</t>
  </si>
  <si>
    <t>Kg</t>
  </si>
  <si>
    <t>41</t>
  </si>
  <si>
    <t>الاستهلاك الأسبوعى</t>
  </si>
  <si>
    <t>39</t>
  </si>
  <si>
    <t>16650</t>
  </si>
  <si>
    <t>16650 L</t>
  </si>
  <si>
    <t>36</t>
  </si>
  <si>
    <t>2.162162162</t>
  </si>
  <si>
    <t>10000</t>
  </si>
  <si>
    <t>10,000 KG/Carton</t>
  </si>
  <si>
    <t>79</t>
  </si>
  <si>
    <t>7.9</t>
  </si>
  <si>
    <t>6000</t>
  </si>
  <si>
    <t>6 L / Carton</t>
  </si>
  <si>
    <t>170.44</t>
  </si>
  <si>
    <t>28.40666667</t>
  </si>
  <si>
    <t>100</t>
  </si>
  <si>
    <t>100 gm/Carton</t>
  </si>
  <si>
    <t>3.04</t>
  </si>
  <si>
    <t>15160</t>
  </si>
  <si>
    <t>15.16 L / Carton</t>
  </si>
  <si>
    <t>265</t>
  </si>
  <si>
    <t>17.48021108</t>
  </si>
  <si>
    <t>2400</t>
  </si>
  <si>
    <t>2400 Kg/Carton</t>
  </si>
  <si>
    <t>104</t>
  </si>
  <si>
    <t>43.33333333</t>
  </si>
  <si>
    <t>L</t>
  </si>
  <si>
    <t>0</t>
  </si>
  <si>
    <t>5000</t>
  </si>
  <si>
    <t>5000 KG per Bag</t>
  </si>
  <si>
    <t>350</t>
  </si>
  <si>
    <t>70</t>
  </si>
  <si>
    <t>43</t>
  </si>
  <si>
    <t>31</t>
  </si>
  <si>
    <t>38</t>
  </si>
  <si>
    <t>6000 KG/Pail</t>
  </si>
  <si>
    <t>215</t>
  </si>
  <si>
    <t>35.83333333</t>
  </si>
  <si>
    <t>12000</t>
  </si>
  <si>
    <t>12 Kg/Carton</t>
  </si>
  <si>
    <t>102</t>
  </si>
  <si>
    <t>8.5</t>
  </si>
  <si>
    <t>500</t>
  </si>
  <si>
    <t>500 gm/Pack</t>
  </si>
  <si>
    <t>45</t>
  </si>
  <si>
    <t>90</t>
  </si>
  <si>
    <t>100 g/Pack</t>
  </si>
  <si>
    <t>4</t>
  </si>
  <si>
    <t>40</t>
  </si>
  <si>
    <t>20000</t>
  </si>
  <si>
    <t>20 Kg</t>
  </si>
  <si>
    <t>130</t>
  </si>
  <si>
    <t>6.5</t>
  </si>
  <si>
    <t>25000</t>
  </si>
  <si>
    <t>25 Kg</t>
  </si>
  <si>
    <t>750</t>
  </si>
  <si>
    <t>30</t>
  </si>
  <si>
    <t>107</t>
  </si>
  <si>
    <t>125</t>
  </si>
  <si>
    <t>10,000 KG/Pail</t>
  </si>
  <si>
    <t>42</t>
  </si>
  <si>
    <t>4.2</t>
  </si>
  <si>
    <t>10,000 KG/Bag</t>
  </si>
  <si>
    <t>142</t>
  </si>
  <si>
    <t>14.2</t>
  </si>
  <si>
    <t>10 Kg / bag</t>
  </si>
  <si>
    <t>60</t>
  </si>
  <si>
    <t>3</t>
  </si>
  <si>
    <t>10800</t>
  </si>
  <si>
    <t>10.8 KG/Carton</t>
  </si>
  <si>
    <t>162</t>
  </si>
  <si>
    <t>15</t>
  </si>
  <si>
    <t>10 Kg / Carton</t>
  </si>
  <si>
    <t>3000</t>
  </si>
  <si>
    <t>3000 KG/Bag</t>
  </si>
  <si>
    <t>28</t>
  </si>
  <si>
    <t>9.333333333</t>
  </si>
  <si>
    <t>14</t>
  </si>
  <si>
    <t>37</t>
  </si>
  <si>
    <t>3750</t>
  </si>
  <si>
    <t>3750 gm/can</t>
  </si>
  <si>
    <t>128</t>
  </si>
  <si>
    <t>34.13333333</t>
  </si>
  <si>
    <t>9600</t>
  </si>
  <si>
    <t>9.6 Kg/Carton</t>
  </si>
  <si>
    <t>95</t>
  </si>
  <si>
    <t>9.89583333</t>
  </si>
  <si>
    <t>17760</t>
  </si>
  <si>
    <t>17760 KG/Carton</t>
  </si>
  <si>
    <t>210</t>
  </si>
  <si>
    <t>11.82432432</t>
  </si>
  <si>
    <t>12 L / Carton</t>
  </si>
  <si>
    <t>152</t>
  </si>
  <si>
    <t>12.66666667</t>
  </si>
  <si>
    <t>8</t>
  </si>
  <si>
    <t>17000</t>
  </si>
  <si>
    <t>17000 /Tank</t>
  </si>
  <si>
    <t>5.882352941</t>
  </si>
  <si>
    <t>58</t>
  </si>
  <si>
    <t>2.32</t>
  </si>
  <si>
    <t>18000</t>
  </si>
  <si>
    <t>18000 KG/Bag</t>
  </si>
  <si>
    <t>50</t>
  </si>
  <si>
    <t>2.777777778</t>
  </si>
  <si>
    <t>6</t>
  </si>
  <si>
    <t>19</t>
  </si>
  <si>
    <t>26.5</t>
  </si>
  <si>
    <t>20,000 KG/ Bag</t>
  </si>
  <si>
    <t>395</t>
  </si>
  <si>
    <t>19.75</t>
  </si>
  <si>
    <t>15000</t>
  </si>
  <si>
    <t>15,000 KG/Carton</t>
  </si>
  <si>
    <t>65</t>
  </si>
  <si>
    <t>4.333333333</t>
  </si>
  <si>
    <t>4500</t>
  </si>
  <si>
    <t>4.5 Kg / Carton</t>
  </si>
  <si>
    <t>285</t>
  </si>
  <si>
    <t>63.33333333</t>
  </si>
  <si>
    <t>22</t>
  </si>
  <si>
    <t>9.166666667</t>
  </si>
  <si>
    <t>5952</t>
  </si>
  <si>
    <t>5952 KG/Carton</t>
  </si>
  <si>
    <t>151.3</t>
  </si>
  <si>
    <t>25.42002688</t>
  </si>
  <si>
    <t>200</t>
  </si>
  <si>
    <t>200 g / Pack</t>
  </si>
  <si>
    <t>20</t>
  </si>
  <si>
    <t>142 g / Pack</t>
  </si>
  <si>
    <t>140.8450704</t>
  </si>
  <si>
    <t>21</t>
  </si>
  <si>
    <t>147.8873239</t>
  </si>
  <si>
    <t>7</t>
  </si>
  <si>
    <t>10.87</t>
  </si>
  <si>
    <t>21.74</t>
  </si>
  <si>
    <t>360</t>
  </si>
  <si>
    <t>360 Egg/Carton</t>
  </si>
  <si>
    <t>156</t>
  </si>
  <si>
    <t>0.433333333</t>
  </si>
  <si>
    <t>100 gm/Pack</t>
  </si>
  <si>
    <t>2.25</t>
  </si>
  <si>
    <t>22.5</t>
  </si>
  <si>
    <t>30000</t>
  </si>
  <si>
    <t>30,000 KG/Carton</t>
  </si>
  <si>
    <t>208</t>
  </si>
  <si>
    <t>6.933333333</t>
  </si>
  <si>
    <t>18480</t>
  </si>
  <si>
    <t>18480 ml/Carton</t>
  </si>
  <si>
    <t>112</t>
  </si>
  <si>
    <t>6.060606061</t>
  </si>
  <si>
    <t>10</t>
  </si>
  <si>
    <t>7200</t>
  </si>
  <si>
    <t>7200gm / Carton</t>
  </si>
  <si>
    <t>155</t>
  </si>
  <si>
    <t>21.52777778</t>
  </si>
  <si>
    <t>9600 KG/Carton</t>
  </si>
  <si>
    <t>98</t>
  </si>
  <si>
    <t>10.20833333</t>
  </si>
  <si>
    <t>10,000 KG/Bundle</t>
  </si>
  <si>
    <t>17</t>
  </si>
  <si>
    <t>1.7</t>
  </si>
  <si>
    <t>56.52</t>
  </si>
  <si>
    <t>11.304</t>
  </si>
  <si>
    <t>280 gm/Carton</t>
  </si>
  <si>
    <t>280</t>
  </si>
  <si>
    <t>9333.333333</t>
  </si>
  <si>
    <t>8000</t>
  </si>
  <si>
    <t>8,000 KG/Carton</t>
  </si>
  <si>
    <t>34</t>
  </si>
  <si>
    <t>4.25</t>
  </si>
  <si>
    <t>8000 Kg / Carton</t>
  </si>
  <si>
    <t>4.875</t>
  </si>
  <si>
    <t>4800</t>
  </si>
  <si>
    <t>4800 Kg / Carton</t>
  </si>
  <si>
    <t>80</t>
  </si>
  <si>
    <t>16.66666667</t>
  </si>
  <si>
    <t>16000</t>
  </si>
  <si>
    <t>16000 / Carton</t>
  </si>
  <si>
    <t>140.87</t>
  </si>
  <si>
    <t>8.804375</t>
  </si>
  <si>
    <t>8 Kg / Carton</t>
  </si>
  <si>
    <t>33</t>
  </si>
  <si>
    <t>4.125</t>
  </si>
  <si>
    <t>16.25</t>
  </si>
  <si>
    <t>5600</t>
  </si>
  <si>
    <t>5600 KG/Carton</t>
  </si>
  <si>
    <t>286.96</t>
  </si>
  <si>
    <t>51.24285714</t>
  </si>
  <si>
    <t>1600</t>
  </si>
  <si>
    <t>1600 Kg / Can</t>
  </si>
  <si>
    <t>73.91</t>
  </si>
  <si>
    <t>46.19375</t>
  </si>
  <si>
    <t>18</t>
  </si>
  <si>
    <t>10 Kg / Cartoon</t>
  </si>
  <si>
    <t>243.48</t>
  </si>
  <si>
    <t>24.348</t>
  </si>
  <si>
    <t>8000 KG/Carton</t>
  </si>
  <si>
    <t>136</t>
  </si>
  <si>
    <t>96</t>
  </si>
  <si>
    <t>96 Piece/Carton</t>
  </si>
  <si>
    <t>59</t>
  </si>
  <si>
    <t>0.614583333</t>
  </si>
  <si>
    <t>34 g</t>
  </si>
  <si>
    <t>250</t>
  </si>
  <si>
    <t>2400 gram</t>
  </si>
  <si>
    <t>105</t>
  </si>
  <si>
    <t>43.75</t>
  </si>
  <si>
    <t>145</t>
  </si>
  <si>
    <t>14.5</t>
  </si>
  <si>
    <t>50 gram</t>
  </si>
  <si>
    <t>2.6</t>
  </si>
  <si>
    <t>52</t>
  </si>
  <si>
    <t>11000</t>
  </si>
  <si>
    <t>11 Kg / Carton</t>
  </si>
  <si>
    <t>149</t>
  </si>
  <si>
    <t>13.54545455</t>
  </si>
  <si>
    <t>12000 ML/Cartoon</t>
  </si>
  <si>
    <t>5</t>
  </si>
  <si>
    <t>3108</t>
  </si>
  <si>
    <t>3108 ml /Carton</t>
  </si>
  <si>
    <t>115</t>
  </si>
  <si>
    <t>37.001287</t>
  </si>
  <si>
    <t>8,000 KG/Pail</t>
  </si>
  <si>
    <t>31.25</t>
  </si>
  <si>
    <t>5760</t>
  </si>
  <si>
    <t>Carton</t>
  </si>
  <si>
    <t>88</t>
  </si>
  <si>
    <t>15.27777778</t>
  </si>
  <si>
    <t>14800</t>
  </si>
  <si>
    <t>14800 L/Carton</t>
  </si>
  <si>
    <t>6.418918919</t>
  </si>
  <si>
    <t>(blank)</t>
  </si>
  <si>
    <t>50.44</t>
  </si>
  <si>
    <t>4.203333333</t>
  </si>
  <si>
    <t>140</t>
  </si>
  <si>
    <t>6.96</t>
  </si>
  <si>
    <t>9200</t>
  </si>
  <si>
    <t>9.2 Kg / Carton</t>
  </si>
  <si>
    <t>165</t>
  </si>
  <si>
    <t>17.93478261</t>
  </si>
  <si>
    <t>15120</t>
  </si>
  <si>
    <t>15.12 L / Carton</t>
  </si>
  <si>
    <t>170</t>
  </si>
  <si>
    <t>11.24338624</t>
  </si>
  <si>
    <t>13</t>
  </si>
  <si>
    <t>10,000 KG/Can</t>
  </si>
  <si>
    <t>15.5</t>
  </si>
  <si>
    <t>12</t>
  </si>
  <si>
    <t>100 gm/Can</t>
  </si>
  <si>
    <t>3.5</t>
  </si>
  <si>
    <t>35</t>
  </si>
  <si>
    <t>7.2 L / Carton</t>
  </si>
  <si>
    <t>14.86111111</t>
  </si>
  <si>
    <t>2724</t>
  </si>
  <si>
    <t>2724 gram/Carton</t>
  </si>
  <si>
    <t>175</t>
  </si>
  <si>
    <t>64.24375918</t>
  </si>
  <si>
    <t>2724 Kg / Carton</t>
  </si>
  <si>
    <t>185</t>
  </si>
  <si>
    <t>67.91483113</t>
  </si>
  <si>
    <t>10800 KG/Carton</t>
  </si>
  <si>
    <t>8.333333333</t>
  </si>
  <si>
    <t>5448</t>
  </si>
  <si>
    <t>5448 KG/Carton</t>
  </si>
  <si>
    <t>30.28634361</t>
  </si>
  <si>
    <t>8.796296296</t>
  </si>
  <si>
    <t>9.259259259</t>
  </si>
  <si>
    <t>9.074074074</t>
  </si>
  <si>
    <t>9600 gm/Carton</t>
  </si>
  <si>
    <t>245</t>
  </si>
  <si>
    <t>25.52083333</t>
  </si>
  <si>
    <t>6600</t>
  </si>
  <si>
    <t>6600 KG/Carton</t>
  </si>
  <si>
    <t>230</t>
  </si>
  <si>
    <t>34.84848485</t>
  </si>
  <si>
    <t>160</t>
  </si>
  <si>
    <t>51</t>
  </si>
  <si>
    <t>5000 KG/Bag</t>
  </si>
  <si>
    <t>93</t>
  </si>
  <si>
    <t>15,000 KG/ Bag</t>
  </si>
  <si>
    <t>3.333333333</t>
  </si>
  <si>
    <t>17.5</t>
  </si>
  <si>
    <t>30.83333333</t>
  </si>
  <si>
    <t>9600 Kg / Carton</t>
  </si>
  <si>
    <t>40000</t>
  </si>
  <si>
    <t>40,000 KG/Carton</t>
  </si>
  <si>
    <t>5.75</t>
  </si>
  <si>
    <t>20.8</t>
  </si>
  <si>
    <t>6480</t>
  </si>
  <si>
    <t>6480 L/Carton</t>
  </si>
  <si>
    <t>95.65</t>
  </si>
  <si>
    <t>14.76080247</t>
  </si>
  <si>
    <t>720</t>
  </si>
  <si>
    <t>720gm Per Bundle</t>
  </si>
  <si>
    <t>18.91</t>
  </si>
  <si>
    <t>26.26388889</t>
  </si>
  <si>
    <t>50000</t>
  </si>
  <si>
    <t>50 Kg</t>
  </si>
  <si>
    <t>0.74</t>
  </si>
  <si>
    <t>16000 KG/Can</t>
  </si>
  <si>
    <t>12,000 KG/Carton</t>
  </si>
  <si>
    <t>10.41666667</t>
  </si>
  <si>
    <t>120</t>
  </si>
  <si>
    <t>120 Piece / Carton</t>
  </si>
  <si>
    <t>0.583333333</t>
  </si>
  <si>
    <t>19800</t>
  </si>
  <si>
    <t>19800 KG/Carton</t>
  </si>
  <si>
    <t>130.45</t>
  </si>
  <si>
    <t>6.588383838</t>
  </si>
  <si>
    <t>454</t>
  </si>
  <si>
    <t>454 g</t>
  </si>
  <si>
    <t>44</t>
  </si>
  <si>
    <t>96.91629956</t>
  </si>
  <si>
    <t>3540</t>
  </si>
  <si>
    <t xml:space="preserve"> 3540 ml /Carton</t>
  </si>
  <si>
    <t>118</t>
  </si>
  <si>
    <t>33.33333333</t>
  </si>
  <si>
    <t>2130</t>
  </si>
  <si>
    <t>2130 ml / Carton</t>
  </si>
  <si>
    <t>58.68544601</t>
  </si>
  <si>
    <t>31.5</t>
  </si>
  <si>
    <t>100 Piece Carton</t>
  </si>
  <si>
    <t>0.36</t>
  </si>
  <si>
    <t>27</t>
  </si>
  <si>
    <t>2.7</t>
  </si>
  <si>
    <t>12750</t>
  </si>
  <si>
    <t>12.75 Kg / Carton</t>
  </si>
  <si>
    <t>10.19607843</t>
  </si>
  <si>
    <t>7500</t>
  </si>
  <si>
    <t>7.5 L / Carton</t>
  </si>
  <si>
    <t>22.66666667</t>
  </si>
  <si>
    <t>20 Kg / Carton</t>
  </si>
  <si>
    <t>3.25</t>
  </si>
  <si>
    <t>9.6 Kg / Carton</t>
  </si>
  <si>
    <t>78.26</t>
  </si>
  <si>
    <t>8.152083333</t>
  </si>
  <si>
    <t>10500</t>
  </si>
  <si>
    <t>10500 KG/Carton</t>
  </si>
  <si>
    <t>240</t>
  </si>
  <si>
    <t>22.85714286</t>
  </si>
  <si>
    <t>2880</t>
  </si>
  <si>
    <t>2880gm Per Carton</t>
  </si>
  <si>
    <t>24.30555556</t>
  </si>
  <si>
    <t>1.8</t>
  </si>
  <si>
    <t>12000 L / Carton</t>
  </si>
  <si>
    <t>10.83333333</t>
  </si>
  <si>
    <t>69</t>
  </si>
  <si>
    <t>7.1875</t>
  </si>
  <si>
    <t>47</t>
  </si>
  <si>
    <t>10,800 KG/Carton</t>
  </si>
  <si>
    <t>12.03703704</t>
  </si>
  <si>
    <t>3540 ML/Carton</t>
  </si>
  <si>
    <t>35.31073446</t>
  </si>
  <si>
    <t>10 Kg</t>
  </si>
  <si>
    <t>66.96</t>
  </si>
  <si>
    <t>6.696</t>
  </si>
  <si>
    <t>Feta cheese - جبنة فيتا</t>
  </si>
  <si>
    <t>Rice american - رز أمريكي</t>
  </si>
  <si>
    <t>Tokyo</t>
  </si>
  <si>
    <t>وحدة الطلب</t>
  </si>
  <si>
    <t>Bag</t>
  </si>
  <si>
    <t>Pail</t>
  </si>
  <si>
    <t>Pack</t>
  </si>
  <si>
    <t>Can</t>
  </si>
  <si>
    <t>Bundle</t>
  </si>
  <si>
    <t>Tank</t>
  </si>
  <si>
    <t>طلب الاسبوعى</t>
  </si>
  <si>
    <t>سعر الطلب الاسبوعى</t>
  </si>
  <si>
    <t>حبشى الأنصارى</t>
  </si>
  <si>
    <t>Unit</t>
  </si>
  <si>
    <t>Category</t>
  </si>
  <si>
    <t>6000 gram/Carton</t>
  </si>
  <si>
    <t>182</t>
  </si>
  <si>
    <t>MSG - جلوتامات أحادي الصوديوم</t>
  </si>
  <si>
    <t>30.33333333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</si>
</sst>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-* #,##0_-;\-* #,##0_-;_-* \-??_-;_-@_-"/>
    <numFmt numFmtId="166" formatCode="_-* #,##0_-;\-* #,##0_-;_-* &quot;-&quot;??_-;_-@_-"/>
    <numFmt numFmtId="167" formatCode="_-* #,##0.00\ _ر_._س_._‏_-;\-* #,##0.00\ _ر_._س_._‏_-;_-* &quot;-&quot;??\ _ر_._س_._‏_-;_-@_-"/>
  </numFmts>
  <fonts count="13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"/>
    </font>
    <font>
      <b/>
      <sz val="12"/>
      <color theme="0"/>
      <name val="Aptos Narrow"/>
      <family val="2"/>
      <charset val="1"/>
    </font>
    <font>
      <b/>
      <sz val="12"/>
      <color rgb="FFFFFFFF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2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600FF"/>
        <bgColor rgb="FF800080"/>
      </patternFill>
    </fill>
    <fill>
      <patternFill patternType="solid">
        <fgColor rgb="FF66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/>
    <xf numFmtId="164" fontId="8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165" fontId="4" fillId="0" borderId="0" xfId="1" applyNumberFormat="1" applyFont="1" applyProtection="1">
      <protection hidden="1"/>
    </xf>
    <xf numFmtId="0" fontId="7" fillId="0" borderId="1" xfId="0" applyFont="1" applyBorder="1" applyAlignment="1">
      <alignment horizontal="right" vertical="center"/>
    </xf>
    <xf numFmtId="0" fontId="9" fillId="0" borderId="0" xfId="0" applyFont="1"/>
    <xf numFmtId="166" fontId="9" fillId="0" borderId="0" xfId="0" applyNumberFormat="1" applyFont="1"/>
    <xf numFmtId="166" fontId="4" fillId="0" borderId="0" xfId="0" applyNumberFormat="1" applyFont="1"/>
    <xf numFmtId="1" fontId="4" fillId="0" borderId="0" xfId="0" applyNumberFormat="1" applyFont="1"/>
    <xf numFmtId="167" fontId="10" fillId="0" borderId="0" xfId="0" applyNumberFormat="1" applyFont="1"/>
    <xf numFmtId="0" fontId="10" fillId="0" borderId="0" xfId="0" applyFont="1"/>
    <xf numFmtId="166" fontId="9" fillId="0" borderId="0" xfId="1" applyNumberFormat="1" applyFont="1" applyAlignment="1">
      <alignment horizontal="center"/>
    </xf>
    <xf numFmtId="166" fontId="9" fillId="0" borderId="0" xfId="1" applyNumberFormat="1" applyFont="1" applyProtection="1">
      <protection hidden="1"/>
    </xf>
    <xf numFmtId="0" fontId="5" fillId="2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1" fontId="4" fillId="0" borderId="0" xfId="0" applyNumberFormat="1" applyFont="1"/>
  </cellXfs>
  <cellStyles count="6">
    <cellStyle name="Comma" xfId="1" builtinId="3"/>
    <cellStyle name="Normal" xfId="0" builtinId="0"/>
    <cellStyle name="Normal 2" xfId="2" xr:uid="{DB521D57-DFA3-47BD-AEB7-824365A485E2}"/>
    <cellStyle name="Normal 2 2" xfId="3" xr:uid="{DA942A77-DC37-40F9-8C6F-192CA7677D9E}"/>
    <cellStyle name="Normal 2 2 2" xfId="5" xr:uid="{407F16D3-F78D-418B-80B6-938617C4CB83}"/>
    <cellStyle name="Normal 2 3" xfId="4" xr:uid="{31F0C61A-6B75-4FB3-8759-A50646C50E56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600FF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367" row="9">
    <wetp:webextensionref xmlns:r="http://schemas.openxmlformats.org/officeDocument/2006/relationships" r:id="rId1"/>
  </wetp:taskpane>
  <wetp:taskpane dockstate="right" visibility="0" width="78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5EDA7FC-6E3A-4DEB-8D26-E24D0F0932D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2b147b7-a7b9-4f5e-b882-1cd621908933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F80E73B-6DBA-480C-B25D-4C73AA750716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26b3a3c5-f485-4e92-a1dc-5f18fa9f132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44C0-42E6-4784-B72B-DC0E0217F6BA}">
  <dimension ref="A1:Q164"/>
  <sheetViews>
    <sheetView tabSelected="1" workbookViewId="0">
      <pane ySplit="1" topLeftCell="A2" activePane="bottomLeft" state="frozen"/>
      <selection pane="bottomLeft" activeCell="J2" sqref="J2:J164"/>
    </sheetView>
  </sheetViews>
  <sheetFormatPr defaultRowHeight="15" x14ac:dyDescent="0.25"/>
  <cols>
    <col min="1" max="1" width="44.7109375" customWidth="1"/>
    <col min="3" max="3" width="16" customWidth="1"/>
    <col min="5" max="5" width="13" customWidth="1"/>
    <col min="8" max="8" width="14.140625" customWidth="1"/>
    <col min="9" max="9" width="11" customWidth="1"/>
    <col min="12" max="12" width="12.7109375" customWidth="1"/>
    <col min="13" max="13" width="11.85546875" customWidth="1"/>
    <col min="14" max="14" width="12.7109375" customWidth="1"/>
    <col min="15" max="15" width="18.42578125" customWidth="1"/>
    <col min="17" max="17" width="16.140625" customWidth="1"/>
  </cols>
  <sheetData>
    <row r="1" spans="1:17" ht="63" x14ac:dyDescent="0.25">
      <c r="A1" s="15" t="s">
        <v>190</v>
      </c>
      <c r="B1" s="14" t="s">
        <v>565</v>
      </c>
      <c r="C1" s="14" t="s">
        <v>566</v>
      </c>
      <c r="D1" s="14" t="s">
        <v>191</v>
      </c>
      <c r="E1" s="14" t="s">
        <v>192</v>
      </c>
      <c r="F1" s="14" t="s">
        <v>193</v>
      </c>
      <c r="G1" s="14" t="s">
        <v>194</v>
      </c>
      <c r="H1" s="15" t="s">
        <v>198</v>
      </c>
      <c r="I1" s="16" t="s">
        <v>0</v>
      </c>
      <c r="J1" s="15" t="s">
        <v>1</v>
      </c>
      <c r="K1" s="16" t="s">
        <v>2</v>
      </c>
      <c r="L1" s="17" t="s">
        <v>3</v>
      </c>
      <c r="M1" s="13" t="s">
        <v>4</v>
      </c>
      <c r="N1" s="2" t="s">
        <v>5</v>
      </c>
      <c r="O1" s="2" t="s">
        <v>562</v>
      </c>
      <c r="P1" s="2" t="s">
        <v>555</v>
      </c>
      <c r="Q1" s="2" t="s">
        <v>563</v>
      </c>
    </row>
    <row r="2" spans="1:17" x14ac:dyDescent="0.25">
      <c r="A2" s="5" t="s">
        <v>6</v>
      </c>
      <c r="B2" s="5" t="s">
        <v>7</v>
      </c>
      <c r="C2" s="5" t="s">
        <v>8</v>
      </c>
      <c r="D2" s="5" t="s">
        <v>195</v>
      </c>
      <c r="E2" s="5" t="s">
        <v>196</v>
      </c>
      <c r="F2" s="5" t="s">
        <v>197</v>
      </c>
      <c r="G2" s="5" t="s">
        <v>197</v>
      </c>
      <c r="H2" s="6">
        <v>1035</v>
      </c>
      <c r="I2" s="7">
        <f>H2</f>
        <v>1035</v>
      </c>
      <c r="J2" s="8">
        <v>950</v>
      </c>
      <c r="K2" s="1"/>
      <c r="L2" s="12">
        <f t="shared" ref="L2:L65" si="0">H2-(K2-I2)</f>
        <v>2070</v>
      </c>
      <c r="M2" s="3">
        <f t="shared" ref="M2:M65" si="1">IF(L2&lt;0,(K2-H2),((L2+K2)-H2))</f>
        <v>1035</v>
      </c>
      <c r="N2" s="4" t="s">
        <v>9</v>
      </c>
      <c r="O2" s="9">
        <f>L2/D2</f>
        <v>2.0699999999999998</v>
      </c>
      <c r="P2" s="10" t="s">
        <v>196</v>
      </c>
      <c r="Q2" s="9">
        <f>O2*F2</f>
        <v>84.86999999999999</v>
      </c>
    </row>
    <row r="3" spans="1:17" x14ac:dyDescent="0.25">
      <c r="A3" s="5" t="s">
        <v>10</v>
      </c>
      <c r="B3" s="5" t="s">
        <v>7</v>
      </c>
      <c r="C3" s="5" t="s">
        <v>8</v>
      </c>
      <c r="D3" s="5" t="s">
        <v>195</v>
      </c>
      <c r="E3" s="5" t="s">
        <v>196</v>
      </c>
      <c r="F3" s="5" t="s">
        <v>199</v>
      </c>
      <c r="G3" s="5" t="s">
        <v>199</v>
      </c>
      <c r="H3" s="6">
        <v>3393.3201787333337</v>
      </c>
      <c r="I3" s="7">
        <f t="shared" ref="I3:I66" si="2">H3</f>
        <v>3393.3201787333337</v>
      </c>
      <c r="J3" s="18">
        <v>3451.8494020666667</v>
      </c>
      <c r="K3" s="11"/>
      <c r="L3" s="12">
        <f t="shared" si="0"/>
        <v>6786.6403574666674</v>
      </c>
      <c r="M3" s="3">
        <f t="shared" si="1"/>
        <v>3393.3201787333337</v>
      </c>
      <c r="N3" s="4" t="s">
        <v>9</v>
      </c>
      <c r="O3" s="9">
        <f>L3/D3</f>
        <v>6.7866403574666672</v>
      </c>
      <c r="P3" s="10" t="s">
        <v>196</v>
      </c>
      <c r="Q3" s="9">
        <f t="shared" ref="Q3:Q66" si="3">O3*F3</f>
        <v>264.67897394120001</v>
      </c>
    </row>
    <row r="4" spans="1:17" x14ac:dyDescent="0.25">
      <c r="A4" s="5" t="s">
        <v>11</v>
      </c>
      <c r="B4" s="5" t="s">
        <v>12</v>
      </c>
      <c r="C4" s="5" t="s">
        <v>13</v>
      </c>
      <c r="D4" s="5" t="s">
        <v>200</v>
      </c>
      <c r="E4" s="5" t="s">
        <v>201</v>
      </c>
      <c r="F4" s="5" t="s">
        <v>202</v>
      </c>
      <c r="G4" s="5" t="s">
        <v>203</v>
      </c>
      <c r="H4" s="6">
        <v>202.18818380743983</v>
      </c>
      <c r="I4" s="7">
        <f t="shared" si="2"/>
        <v>202.18818380743983</v>
      </c>
      <c r="J4" s="18">
        <v>202.18818380743983</v>
      </c>
      <c r="K4" s="11"/>
      <c r="L4" s="12">
        <f t="shared" si="0"/>
        <v>404.37636761487965</v>
      </c>
      <c r="M4" s="3">
        <f t="shared" si="1"/>
        <v>202.18818380743983</v>
      </c>
      <c r="N4" s="4" t="s">
        <v>18</v>
      </c>
      <c r="O4" s="9">
        <f t="shared" ref="O4:O66" si="4">L4/D4</f>
        <v>2.4286868925818599E-2</v>
      </c>
      <c r="P4" s="10" t="s">
        <v>223</v>
      </c>
      <c r="Q4" s="9">
        <f t="shared" si="3"/>
        <v>0.87432728132946957</v>
      </c>
    </row>
    <row r="5" spans="1:17" x14ac:dyDescent="0.25">
      <c r="A5" s="5" t="s">
        <v>14</v>
      </c>
      <c r="B5" s="5" t="s">
        <v>7</v>
      </c>
      <c r="C5" s="5" t="s">
        <v>15</v>
      </c>
      <c r="D5" s="5" t="s">
        <v>204</v>
      </c>
      <c r="E5" s="5" t="s">
        <v>205</v>
      </c>
      <c r="F5" s="5" t="s">
        <v>206</v>
      </c>
      <c r="G5" s="5" t="s">
        <v>207</v>
      </c>
      <c r="H5" s="6">
        <v>538.92857142857133</v>
      </c>
      <c r="I5" s="7">
        <f t="shared" si="2"/>
        <v>538.92857142857133</v>
      </c>
      <c r="J5" s="18">
        <v>508.50793650793651</v>
      </c>
      <c r="K5" s="11"/>
      <c r="L5" s="12">
        <f t="shared" si="0"/>
        <v>1077.8571428571427</v>
      </c>
      <c r="M5" s="3">
        <f t="shared" si="1"/>
        <v>538.92857142857133</v>
      </c>
      <c r="N5" s="4" t="s">
        <v>16</v>
      </c>
      <c r="O5" s="9">
        <f t="shared" si="4"/>
        <v>0.10778571428571426</v>
      </c>
      <c r="P5" s="10" t="s">
        <v>421</v>
      </c>
      <c r="Q5" s="9">
        <f t="shared" si="3"/>
        <v>8.5150714285714262</v>
      </c>
    </row>
    <row r="6" spans="1:17" x14ac:dyDescent="0.25">
      <c r="A6" s="5" t="s">
        <v>17</v>
      </c>
      <c r="B6" s="5" t="s">
        <v>12</v>
      </c>
      <c r="C6" s="5" t="s">
        <v>13</v>
      </c>
      <c r="D6" s="5" t="s">
        <v>208</v>
      </c>
      <c r="E6" s="5" t="s">
        <v>209</v>
      </c>
      <c r="F6" s="5" t="s">
        <v>210</v>
      </c>
      <c r="G6" s="5" t="s">
        <v>211</v>
      </c>
      <c r="H6" s="6">
        <v>3020.2150000000001</v>
      </c>
      <c r="I6" s="7">
        <f t="shared" si="2"/>
        <v>3020.2150000000001</v>
      </c>
      <c r="J6" s="18">
        <v>2649.6066666666666</v>
      </c>
      <c r="K6" s="11"/>
      <c r="L6" s="12">
        <f t="shared" si="0"/>
        <v>6040.43</v>
      </c>
      <c r="M6" s="3">
        <f t="shared" si="1"/>
        <v>3020.2150000000001</v>
      </c>
      <c r="N6" s="4" t="s">
        <v>18</v>
      </c>
      <c r="O6" s="9">
        <f t="shared" si="4"/>
        <v>1.0067383333333333</v>
      </c>
      <c r="P6" s="10" t="s">
        <v>421</v>
      </c>
      <c r="Q6" s="9">
        <f t="shared" si="3"/>
        <v>171.58848153333332</v>
      </c>
    </row>
    <row r="7" spans="1:17" x14ac:dyDescent="0.25">
      <c r="A7" s="5" t="s">
        <v>19</v>
      </c>
      <c r="B7" s="5" t="s">
        <v>7</v>
      </c>
      <c r="C7" s="5" t="s">
        <v>20</v>
      </c>
      <c r="D7" s="5" t="s">
        <v>212</v>
      </c>
      <c r="E7" s="5" t="s">
        <v>213</v>
      </c>
      <c r="F7" s="5" t="s">
        <v>214</v>
      </c>
      <c r="G7" s="5" t="s">
        <v>214</v>
      </c>
      <c r="H7" s="6">
        <v>22.720443298969073</v>
      </c>
      <c r="I7" s="7">
        <f t="shared" si="2"/>
        <v>22.720443298969073</v>
      </c>
      <c r="J7" s="18">
        <v>21.877865567010307</v>
      </c>
      <c r="K7" s="11"/>
      <c r="L7" s="12">
        <f t="shared" si="0"/>
        <v>45.440886597938146</v>
      </c>
      <c r="M7" s="3">
        <f t="shared" si="1"/>
        <v>22.720443298969073</v>
      </c>
      <c r="N7" s="4" t="s">
        <v>9</v>
      </c>
      <c r="O7" s="9">
        <f t="shared" si="4"/>
        <v>0.45440886597938146</v>
      </c>
      <c r="P7" s="10" t="s">
        <v>421</v>
      </c>
      <c r="Q7" s="9">
        <f t="shared" si="3"/>
        <v>1.3814029525773197</v>
      </c>
    </row>
    <row r="8" spans="1:17" x14ac:dyDescent="0.25">
      <c r="A8" s="5" t="s">
        <v>21</v>
      </c>
      <c r="B8" s="5" t="s">
        <v>12</v>
      </c>
      <c r="C8" s="5" t="s">
        <v>13</v>
      </c>
      <c r="D8" s="5" t="s">
        <v>215</v>
      </c>
      <c r="E8" s="5" t="s">
        <v>216</v>
      </c>
      <c r="F8" s="5" t="s">
        <v>217</v>
      </c>
      <c r="G8" s="5" t="s">
        <v>218</v>
      </c>
      <c r="H8" s="6">
        <v>11103.511313480367</v>
      </c>
      <c r="I8" s="7">
        <f t="shared" si="2"/>
        <v>11103.511313480367</v>
      </c>
      <c r="J8" s="18">
        <v>10739.267568361322</v>
      </c>
      <c r="K8" s="11"/>
      <c r="L8" s="12">
        <f t="shared" si="0"/>
        <v>22207.022626960734</v>
      </c>
      <c r="M8" s="3">
        <f t="shared" si="1"/>
        <v>11103.511313480367</v>
      </c>
      <c r="N8" s="4" t="s">
        <v>22</v>
      </c>
      <c r="O8" s="9">
        <f t="shared" si="4"/>
        <v>1.4648431811979377</v>
      </c>
      <c r="P8" s="10" t="s">
        <v>421</v>
      </c>
      <c r="Q8" s="9">
        <f t="shared" si="3"/>
        <v>388.1834430174535</v>
      </c>
    </row>
    <row r="9" spans="1:17" x14ac:dyDescent="0.25">
      <c r="A9" s="5" t="s">
        <v>23</v>
      </c>
      <c r="B9" s="5" t="s">
        <v>7</v>
      </c>
      <c r="C9" s="5" t="s">
        <v>24</v>
      </c>
      <c r="D9" s="5" t="s">
        <v>219</v>
      </c>
      <c r="E9" s="5" t="s">
        <v>220</v>
      </c>
      <c r="F9" s="5" t="s">
        <v>221</v>
      </c>
      <c r="G9" s="5" t="s">
        <v>222</v>
      </c>
      <c r="H9" s="6">
        <v>1318.03899204244</v>
      </c>
      <c r="I9" s="7">
        <f t="shared" si="2"/>
        <v>1318.03899204244</v>
      </c>
      <c r="J9" s="18">
        <v>1213.8891246684348</v>
      </c>
      <c r="K9" s="11"/>
      <c r="L9" s="12">
        <f t="shared" si="0"/>
        <v>2636.07798408488</v>
      </c>
      <c r="M9" s="3">
        <f t="shared" si="1"/>
        <v>1318.03899204244</v>
      </c>
      <c r="N9" s="4" t="s">
        <v>9</v>
      </c>
      <c r="O9" s="9">
        <f t="shared" si="4"/>
        <v>1.0983658267020333</v>
      </c>
      <c r="P9" s="10" t="s">
        <v>421</v>
      </c>
      <c r="Q9" s="9">
        <f t="shared" si="3"/>
        <v>114.23004597701146</v>
      </c>
    </row>
    <row r="10" spans="1:17" x14ac:dyDescent="0.25">
      <c r="A10" s="5" t="s">
        <v>25</v>
      </c>
      <c r="B10" s="5" t="s">
        <v>12</v>
      </c>
      <c r="C10" s="5" t="s">
        <v>26</v>
      </c>
      <c r="D10" s="5" t="s">
        <v>195</v>
      </c>
      <c r="E10" s="5" t="s">
        <v>223</v>
      </c>
      <c r="F10" s="5" t="s">
        <v>224</v>
      </c>
      <c r="G10" s="5" t="s">
        <v>224</v>
      </c>
      <c r="H10" s="6">
        <v>18613.64298107908</v>
      </c>
      <c r="I10" s="7">
        <f t="shared" si="2"/>
        <v>18613.64298107908</v>
      </c>
      <c r="J10" s="18">
        <v>15854.595967941841</v>
      </c>
      <c r="K10" s="11"/>
      <c r="L10" s="12">
        <f t="shared" si="0"/>
        <v>37227.285962158159</v>
      </c>
      <c r="M10" s="3">
        <f t="shared" si="1"/>
        <v>18613.64298107908</v>
      </c>
      <c r="N10" s="4" t="s">
        <v>554</v>
      </c>
      <c r="O10" s="9">
        <f t="shared" si="4"/>
        <v>37.227285962158156</v>
      </c>
      <c r="P10" s="10" t="s">
        <v>223</v>
      </c>
      <c r="Q10" s="9">
        <f t="shared" si="3"/>
        <v>0</v>
      </c>
    </row>
    <row r="11" spans="1:17" x14ac:dyDescent="0.25">
      <c r="A11" s="5" t="s">
        <v>27</v>
      </c>
      <c r="B11" s="5" t="s">
        <v>7</v>
      </c>
      <c r="C11" s="5" t="s">
        <v>28</v>
      </c>
      <c r="D11" s="5" t="s">
        <v>225</v>
      </c>
      <c r="E11" s="5" t="s">
        <v>226</v>
      </c>
      <c r="F11" s="5" t="s">
        <v>227</v>
      </c>
      <c r="G11" s="5" t="s">
        <v>228</v>
      </c>
      <c r="H11" s="6">
        <v>2971.354166666667</v>
      </c>
      <c r="I11" s="7">
        <f t="shared" si="2"/>
        <v>2971.354166666667</v>
      </c>
      <c r="J11" s="18">
        <v>7010.4166666666661</v>
      </c>
      <c r="K11" s="11"/>
      <c r="L11" s="12">
        <f t="shared" si="0"/>
        <v>5942.7083333333339</v>
      </c>
      <c r="M11" s="3">
        <f t="shared" si="1"/>
        <v>2971.354166666667</v>
      </c>
      <c r="N11" s="4" t="s">
        <v>16</v>
      </c>
      <c r="O11" s="9">
        <f t="shared" si="4"/>
        <v>1.1885416666666668</v>
      </c>
      <c r="P11" s="10" t="s">
        <v>556</v>
      </c>
      <c r="Q11" s="9">
        <f t="shared" si="3"/>
        <v>415.98958333333337</v>
      </c>
    </row>
    <row r="12" spans="1:17" x14ac:dyDescent="0.25">
      <c r="A12" s="5" t="s">
        <v>29</v>
      </c>
      <c r="B12" s="5" t="s">
        <v>7</v>
      </c>
      <c r="C12" s="5" t="s">
        <v>24</v>
      </c>
      <c r="D12" s="5" t="s">
        <v>195</v>
      </c>
      <c r="E12" s="5" t="s">
        <v>196</v>
      </c>
      <c r="F12" s="5" t="s">
        <v>229</v>
      </c>
      <c r="G12" s="5" t="s">
        <v>229</v>
      </c>
      <c r="H12" s="6">
        <v>124.03846153846166</v>
      </c>
      <c r="I12" s="7">
        <f t="shared" si="2"/>
        <v>124.03846153846166</v>
      </c>
      <c r="J12" s="18">
        <v>3930.7255244755243</v>
      </c>
      <c r="K12" s="11"/>
      <c r="L12" s="12">
        <f t="shared" si="0"/>
        <v>248.07692307692332</v>
      </c>
      <c r="M12" s="3">
        <f t="shared" si="1"/>
        <v>124.03846153846166</v>
      </c>
      <c r="N12" s="4" t="s">
        <v>9</v>
      </c>
      <c r="O12" s="9">
        <f t="shared" si="4"/>
        <v>0.24807692307692333</v>
      </c>
      <c r="P12" s="10" t="s">
        <v>196</v>
      </c>
      <c r="Q12" s="9">
        <f t="shared" si="3"/>
        <v>10.667307692307704</v>
      </c>
    </row>
    <row r="13" spans="1:17" x14ac:dyDescent="0.25">
      <c r="A13" s="5" t="s">
        <v>30</v>
      </c>
      <c r="B13" s="5" t="s">
        <v>7</v>
      </c>
      <c r="C13" s="5" t="s">
        <v>24</v>
      </c>
      <c r="D13" s="5" t="s">
        <v>195</v>
      </c>
      <c r="E13" s="5" t="s">
        <v>196</v>
      </c>
      <c r="F13" s="5" t="s">
        <v>230</v>
      </c>
      <c r="G13" s="5" t="s">
        <v>230</v>
      </c>
      <c r="H13" s="6">
        <v>5370.9097418980436</v>
      </c>
      <c r="I13" s="7">
        <f t="shared" si="2"/>
        <v>5370.9097418980436</v>
      </c>
      <c r="J13" s="18">
        <v>4874.3971480526407</v>
      </c>
      <c r="K13" s="11"/>
      <c r="L13" s="12">
        <f t="shared" si="0"/>
        <v>10741.819483796087</v>
      </c>
      <c r="M13" s="3">
        <f t="shared" si="1"/>
        <v>5370.9097418980436</v>
      </c>
      <c r="N13" s="4" t="s">
        <v>9</v>
      </c>
      <c r="O13" s="9">
        <f t="shared" si="4"/>
        <v>10.741819483796087</v>
      </c>
      <c r="P13" s="10" t="s">
        <v>196</v>
      </c>
      <c r="Q13" s="9">
        <f t="shared" si="3"/>
        <v>332.99640399767873</v>
      </c>
    </row>
    <row r="14" spans="1:17" x14ac:dyDescent="0.25">
      <c r="A14" s="5" t="s">
        <v>31</v>
      </c>
      <c r="B14" s="5" t="s">
        <v>7</v>
      </c>
      <c r="C14" s="5" t="s">
        <v>24</v>
      </c>
      <c r="D14" s="5" t="s">
        <v>195</v>
      </c>
      <c r="E14" s="5" t="s">
        <v>196</v>
      </c>
      <c r="F14" s="5" t="s">
        <v>231</v>
      </c>
      <c r="G14" s="5" t="s">
        <v>231</v>
      </c>
      <c r="H14" s="6">
        <v>245.5900966999659</v>
      </c>
      <c r="I14" s="7">
        <f t="shared" si="2"/>
        <v>245.5900966999659</v>
      </c>
      <c r="J14" s="18">
        <v>2774.6365973382308</v>
      </c>
      <c r="K14" s="11"/>
      <c r="L14" s="12">
        <f t="shared" si="0"/>
        <v>491.1801933999318</v>
      </c>
      <c r="M14" s="3">
        <f t="shared" si="1"/>
        <v>245.5900966999659</v>
      </c>
      <c r="N14" s="4" t="s">
        <v>9</v>
      </c>
      <c r="O14" s="9">
        <f t="shared" si="4"/>
        <v>0.4911801933999318</v>
      </c>
      <c r="P14" s="10" t="s">
        <v>196</v>
      </c>
      <c r="Q14" s="9">
        <f t="shared" si="3"/>
        <v>18.664847349197409</v>
      </c>
    </row>
    <row r="15" spans="1:17" x14ac:dyDescent="0.25">
      <c r="A15" s="5" t="s">
        <v>32</v>
      </c>
      <c r="B15" s="5" t="s">
        <v>7</v>
      </c>
      <c r="C15" s="5" t="s">
        <v>28</v>
      </c>
      <c r="D15" s="5" t="s">
        <v>208</v>
      </c>
      <c r="E15" s="5" t="s">
        <v>232</v>
      </c>
      <c r="F15" s="5" t="s">
        <v>233</v>
      </c>
      <c r="G15" s="5" t="s">
        <v>234</v>
      </c>
      <c r="H15" s="6">
        <v>4878.333333333333</v>
      </c>
      <c r="I15" s="7">
        <f t="shared" si="2"/>
        <v>4878.333333333333</v>
      </c>
      <c r="J15" s="18">
        <v>5596.666666666667</v>
      </c>
      <c r="K15" s="11"/>
      <c r="L15" s="12">
        <f t="shared" si="0"/>
        <v>9756.6666666666661</v>
      </c>
      <c r="M15" s="3">
        <f t="shared" si="1"/>
        <v>4878.333333333333</v>
      </c>
      <c r="N15" s="4" t="s">
        <v>16</v>
      </c>
      <c r="O15" s="9">
        <f t="shared" si="4"/>
        <v>1.6261111111111111</v>
      </c>
      <c r="P15" s="10" t="s">
        <v>557</v>
      </c>
      <c r="Q15" s="9">
        <f t="shared" si="3"/>
        <v>349.61388888888888</v>
      </c>
    </row>
    <row r="16" spans="1:17" x14ac:dyDescent="0.25">
      <c r="A16" s="5" t="s">
        <v>33</v>
      </c>
      <c r="B16" s="5" t="s">
        <v>7</v>
      </c>
      <c r="C16" s="5" t="s">
        <v>34</v>
      </c>
      <c r="D16" s="5" t="s">
        <v>235</v>
      </c>
      <c r="E16" s="5" t="s">
        <v>236</v>
      </c>
      <c r="F16" s="5" t="s">
        <v>237</v>
      </c>
      <c r="G16" s="5" t="s">
        <v>238</v>
      </c>
      <c r="H16" s="6">
        <v>15991.744313043819</v>
      </c>
      <c r="I16" s="7">
        <f t="shared" si="2"/>
        <v>15991.744313043819</v>
      </c>
      <c r="J16" s="18">
        <v>15489.290957032586</v>
      </c>
      <c r="K16" s="11"/>
      <c r="L16" s="12">
        <f t="shared" si="0"/>
        <v>31983.488626087637</v>
      </c>
      <c r="M16" s="3">
        <f t="shared" si="1"/>
        <v>15991.744313043819</v>
      </c>
      <c r="N16" s="4" t="s">
        <v>9</v>
      </c>
      <c r="O16" s="9">
        <f t="shared" si="4"/>
        <v>2.6652907188406365</v>
      </c>
      <c r="P16" s="10" t="s">
        <v>421</v>
      </c>
      <c r="Q16" s="9">
        <f t="shared" si="3"/>
        <v>271.85965332174493</v>
      </c>
    </row>
    <row r="17" spans="1:17" x14ac:dyDescent="0.25">
      <c r="A17" s="5" t="s">
        <v>35</v>
      </c>
      <c r="B17" s="5" t="s">
        <v>7</v>
      </c>
      <c r="C17" s="5" t="s">
        <v>34</v>
      </c>
      <c r="D17" s="5" t="s">
        <v>239</v>
      </c>
      <c r="E17" s="5" t="s">
        <v>240</v>
      </c>
      <c r="F17" s="5" t="s">
        <v>241</v>
      </c>
      <c r="G17" s="5" t="s">
        <v>242</v>
      </c>
      <c r="H17" s="6">
        <v>100.125</v>
      </c>
      <c r="I17" s="7">
        <f t="shared" si="2"/>
        <v>100.125</v>
      </c>
      <c r="J17" s="18">
        <v>2402.5</v>
      </c>
      <c r="K17" s="11"/>
      <c r="L17" s="12">
        <f t="shared" si="0"/>
        <v>200.25</v>
      </c>
      <c r="M17" s="3">
        <f t="shared" si="1"/>
        <v>100.125</v>
      </c>
      <c r="N17" s="4" t="s">
        <v>16</v>
      </c>
      <c r="O17" s="9">
        <f t="shared" si="4"/>
        <v>0.40050000000000002</v>
      </c>
      <c r="P17" s="10" t="s">
        <v>558</v>
      </c>
      <c r="Q17" s="9">
        <f t="shared" si="3"/>
        <v>18.022500000000001</v>
      </c>
    </row>
    <row r="18" spans="1:17" x14ac:dyDescent="0.25">
      <c r="A18" s="5" t="s">
        <v>36</v>
      </c>
      <c r="B18" s="5" t="s">
        <v>7</v>
      </c>
      <c r="C18" s="5" t="s">
        <v>15</v>
      </c>
      <c r="D18" s="5" t="s">
        <v>212</v>
      </c>
      <c r="E18" s="5" t="s">
        <v>243</v>
      </c>
      <c r="F18" s="5" t="s">
        <v>244</v>
      </c>
      <c r="G18" s="5" t="s">
        <v>245</v>
      </c>
      <c r="H18" s="6">
        <v>8.4583994845360841</v>
      </c>
      <c r="I18" s="7">
        <f t="shared" si="2"/>
        <v>8.4583994845360841</v>
      </c>
      <c r="J18" s="18">
        <v>1690.8559461855671</v>
      </c>
      <c r="K18" s="11"/>
      <c r="L18" s="12">
        <f t="shared" si="0"/>
        <v>16.916798969072168</v>
      </c>
      <c r="M18" s="3">
        <f t="shared" si="1"/>
        <v>8.4583994845360841</v>
      </c>
      <c r="N18" s="4" t="s">
        <v>9</v>
      </c>
      <c r="O18" s="9">
        <f t="shared" si="4"/>
        <v>0.16916798969072169</v>
      </c>
      <c r="P18" s="10" t="s">
        <v>558</v>
      </c>
      <c r="Q18" s="9">
        <f t="shared" si="3"/>
        <v>0.67667195876288677</v>
      </c>
    </row>
    <row r="19" spans="1:17" x14ac:dyDescent="0.25">
      <c r="A19" s="5" t="s">
        <v>37</v>
      </c>
      <c r="B19" s="5" t="s">
        <v>7</v>
      </c>
      <c r="C19" s="5" t="s">
        <v>28</v>
      </c>
      <c r="D19" s="5" t="s">
        <v>246</v>
      </c>
      <c r="E19" s="5" t="s">
        <v>247</v>
      </c>
      <c r="F19" s="5" t="s">
        <v>248</v>
      </c>
      <c r="G19" s="5" t="s">
        <v>249</v>
      </c>
      <c r="H19" s="6">
        <v>6005.9456942943243</v>
      </c>
      <c r="I19" s="7">
        <f t="shared" si="2"/>
        <v>6005.9456942943243</v>
      </c>
      <c r="J19" s="18">
        <v>5644.3721969441958</v>
      </c>
      <c r="K19" s="11"/>
      <c r="L19" s="12">
        <f t="shared" si="0"/>
        <v>12011.891388588649</v>
      </c>
      <c r="M19" s="3">
        <f t="shared" si="1"/>
        <v>6005.9456942943243</v>
      </c>
      <c r="N19" s="4" t="s">
        <v>22</v>
      </c>
      <c r="O19" s="9">
        <f t="shared" si="4"/>
        <v>0.60059456942943246</v>
      </c>
      <c r="P19" s="10" t="s">
        <v>196</v>
      </c>
      <c r="Q19" s="9">
        <f t="shared" si="3"/>
        <v>78.07729402582622</v>
      </c>
    </row>
    <row r="20" spans="1:17" x14ac:dyDescent="0.25">
      <c r="A20" s="5" t="s">
        <v>38</v>
      </c>
      <c r="B20" s="5" t="s">
        <v>7</v>
      </c>
      <c r="C20" s="5" t="s">
        <v>39</v>
      </c>
      <c r="D20" s="5" t="s">
        <v>250</v>
      </c>
      <c r="E20" s="5" t="s">
        <v>251</v>
      </c>
      <c r="F20" s="5" t="s">
        <v>252</v>
      </c>
      <c r="G20" s="5" t="s">
        <v>253</v>
      </c>
      <c r="H20" s="6">
        <v>35226.557075050012</v>
      </c>
      <c r="I20" s="7">
        <f t="shared" si="2"/>
        <v>35226.557075050012</v>
      </c>
      <c r="J20" s="18">
        <v>32500.68309538253</v>
      </c>
      <c r="K20" s="11"/>
      <c r="L20" s="12">
        <f t="shared" si="0"/>
        <v>70453.114150100024</v>
      </c>
      <c r="M20" s="3">
        <f t="shared" si="1"/>
        <v>35226.557075050012</v>
      </c>
      <c r="N20" s="4" t="s">
        <v>16</v>
      </c>
      <c r="O20" s="9">
        <f t="shared" si="4"/>
        <v>2.8181245660040011</v>
      </c>
      <c r="P20" s="10" t="s">
        <v>196</v>
      </c>
      <c r="Q20" s="9">
        <f t="shared" si="3"/>
        <v>2113.5934245030007</v>
      </c>
    </row>
    <row r="21" spans="1:17" x14ac:dyDescent="0.25">
      <c r="A21" s="5" t="s">
        <v>40</v>
      </c>
      <c r="B21" s="5" t="s">
        <v>7</v>
      </c>
      <c r="C21" s="5" t="s">
        <v>24</v>
      </c>
      <c r="D21" s="5" t="s">
        <v>195</v>
      </c>
      <c r="E21" s="5" t="s">
        <v>196</v>
      </c>
      <c r="F21" s="5" t="s">
        <v>254</v>
      </c>
      <c r="G21" s="5" t="s">
        <v>254</v>
      </c>
      <c r="H21" s="6">
        <v>124.49092947480266</v>
      </c>
      <c r="I21" s="7">
        <f t="shared" si="2"/>
        <v>124.49092947480266</v>
      </c>
      <c r="J21" s="18">
        <v>2380.9892389399392</v>
      </c>
      <c r="K21" s="11"/>
      <c r="L21" s="12">
        <f t="shared" si="0"/>
        <v>248.98185894960531</v>
      </c>
      <c r="M21" s="3">
        <f t="shared" si="1"/>
        <v>124.49092947480266</v>
      </c>
      <c r="N21" s="4" t="s">
        <v>9</v>
      </c>
      <c r="O21" s="9">
        <f t="shared" si="4"/>
        <v>0.24898185894960531</v>
      </c>
      <c r="P21" s="10" t="s">
        <v>196</v>
      </c>
      <c r="Q21" s="9">
        <f t="shared" si="3"/>
        <v>26.641058907607768</v>
      </c>
    </row>
    <row r="22" spans="1:17" x14ac:dyDescent="0.25">
      <c r="A22" s="5" t="s">
        <v>41</v>
      </c>
      <c r="B22" s="5" t="s">
        <v>7</v>
      </c>
      <c r="C22" s="5" t="s">
        <v>24</v>
      </c>
      <c r="D22" s="5" t="s">
        <v>195</v>
      </c>
      <c r="E22" s="5" t="s">
        <v>196</v>
      </c>
      <c r="F22" s="5" t="s">
        <v>255</v>
      </c>
      <c r="G22" s="5" t="s">
        <v>255</v>
      </c>
      <c r="H22" s="6">
        <v>1244.8797494891346</v>
      </c>
      <c r="I22" s="7">
        <f t="shared" si="2"/>
        <v>1244.8797494891346</v>
      </c>
      <c r="J22" s="18">
        <v>1151.3909185111763</v>
      </c>
      <c r="K22" s="11"/>
      <c r="L22" s="12">
        <f t="shared" si="0"/>
        <v>2489.7594989782692</v>
      </c>
      <c r="M22" s="3">
        <f t="shared" si="1"/>
        <v>1244.8797494891346</v>
      </c>
      <c r="N22" s="4" t="s">
        <v>9</v>
      </c>
      <c r="O22" s="9">
        <f t="shared" si="4"/>
        <v>2.4897594989782692</v>
      </c>
      <c r="P22" s="10" t="s">
        <v>196</v>
      </c>
      <c r="Q22" s="9">
        <f t="shared" si="3"/>
        <v>311.21993737228365</v>
      </c>
    </row>
    <row r="23" spans="1:17" x14ac:dyDescent="0.25">
      <c r="A23" s="5" t="s">
        <v>42</v>
      </c>
      <c r="B23" s="5" t="s">
        <v>7</v>
      </c>
      <c r="C23" s="5" t="s">
        <v>43</v>
      </c>
      <c r="D23" s="5" t="s">
        <v>204</v>
      </c>
      <c r="E23" s="5" t="s">
        <v>256</v>
      </c>
      <c r="F23" s="5" t="s">
        <v>257</v>
      </c>
      <c r="G23" s="5" t="s">
        <v>258</v>
      </c>
      <c r="H23" s="6">
        <v>983.33333333333337</v>
      </c>
      <c r="I23" s="7">
        <f t="shared" si="2"/>
        <v>983.33333333333337</v>
      </c>
      <c r="J23" s="18">
        <v>9000</v>
      </c>
      <c r="K23" s="11"/>
      <c r="L23" s="12">
        <f t="shared" si="0"/>
        <v>1966.6666666666667</v>
      </c>
      <c r="M23" s="3">
        <f t="shared" si="1"/>
        <v>983.33333333333337</v>
      </c>
      <c r="N23" s="4" t="s">
        <v>22</v>
      </c>
      <c r="O23" s="9">
        <f t="shared" si="4"/>
        <v>0.19666666666666668</v>
      </c>
      <c r="P23" s="10" t="s">
        <v>557</v>
      </c>
      <c r="Q23" s="9">
        <f t="shared" si="3"/>
        <v>8.2600000000000016</v>
      </c>
    </row>
    <row r="24" spans="1:17" x14ac:dyDescent="0.25">
      <c r="A24" s="5" t="s">
        <v>44</v>
      </c>
      <c r="B24" s="5" t="s">
        <v>7</v>
      </c>
      <c r="C24" s="5" t="s">
        <v>8</v>
      </c>
      <c r="D24" s="5" t="s">
        <v>195</v>
      </c>
      <c r="E24" s="5" t="s">
        <v>196</v>
      </c>
      <c r="F24" s="5" t="s">
        <v>245</v>
      </c>
      <c r="G24" s="5" t="s">
        <v>245</v>
      </c>
      <c r="H24" s="6">
        <v>3287.1909745517642</v>
      </c>
      <c r="I24" s="7">
        <f t="shared" si="2"/>
        <v>3287.1909745517642</v>
      </c>
      <c r="J24" s="18">
        <v>3447.8875387644939</v>
      </c>
      <c r="K24" s="11"/>
      <c r="L24" s="12">
        <f t="shared" si="0"/>
        <v>6574.3819491035283</v>
      </c>
      <c r="M24" s="3">
        <f t="shared" si="1"/>
        <v>3287.1909745517642</v>
      </c>
      <c r="N24" s="4" t="s">
        <v>9</v>
      </c>
      <c r="O24" s="9">
        <f t="shared" si="4"/>
        <v>6.574381949103528</v>
      </c>
      <c r="P24" s="10" t="s">
        <v>196</v>
      </c>
      <c r="Q24" s="9">
        <f t="shared" si="3"/>
        <v>262.97527796414113</v>
      </c>
    </row>
    <row r="25" spans="1:17" x14ac:dyDescent="0.25">
      <c r="A25" s="5" t="s">
        <v>45</v>
      </c>
      <c r="B25" s="5" t="s">
        <v>7</v>
      </c>
      <c r="C25" s="5" t="s">
        <v>39</v>
      </c>
      <c r="D25" s="5" t="s">
        <v>204</v>
      </c>
      <c r="E25" s="5" t="s">
        <v>259</v>
      </c>
      <c r="F25" s="5" t="s">
        <v>260</v>
      </c>
      <c r="G25" s="5" t="s">
        <v>261</v>
      </c>
      <c r="H25" s="6">
        <v>3806.8333333333335</v>
      </c>
      <c r="I25" s="7">
        <f t="shared" si="2"/>
        <v>3806.8333333333335</v>
      </c>
      <c r="J25" s="18">
        <v>3597.166666666667</v>
      </c>
      <c r="K25" s="11"/>
      <c r="L25" s="12">
        <f t="shared" si="0"/>
        <v>7613.666666666667</v>
      </c>
      <c r="M25" s="3">
        <f t="shared" si="1"/>
        <v>3806.8333333333335</v>
      </c>
      <c r="N25" s="4" t="s">
        <v>16</v>
      </c>
      <c r="O25" s="9">
        <f t="shared" si="4"/>
        <v>0.76136666666666675</v>
      </c>
      <c r="P25" s="10" t="s">
        <v>556</v>
      </c>
      <c r="Q25" s="9">
        <f t="shared" si="3"/>
        <v>108.11406666666667</v>
      </c>
    </row>
    <row r="26" spans="1:17" x14ac:dyDescent="0.25">
      <c r="A26" s="5" t="s">
        <v>46</v>
      </c>
      <c r="B26" s="5" t="s">
        <v>7</v>
      </c>
      <c r="C26" s="5" t="s">
        <v>15</v>
      </c>
      <c r="D26" s="5" t="s">
        <v>204</v>
      </c>
      <c r="E26" s="5" t="s">
        <v>262</v>
      </c>
      <c r="F26" s="5" t="s">
        <v>263</v>
      </c>
      <c r="G26" s="5" t="s">
        <v>264</v>
      </c>
      <c r="H26" s="6">
        <v>44.120879120879131</v>
      </c>
      <c r="I26" s="7">
        <f t="shared" si="2"/>
        <v>44.120879120879131</v>
      </c>
      <c r="J26" s="18">
        <v>84.845630559916316</v>
      </c>
      <c r="K26" s="11"/>
      <c r="L26" s="12">
        <f t="shared" si="0"/>
        <v>88.241758241758262</v>
      </c>
      <c r="M26" s="3">
        <f t="shared" si="1"/>
        <v>44.120879120879131</v>
      </c>
      <c r="N26" s="4" t="s">
        <v>564</v>
      </c>
      <c r="O26" s="9">
        <f t="shared" si="4"/>
        <v>8.8241758241758266E-3</v>
      </c>
      <c r="P26" s="10" t="s">
        <v>556</v>
      </c>
      <c r="Q26" s="9">
        <f t="shared" si="3"/>
        <v>0.52945054945054959</v>
      </c>
    </row>
    <row r="27" spans="1:17" x14ac:dyDescent="0.25">
      <c r="A27" s="5" t="s">
        <v>47</v>
      </c>
      <c r="B27" s="5" t="s">
        <v>7</v>
      </c>
      <c r="C27" s="5" t="s">
        <v>39</v>
      </c>
      <c r="D27" s="5" t="s">
        <v>265</v>
      </c>
      <c r="E27" s="5" t="s">
        <v>266</v>
      </c>
      <c r="F27" s="5" t="s">
        <v>267</v>
      </c>
      <c r="G27" s="5" t="s">
        <v>268</v>
      </c>
      <c r="H27" s="6">
        <v>16389.296703296706</v>
      </c>
      <c r="I27" s="7">
        <f t="shared" si="2"/>
        <v>16389.296703296706</v>
      </c>
      <c r="J27" s="18">
        <v>15157.07692307692</v>
      </c>
      <c r="K27" s="11"/>
      <c r="L27" s="12">
        <f t="shared" si="0"/>
        <v>32778.593406593413</v>
      </c>
      <c r="M27" s="3">
        <f t="shared" si="1"/>
        <v>16389.296703296706</v>
      </c>
      <c r="N27" s="4" t="s">
        <v>48</v>
      </c>
      <c r="O27" s="9">
        <f t="shared" si="4"/>
        <v>3.0350549450549456</v>
      </c>
      <c r="P27" s="10" t="s">
        <v>421</v>
      </c>
      <c r="Q27" s="9">
        <f t="shared" si="3"/>
        <v>491.67890109890118</v>
      </c>
    </row>
    <row r="28" spans="1:17" x14ac:dyDescent="0.25">
      <c r="A28" s="5" t="s">
        <v>50</v>
      </c>
      <c r="B28" s="5" t="s">
        <v>12</v>
      </c>
      <c r="C28" s="5" t="s">
        <v>26</v>
      </c>
      <c r="D28" s="5" t="s">
        <v>195</v>
      </c>
      <c r="E28" s="5" t="s">
        <v>223</v>
      </c>
      <c r="F28" s="5" t="s">
        <v>224</v>
      </c>
      <c r="G28" s="5" t="s">
        <v>224</v>
      </c>
      <c r="H28" s="6">
        <v>10834.24298969072</v>
      </c>
      <c r="I28" s="7">
        <f t="shared" si="2"/>
        <v>10834.24298969072</v>
      </c>
      <c r="J28" s="18">
        <v>8304.2941237113409</v>
      </c>
      <c r="K28" s="11"/>
      <c r="L28" s="12">
        <f t="shared" si="0"/>
        <v>21668.485979381439</v>
      </c>
      <c r="M28" s="3">
        <f t="shared" si="1"/>
        <v>10834.24298969072</v>
      </c>
      <c r="N28" s="4" t="s">
        <v>554</v>
      </c>
      <c r="O28" s="9">
        <f t="shared" si="4"/>
        <v>21.66848597938144</v>
      </c>
      <c r="P28" s="10" t="s">
        <v>223</v>
      </c>
      <c r="Q28" s="9">
        <f t="shared" si="3"/>
        <v>0</v>
      </c>
    </row>
    <row r="29" spans="1:17" x14ac:dyDescent="0.25">
      <c r="A29" s="5" t="s">
        <v>186</v>
      </c>
      <c r="B29" s="5" t="s">
        <v>7</v>
      </c>
      <c r="C29" s="5" t="s">
        <v>24</v>
      </c>
      <c r="D29" s="5" t="s">
        <v>195</v>
      </c>
      <c r="E29" s="5" t="s">
        <v>196</v>
      </c>
      <c r="F29" s="5" t="s">
        <v>257</v>
      </c>
      <c r="G29" s="5" t="s">
        <v>257</v>
      </c>
      <c r="H29" s="6">
        <v>520.3808215272071</v>
      </c>
      <c r="I29" s="7">
        <f t="shared" si="2"/>
        <v>520.3808215272071</v>
      </c>
      <c r="J29" s="18">
        <v>264.35999999999996</v>
      </c>
      <c r="K29" s="11"/>
      <c r="L29" s="12">
        <f t="shared" si="0"/>
        <v>1040.7616430544142</v>
      </c>
      <c r="M29" s="3">
        <f t="shared" si="1"/>
        <v>520.3808215272071</v>
      </c>
      <c r="N29" s="4" t="s">
        <v>9</v>
      </c>
      <c r="O29" s="9">
        <f t="shared" si="4"/>
        <v>1.0407616430544142</v>
      </c>
      <c r="P29" s="10" t="s">
        <v>196</v>
      </c>
      <c r="Q29" s="9">
        <f t="shared" si="3"/>
        <v>43.7119890082854</v>
      </c>
    </row>
    <row r="30" spans="1:17" x14ac:dyDescent="0.25">
      <c r="A30" s="5" t="s">
        <v>51</v>
      </c>
      <c r="B30" s="5" t="s">
        <v>7</v>
      </c>
      <c r="C30" s="5" t="s">
        <v>28</v>
      </c>
      <c r="D30" s="5" t="s">
        <v>270</v>
      </c>
      <c r="E30" s="5" t="s">
        <v>271</v>
      </c>
      <c r="F30" s="5" t="s">
        <v>272</v>
      </c>
      <c r="G30" s="5" t="s">
        <v>273</v>
      </c>
      <c r="H30" s="6">
        <v>2970</v>
      </c>
      <c r="I30" s="7">
        <f t="shared" si="2"/>
        <v>2970</v>
      </c>
      <c r="J30" s="18">
        <v>5940</v>
      </c>
      <c r="K30" s="11"/>
      <c r="L30" s="12">
        <f t="shared" si="0"/>
        <v>5940</v>
      </c>
      <c r="M30" s="3">
        <f t="shared" si="1"/>
        <v>2970</v>
      </c>
      <c r="N30" s="4" t="s">
        <v>16</v>
      </c>
      <c r="O30" s="9">
        <f t="shared" si="4"/>
        <v>1.98</v>
      </c>
      <c r="P30" s="10" t="s">
        <v>556</v>
      </c>
      <c r="Q30" s="9">
        <f t="shared" si="3"/>
        <v>55.44</v>
      </c>
    </row>
    <row r="31" spans="1:17" x14ac:dyDescent="0.25">
      <c r="A31" s="5" t="s">
        <v>52</v>
      </c>
      <c r="B31" s="5" t="s">
        <v>7</v>
      </c>
      <c r="C31" s="5" t="s">
        <v>24</v>
      </c>
      <c r="D31" s="5" t="s">
        <v>195</v>
      </c>
      <c r="E31" s="5" t="s">
        <v>196</v>
      </c>
      <c r="F31" s="5" t="s">
        <v>274</v>
      </c>
      <c r="G31" s="5" t="s">
        <v>274</v>
      </c>
      <c r="H31" s="6">
        <v>771.88892176248419</v>
      </c>
      <c r="I31" s="7">
        <f t="shared" si="2"/>
        <v>771.88892176248419</v>
      </c>
      <c r="J31" s="18">
        <v>675.27811844511859</v>
      </c>
      <c r="K31" s="11"/>
      <c r="L31" s="12">
        <f t="shared" si="0"/>
        <v>1543.7778435249684</v>
      </c>
      <c r="M31" s="3">
        <f t="shared" si="1"/>
        <v>771.88892176248419</v>
      </c>
      <c r="N31" s="4" t="s">
        <v>9</v>
      </c>
      <c r="O31" s="9">
        <f t="shared" si="4"/>
        <v>1.5437778435249683</v>
      </c>
      <c r="P31" s="10" t="s">
        <v>196</v>
      </c>
      <c r="Q31" s="9">
        <f t="shared" si="3"/>
        <v>21.612889809349557</v>
      </c>
    </row>
    <row r="32" spans="1:17" x14ac:dyDescent="0.25">
      <c r="A32" s="5" t="s">
        <v>53</v>
      </c>
      <c r="B32" s="5" t="s">
        <v>7</v>
      </c>
      <c r="C32" s="5" t="s">
        <v>24</v>
      </c>
      <c r="D32" s="5" t="s">
        <v>195</v>
      </c>
      <c r="E32" s="5" t="s">
        <v>196</v>
      </c>
      <c r="F32" s="5" t="s">
        <v>268</v>
      </c>
      <c r="G32" s="5" t="s">
        <v>268</v>
      </c>
      <c r="H32" s="6">
        <v>88.956905647147209</v>
      </c>
      <c r="I32" s="7">
        <f t="shared" si="2"/>
        <v>88.956905647147209</v>
      </c>
      <c r="J32" s="18">
        <v>112.42199714651417</v>
      </c>
      <c r="K32" s="11"/>
      <c r="L32" s="12">
        <f t="shared" si="0"/>
        <v>177.91381129429442</v>
      </c>
      <c r="M32" s="3">
        <f t="shared" si="1"/>
        <v>88.956905647147209</v>
      </c>
      <c r="N32" s="4" t="s">
        <v>9</v>
      </c>
      <c r="O32" s="9">
        <f t="shared" si="4"/>
        <v>0.17791381129429443</v>
      </c>
      <c r="P32" s="10" t="s">
        <v>196</v>
      </c>
      <c r="Q32" s="9">
        <f t="shared" si="3"/>
        <v>2.6687071694144162</v>
      </c>
    </row>
    <row r="33" spans="1:17" x14ac:dyDescent="0.25">
      <c r="A33" s="5" t="s">
        <v>54</v>
      </c>
      <c r="B33" s="5" t="s">
        <v>7</v>
      </c>
      <c r="C33" s="5" t="s">
        <v>24</v>
      </c>
      <c r="D33" s="5" t="s">
        <v>195</v>
      </c>
      <c r="E33" s="5" t="s">
        <v>196</v>
      </c>
      <c r="F33" s="5" t="s">
        <v>275</v>
      </c>
      <c r="G33" s="5" t="s">
        <v>275</v>
      </c>
      <c r="H33" s="6">
        <v>242.01891619832679</v>
      </c>
      <c r="I33" s="7">
        <f t="shared" si="2"/>
        <v>242.01891619832679</v>
      </c>
      <c r="J33" s="18">
        <v>774.59406828803947</v>
      </c>
      <c r="K33" s="11"/>
      <c r="L33" s="12">
        <f t="shared" si="0"/>
        <v>484.03783239665358</v>
      </c>
      <c r="M33" s="3">
        <f t="shared" si="1"/>
        <v>242.01891619832679</v>
      </c>
      <c r="N33" s="4" t="s">
        <v>9</v>
      </c>
      <c r="O33" s="9">
        <f t="shared" si="4"/>
        <v>0.4840378323966536</v>
      </c>
      <c r="P33" s="10" t="s">
        <v>196</v>
      </c>
      <c r="Q33" s="9">
        <f t="shared" si="3"/>
        <v>17.909399798676183</v>
      </c>
    </row>
    <row r="34" spans="1:17" x14ac:dyDescent="0.25">
      <c r="A34" s="5" t="s">
        <v>55</v>
      </c>
      <c r="B34" s="5" t="s">
        <v>7</v>
      </c>
      <c r="C34" s="5" t="s">
        <v>28</v>
      </c>
      <c r="D34" s="5" t="s">
        <v>276</v>
      </c>
      <c r="E34" s="5" t="s">
        <v>277</v>
      </c>
      <c r="F34" s="5" t="s">
        <v>278</v>
      </c>
      <c r="G34" s="5" t="s">
        <v>279</v>
      </c>
      <c r="H34" s="6">
        <v>291.42857142857144</v>
      </c>
      <c r="I34" s="7">
        <f t="shared" si="2"/>
        <v>291.42857142857144</v>
      </c>
      <c r="J34" s="18">
        <v>366.28571428571428</v>
      </c>
      <c r="K34" s="11"/>
      <c r="L34" s="12">
        <f t="shared" si="0"/>
        <v>582.85714285714289</v>
      </c>
      <c r="M34" s="3">
        <f t="shared" si="1"/>
        <v>291.42857142857144</v>
      </c>
      <c r="N34" s="4" t="s">
        <v>22</v>
      </c>
      <c r="O34" s="9">
        <f t="shared" si="4"/>
        <v>0.15542857142857144</v>
      </c>
      <c r="P34" s="10" t="s">
        <v>559</v>
      </c>
      <c r="Q34" s="9">
        <f t="shared" si="3"/>
        <v>19.894857142857145</v>
      </c>
    </row>
    <row r="35" spans="1:17" x14ac:dyDescent="0.25">
      <c r="A35" s="5" t="s">
        <v>56</v>
      </c>
      <c r="B35" s="5" t="s">
        <v>12</v>
      </c>
      <c r="C35" s="5" t="s">
        <v>39</v>
      </c>
      <c r="D35" s="5" t="s">
        <v>280</v>
      </c>
      <c r="E35" s="5" t="s">
        <v>281</v>
      </c>
      <c r="F35" s="5" t="s">
        <v>282</v>
      </c>
      <c r="G35" s="5" t="s">
        <v>283</v>
      </c>
      <c r="H35" s="6">
        <v>17381.281237084146</v>
      </c>
      <c r="I35" s="7">
        <f t="shared" si="2"/>
        <v>17381.281237084146</v>
      </c>
      <c r="J35" s="18">
        <v>15406.567372426223</v>
      </c>
      <c r="K35" s="11"/>
      <c r="L35" s="12">
        <f t="shared" si="0"/>
        <v>34762.562474168291</v>
      </c>
      <c r="M35" s="3">
        <f t="shared" si="1"/>
        <v>17381.281237084146</v>
      </c>
      <c r="N35" s="4" t="s">
        <v>9</v>
      </c>
      <c r="O35" s="9">
        <f t="shared" si="4"/>
        <v>3.6211002577258635</v>
      </c>
      <c r="P35" s="10" t="s">
        <v>421</v>
      </c>
      <c r="Q35" s="9">
        <f t="shared" si="3"/>
        <v>344.00452448395703</v>
      </c>
    </row>
    <row r="36" spans="1:17" x14ac:dyDescent="0.25">
      <c r="A36" s="5" t="s">
        <v>57</v>
      </c>
      <c r="B36" s="5" t="s">
        <v>7</v>
      </c>
      <c r="C36" s="5" t="s">
        <v>28</v>
      </c>
      <c r="D36" s="5" t="s">
        <v>284</v>
      </c>
      <c r="E36" s="5" t="s">
        <v>285</v>
      </c>
      <c r="F36" s="5" t="s">
        <v>286</v>
      </c>
      <c r="G36" s="5" t="s">
        <v>287</v>
      </c>
      <c r="H36" s="6">
        <v>22495.263888888891</v>
      </c>
      <c r="I36" s="7">
        <f t="shared" si="2"/>
        <v>22495.263888888891</v>
      </c>
      <c r="J36" s="18">
        <v>20814.171296296299</v>
      </c>
      <c r="K36" s="11"/>
      <c r="L36" s="12">
        <f t="shared" si="0"/>
        <v>44990.527777777781</v>
      </c>
      <c r="M36" s="3">
        <f t="shared" si="1"/>
        <v>22495.263888888891</v>
      </c>
      <c r="N36" s="4" t="s">
        <v>22</v>
      </c>
      <c r="O36" s="9">
        <f t="shared" si="4"/>
        <v>2.5332504379379381</v>
      </c>
      <c r="P36" s="10" t="s">
        <v>421</v>
      </c>
      <c r="Q36" s="9">
        <f t="shared" si="3"/>
        <v>531.98259196696699</v>
      </c>
    </row>
    <row r="37" spans="1:17" x14ac:dyDescent="0.25">
      <c r="A37" s="5" t="s">
        <v>58</v>
      </c>
      <c r="B37" s="5" t="s">
        <v>12</v>
      </c>
      <c r="C37" s="5" t="s">
        <v>39</v>
      </c>
      <c r="D37" s="5" t="s">
        <v>235</v>
      </c>
      <c r="E37" s="5" t="s">
        <v>288</v>
      </c>
      <c r="F37" s="5" t="s">
        <v>289</v>
      </c>
      <c r="G37" s="5" t="s">
        <v>290</v>
      </c>
      <c r="H37" s="6">
        <v>146312.00531709145</v>
      </c>
      <c r="I37" s="7">
        <f t="shared" si="2"/>
        <v>146312.00531709145</v>
      </c>
      <c r="J37" s="18">
        <v>134527.94466550663</v>
      </c>
      <c r="K37" s="11"/>
      <c r="L37" s="12">
        <f t="shared" si="0"/>
        <v>292624.01063418289</v>
      </c>
      <c r="M37" s="3">
        <f t="shared" si="1"/>
        <v>146312.00531709145</v>
      </c>
      <c r="N37" s="4" t="s">
        <v>59</v>
      </c>
      <c r="O37" s="9">
        <f t="shared" si="4"/>
        <v>24.38533421951524</v>
      </c>
      <c r="P37" s="10" t="s">
        <v>421</v>
      </c>
      <c r="Q37" s="9">
        <f t="shared" si="3"/>
        <v>3706.5708013663166</v>
      </c>
    </row>
    <row r="38" spans="1:17" x14ac:dyDescent="0.25">
      <c r="A38" s="5" t="s">
        <v>60</v>
      </c>
      <c r="B38" s="5" t="s">
        <v>7</v>
      </c>
      <c r="C38" s="5" t="s">
        <v>24</v>
      </c>
      <c r="D38" s="5" t="s">
        <v>195</v>
      </c>
      <c r="E38" s="5" t="s">
        <v>196</v>
      </c>
      <c r="F38" s="5" t="s">
        <v>291</v>
      </c>
      <c r="G38" s="5" t="s">
        <v>291</v>
      </c>
      <c r="H38" s="6">
        <v>5306.9795515871028</v>
      </c>
      <c r="I38" s="7">
        <f t="shared" si="2"/>
        <v>5306.9795515871028</v>
      </c>
      <c r="J38" s="18">
        <v>5062.823284563975</v>
      </c>
      <c r="K38" s="11"/>
      <c r="L38" s="12">
        <f t="shared" si="0"/>
        <v>10613.959103174206</v>
      </c>
      <c r="M38" s="3">
        <f t="shared" si="1"/>
        <v>5306.9795515871028</v>
      </c>
      <c r="N38" s="4" t="s">
        <v>9</v>
      </c>
      <c r="O38" s="9">
        <f t="shared" si="4"/>
        <v>10.613959103174206</v>
      </c>
      <c r="P38" s="10" t="s">
        <v>196</v>
      </c>
      <c r="Q38" s="9">
        <f t="shared" si="3"/>
        <v>84.911672825393651</v>
      </c>
    </row>
    <row r="39" spans="1:17" x14ac:dyDescent="0.25">
      <c r="A39" s="5" t="s">
        <v>61</v>
      </c>
      <c r="B39" s="5" t="s">
        <v>7</v>
      </c>
      <c r="C39" s="5" t="s">
        <v>26</v>
      </c>
      <c r="D39" s="5" t="s">
        <v>292</v>
      </c>
      <c r="E39" s="5" t="s">
        <v>293</v>
      </c>
      <c r="F39" s="5" t="s">
        <v>212</v>
      </c>
      <c r="G39" s="5" t="s">
        <v>294</v>
      </c>
      <c r="H39" s="6">
        <v>7757.0343406593411</v>
      </c>
      <c r="I39" s="7">
        <f t="shared" si="2"/>
        <v>7757.0343406593411</v>
      </c>
      <c r="J39" s="18">
        <v>9891.8315018315006</v>
      </c>
      <c r="K39" s="11"/>
      <c r="L39" s="12">
        <f t="shared" si="0"/>
        <v>15514.068681318682</v>
      </c>
      <c r="M39" s="3">
        <f t="shared" si="1"/>
        <v>7757.0343406593411</v>
      </c>
      <c r="N39" s="4" t="s">
        <v>22</v>
      </c>
      <c r="O39" s="9">
        <f t="shared" si="4"/>
        <v>0.91259227537168719</v>
      </c>
      <c r="P39" s="10" t="s">
        <v>561</v>
      </c>
      <c r="Q39" s="9">
        <f t="shared" si="3"/>
        <v>91.259227537168712</v>
      </c>
    </row>
    <row r="40" spans="1:17" x14ac:dyDescent="0.25">
      <c r="A40" s="5" t="s">
        <v>62</v>
      </c>
      <c r="B40" s="5" t="s">
        <v>7</v>
      </c>
      <c r="C40" s="5" t="s">
        <v>34</v>
      </c>
      <c r="D40" s="5" t="s">
        <v>250</v>
      </c>
      <c r="E40" s="5" t="s">
        <v>196</v>
      </c>
      <c r="F40" s="5" t="s">
        <v>295</v>
      </c>
      <c r="G40" s="5" t="s">
        <v>296</v>
      </c>
      <c r="H40" s="6">
        <v>8251.7769428306256</v>
      </c>
      <c r="I40" s="7">
        <f t="shared" si="2"/>
        <v>8251.7769428306256</v>
      </c>
      <c r="J40" s="18">
        <v>7835.0552486132337</v>
      </c>
      <c r="K40" s="11"/>
      <c r="L40" s="12">
        <f t="shared" si="0"/>
        <v>16503.553885661251</v>
      </c>
      <c r="M40" s="3">
        <f t="shared" si="1"/>
        <v>8251.7769428306256</v>
      </c>
      <c r="N40" s="4" t="s">
        <v>9</v>
      </c>
      <c r="O40" s="9">
        <f t="shared" si="4"/>
        <v>0.66014215542645005</v>
      </c>
      <c r="P40" s="10" t="s">
        <v>196</v>
      </c>
      <c r="Q40" s="9">
        <f t="shared" si="3"/>
        <v>38.288245014734102</v>
      </c>
    </row>
    <row r="41" spans="1:17" x14ac:dyDescent="0.25">
      <c r="A41" s="5" t="s">
        <v>64</v>
      </c>
      <c r="B41" s="5" t="s">
        <v>7</v>
      </c>
      <c r="C41" s="5" t="s">
        <v>34</v>
      </c>
      <c r="D41" s="5" t="s">
        <v>297</v>
      </c>
      <c r="E41" s="5" t="s">
        <v>298</v>
      </c>
      <c r="F41" s="5" t="s">
        <v>299</v>
      </c>
      <c r="G41" s="5" t="s">
        <v>300</v>
      </c>
      <c r="H41" s="6">
        <v>2425.5</v>
      </c>
      <c r="I41" s="7">
        <f t="shared" si="2"/>
        <v>2425.5</v>
      </c>
      <c r="J41" s="18">
        <v>2550.3125</v>
      </c>
      <c r="K41" s="11"/>
      <c r="L41" s="12">
        <f t="shared" si="0"/>
        <v>4851</v>
      </c>
      <c r="M41" s="3">
        <f t="shared" si="1"/>
        <v>2425.5</v>
      </c>
      <c r="N41" s="4" t="s">
        <v>9</v>
      </c>
      <c r="O41" s="9">
        <f t="shared" si="4"/>
        <v>0.26950000000000002</v>
      </c>
      <c r="P41" s="10" t="s">
        <v>556</v>
      </c>
      <c r="Q41" s="9">
        <f t="shared" si="3"/>
        <v>13.475000000000001</v>
      </c>
    </row>
    <row r="42" spans="1:17" x14ac:dyDescent="0.25">
      <c r="A42" s="5" t="s">
        <v>65</v>
      </c>
      <c r="B42" s="5" t="s">
        <v>7</v>
      </c>
      <c r="C42" s="5" t="s">
        <v>43</v>
      </c>
      <c r="D42" s="5" t="s">
        <v>204</v>
      </c>
      <c r="E42" s="5" t="s">
        <v>256</v>
      </c>
      <c r="F42" s="5" t="s">
        <v>263</v>
      </c>
      <c r="G42" s="5" t="s">
        <v>301</v>
      </c>
      <c r="H42" s="6">
        <v>983.33333333333337</v>
      </c>
      <c r="I42" s="7">
        <f t="shared" si="2"/>
        <v>983.33333333333337</v>
      </c>
      <c r="J42" s="18">
        <v>9000</v>
      </c>
      <c r="K42" s="11"/>
      <c r="L42" s="12">
        <f t="shared" si="0"/>
        <v>1966.6666666666667</v>
      </c>
      <c r="M42" s="3">
        <f t="shared" si="1"/>
        <v>983.33333333333337</v>
      </c>
      <c r="N42" s="4" t="s">
        <v>22</v>
      </c>
      <c r="O42" s="9">
        <f t="shared" si="4"/>
        <v>0.19666666666666668</v>
      </c>
      <c r="P42" s="10" t="s">
        <v>557</v>
      </c>
      <c r="Q42" s="9">
        <f t="shared" si="3"/>
        <v>11.8</v>
      </c>
    </row>
    <row r="43" spans="1:17" x14ac:dyDescent="0.25">
      <c r="A43" s="5" t="s">
        <v>66</v>
      </c>
      <c r="B43" s="5" t="s">
        <v>7</v>
      </c>
      <c r="C43" s="5" t="s">
        <v>24</v>
      </c>
      <c r="D43" s="5" t="s">
        <v>195</v>
      </c>
      <c r="E43" s="5" t="s">
        <v>196</v>
      </c>
      <c r="F43" s="5" t="s">
        <v>268</v>
      </c>
      <c r="G43" s="5" t="s">
        <v>268</v>
      </c>
      <c r="H43" s="6">
        <v>6886.5217808609359</v>
      </c>
      <c r="I43" s="7">
        <f t="shared" si="2"/>
        <v>6886.5217808609359</v>
      </c>
      <c r="J43" s="18">
        <v>6419.5302832517027</v>
      </c>
      <c r="K43" s="11"/>
      <c r="L43" s="12">
        <f t="shared" si="0"/>
        <v>13773.043561721872</v>
      </c>
      <c r="M43" s="3">
        <f t="shared" si="1"/>
        <v>6886.5217808609359</v>
      </c>
      <c r="N43" s="4" t="s">
        <v>9</v>
      </c>
      <c r="O43" s="9">
        <f t="shared" si="4"/>
        <v>13.773043561721872</v>
      </c>
      <c r="P43" s="10" t="s">
        <v>196</v>
      </c>
      <c r="Q43" s="9">
        <f t="shared" si="3"/>
        <v>206.59565342582809</v>
      </c>
    </row>
    <row r="44" spans="1:17" x14ac:dyDescent="0.25">
      <c r="A44" s="5" t="s">
        <v>67</v>
      </c>
      <c r="B44" s="5" t="s">
        <v>7</v>
      </c>
      <c r="C44" s="5" t="s">
        <v>24</v>
      </c>
      <c r="D44" s="5" t="s">
        <v>195</v>
      </c>
      <c r="E44" s="5" t="s">
        <v>196</v>
      </c>
      <c r="F44" s="5" t="s">
        <v>302</v>
      </c>
      <c r="G44" s="5" t="s">
        <v>302</v>
      </c>
      <c r="H44" s="6">
        <v>227.48889608284901</v>
      </c>
      <c r="I44" s="7">
        <f t="shared" si="2"/>
        <v>227.48889608284901</v>
      </c>
      <c r="J44" s="18">
        <v>1789.0885007186598</v>
      </c>
      <c r="K44" s="11"/>
      <c r="L44" s="12">
        <f t="shared" si="0"/>
        <v>454.97779216569802</v>
      </c>
      <c r="M44" s="3">
        <f t="shared" si="1"/>
        <v>227.48889608284901</v>
      </c>
      <c r="N44" s="4" t="s">
        <v>9</v>
      </c>
      <c r="O44" s="9">
        <f t="shared" si="4"/>
        <v>0.454977792165698</v>
      </c>
      <c r="P44" s="10" t="s">
        <v>196</v>
      </c>
      <c r="Q44" s="9">
        <f t="shared" si="3"/>
        <v>8.6445780511482617</v>
      </c>
    </row>
    <row r="45" spans="1:17" x14ac:dyDescent="0.25">
      <c r="A45" s="5" t="s">
        <v>68</v>
      </c>
      <c r="B45" s="5" t="s">
        <v>7</v>
      </c>
      <c r="C45" s="5" t="s">
        <v>24</v>
      </c>
      <c r="D45" s="5" t="s">
        <v>195</v>
      </c>
      <c r="E45" s="5" t="s">
        <v>196</v>
      </c>
      <c r="F45" s="5" t="s">
        <v>303</v>
      </c>
      <c r="G45" s="5" t="s">
        <v>303</v>
      </c>
      <c r="H45" s="6">
        <v>929.70051247228002</v>
      </c>
      <c r="I45" s="7">
        <f t="shared" si="2"/>
        <v>929.70051247228002</v>
      </c>
      <c r="J45" s="18">
        <v>942.94730120480847</v>
      </c>
      <c r="K45" s="11"/>
      <c r="L45" s="12">
        <f t="shared" si="0"/>
        <v>1859.40102494456</v>
      </c>
      <c r="M45" s="3">
        <f t="shared" si="1"/>
        <v>929.70051247228002</v>
      </c>
      <c r="N45" s="4" t="s">
        <v>9</v>
      </c>
      <c r="O45" s="9">
        <f t="shared" si="4"/>
        <v>1.8594010249445601</v>
      </c>
      <c r="P45" s="10" t="s">
        <v>196</v>
      </c>
      <c r="Q45" s="9">
        <f t="shared" si="3"/>
        <v>49.27412716103084</v>
      </c>
    </row>
    <row r="46" spans="1:17" x14ac:dyDescent="0.25">
      <c r="A46" s="5" t="s">
        <v>69</v>
      </c>
      <c r="B46" s="5" t="s">
        <v>7</v>
      </c>
      <c r="C46" s="5" t="s">
        <v>28</v>
      </c>
      <c r="D46" s="5" t="s">
        <v>246</v>
      </c>
      <c r="E46" s="5" t="s">
        <v>304</v>
      </c>
      <c r="F46" s="5" t="s">
        <v>305</v>
      </c>
      <c r="G46" s="5" t="s">
        <v>306</v>
      </c>
      <c r="H46" s="6">
        <v>7459.5</v>
      </c>
      <c r="I46" s="7">
        <f t="shared" si="2"/>
        <v>7459.5</v>
      </c>
      <c r="J46" s="18">
        <v>7638</v>
      </c>
      <c r="K46" s="11"/>
      <c r="L46" s="12">
        <f t="shared" si="0"/>
        <v>14919</v>
      </c>
      <c r="M46" s="3">
        <f t="shared" si="1"/>
        <v>7459.5</v>
      </c>
      <c r="N46" s="4" t="s">
        <v>16</v>
      </c>
      <c r="O46" s="9">
        <f t="shared" si="4"/>
        <v>0.74595</v>
      </c>
      <c r="P46" s="10" t="s">
        <v>556</v>
      </c>
      <c r="Q46" s="9">
        <f t="shared" si="3"/>
        <v>294.65025000000003</v>
      </c>
    </row>
    <row r="47" spans="1:17" x14ac:dyDescent="0.25">
      <c r="A47" s="5" t="s">
        <v>70</v>
      </c>
      <c r="B47" s="5" t="s">
        <v>7</v>
      </c>
      <c r="C47" s="5" t="s">
        <v>28</v>
      </c>
      <c r="D47" s="5" t="s">
        <v>307</v>
      </c>
      <c r="E47" s="5" t="s">
        <v>308</v>
      </c>
      <c r="F47" s="5" t="s">
        <v>309</v>
      </c>
      <c r="G47" s="5" t="s">
        <v>310</v>
      </c>
      <c r="H47" s="6">
        <v>6269.7142857142862</v>
      </c>
      <c r="I47" s="7">
        <f t="shared" si="2"/>
        <v>6269.7142857142862</v>
      </c>
      <c r="J47" s="18">
        <v>7740</v>
      </c>
      <c r="K47" s="11"/>
      <c r="L47" s="12">
        <f t="shared" si="0"/>
        <v>12539.428571428572</v>
      </c>
      <c r="M47" s="3">
        <f t="shared" si="1"/>
        <v>6269.7142857142862</v>
      </c>
      <c r="N47" s="4" t="s">
        <v>48</v>
      </c>
      <c r="O47" s="9">
        <f t="shared" si="4"/>
        <v>0.83596190476190479</v>
      </c>
      <c r="P47" s="10" t="s">
        <v>421</v>
      </c>
      <c r="Q47" s="9">
        <f t="shared" si="3"/>
        <v>54.337523809523809</v>
      </c>
    </row>
    <row r="48" spans="1:17" x14ac:dyDescent="0.25">
      <c r="A48" s="5" t="s">
        <v>71</v>
      </c>
      <c r="B48" s="5" t="s">
        <v>7</v>
      </c>
      <c r="C48" s="5" t="s">
        <v>13</v>
      </c>
      <c r="D48" s="5" t="s">
        <v>311</v>
      </c>
      <c r="E48" s="5" t="s">
        <v>312</v>
      </c>
      <c r="F48" s="5" t="s">
        <v>313</v>
      </c>
      <c r="G48" s="5" t="s">
        <v>314</v>
      </c>
      <c r="H48" s="6">
        <v>1243.8500788592744</v>
      </c>
      <c r="I48" s="7">
        <f t="shared" si="2"/>
        <v>1243.8500788592744</v>
      </c>
      <c r="J48" s="18">
        <v>1139.7521500072355</v>
      </c>
      <c r="K48" s="11"/>
      <c r="L48" s="12">
        <f t="shared" si="0"/>
        <v>2487.7001577185488</v>
      </c>
      <c r="M48" s="3">
        <f t="shared" si="1"/>
        <v>1243.8500788592744</v>
      </c>
      <c r="N48" s="4" t="s">
        <v>9</v>
      </c>
      <c r="O48" s="9">
        <f t="shared" si="4"/>
        <v>0.5528222572707886</v>
      </c>
      <c r="P48" s="10" t="s">
        <v>421</v>
      </c>
      <c r="Q48" s="9">
        <f t="shared" si="3"/>
        <v>157.55434332217476</v>
      </c>
    </row>
    <row r="49" spans="1:17" x14ac:dyDescent="0.25">
      <c r="A49" s="5" t="s">
        <v>72</v>
      </c>
      <c r="B49" s="5" t="s">
        <v>7</v>
      </c>
      <c r="C49" s="5" t="s">
        <v>28</v>
      </c>
      <c r="D49" s="5" t="s">
        <v>219</v>
      </c>
      <c r="E49" s="5" t="s">
        <v>220</v>
      </c>
      <c r="F49" s="5" t="s">
        <v>315</v>
      </c>
      <c r="G49" s="5" t="s">
        <v>316</v>
      </c>
      <c r="H49" s="6">
        <v>14579.5</v>
      </c>
      <c r="I49" s="7">
        <f t="shared" si="2"/>
        <v>14579.5</v>
      </c>
      <c r="J49" s="18">
        <v>13909.5</v>
      </c>
      <c r="K49" s="11"/>
      <c r="L49" s="12">
        <f t="shared" si="0"/>
        <v>29159</v>
      </c>
      <c r="M49" s="3">
        <f t="shared" si="1"/>
        <v>14579.5</v>
      </c>
      <c r="N49" s="4" t="s">
        <v>22</v>
      </c>
      <c r="O49" s="9">
        <f t="shared" si="4"/>
        <v>12.149583333333334</v>
      </c>
      <c r="P49" s="10" t="s">
        <v>421</v>
      </c>
      <c r="Q49" s="9">
        <f t="shared" si="3"/>
        <v>267.29083333333335</v>
      </c>
    </row>
    <row r="50" spans="1:17" x14ac:dyDescent="0.25">
      <c r="A50" s="5" t="s">
        <v>73</v>
      </c>
      <c r="B50" s="5" t="s">
        <v>7</v>
      </c>
      <c r="C50" s="5" t="s">
        <v>28</v>
      </c>
      <c r="D50" s="5" t="s">
        <v>317</v>
      </c>
      <c r="E50" s="5" t="s">
        <v>318</v>
      </c>
      <c r="F50" s="5" t="s">
        <v>319</v>
      </c>
      <c r="G50" s="5" t="s">
        <v>320</v>
      </c>
      <c r="H50" s="6">
        <v>3230.7692307692305</v>
      </c>
      <c r="I50" s="7">
        <f t="shared" si="2"/>
        <v>3230.7692307692305</v>
      </c>
      <c r="J50" s="18">
        <v>3115.3846153846152</v>
      </c>
      <c r="K50" s="11"/>
      <c r="L50" s="12">
        <f t="shared" si="0"/>
        <v>6461.538461538461</v>
      </c>
      <c r="M50" s="3">
        <f t="shared" si="1"/>
        <v>3230.7692307692305</v>
      </c>
      <c r="N50" s="4" t="s">
        <v>16</v>
      </c>
      <c r="O50" s="9">
        <f t="shared" si="4"/>
        <v>1.0856079404466501</v>
      </c>
      <c r="P50" s="10" t="s">
        <v>421</v>
      </c>
      <c r="Q50" s="9">
        <f t="shared" si="3"/>
        <v>164.25248138957818</v>
      </c>
    </row>
    <row r="51" spans="1:17" x14ac:dyDescent="0.25">
      <c r="A51" s="5" t="s">
        <v>74</v>
      </c>
      <c r="B51" s="5" t="s">
        <v>7</v>
      </c>
      <c r="C51" s="5" t="s">
        <v>20</v>
      </c>
      <c r="D51" s="5" t="s">
        <v>321</v>
      </c>
      <c r="E51" s="5" t="s">
        <v>322</v>
      </c>
      <c r="F51" s="5" t="s">
        <v>244</v>
      </c>
      <c r="G51" s="5" t="s">
        <v>323</v>
      </c>
      <c r="H51" s="6">
        <v>85.884959134615386</v>
      </c>
      <c r="I51" s="7">
        <f t="shared" si="2"/>
        <v>85.884959134615386</v>
      </c>
      <c r="J51" s="18">
        <v>1921.8123653846153</v>
      </c>
      <c r="K51" s="11"/>
      <c r="L51" s="12">
        <f t="shared" si="0"/>
        <v>171.76991826923077</v>
      </c>
      <c r="M51" s="3">
        <f t="shared" si="1"/>
        <v>85.884959134615386</v>
      </c>
      <c r="N51" s="4" t="s">
        <v>9</v>
      </c>
      <c r="O51" s="9">
        <f t="shared" si="4"/>
        <v>0.85884959134615391</v>
      </c>
      <c r="P51" s="10" t="s">
        <v>558</v>
      </c>
      <c r="Q51" s="9">
        <f t="shared" si="3"/>
        <v>3.4353983653846156</v>
      </c>
    </row>
    <row r="52" spans="1:17" x14ac:dyDescent="0.25">
      <c r="A52" s="5" t="s">
        <v>75</v>
      </c>
      <c r="B52" s="5" t="s">
        <v>7</v>
      </c>
      <c r="C52" s="5" t="s">
        <v>20</v>
      </c>
      <c r="D52" s="5" t="s">
        <v>260</v>
      </c>
      <c r="E52" s="5" t="s">
        <v>324</v>
      </c>
      <c r="F52" s="5" t="s">
        <v>323</v>
      </c>
      <c r="G52" s="5" t="s">
        <v>325</v>
      </c>
      <c r="H52" s="6">
        <v>329.63757195185769</v>
      </c>
      <c r="I52" s="7">
        <f t="shared" si="2"/>
        <v>329.63757195185769</v>
      </c>
      <c r="J52" s="18">
        <v>816.92108843537414</v>
      </c>
      <c r="K52" s="11"/>
      <c r="L52" s="12">
        <f t="shared" si="0"/>
        <v>659.27514390371539</v>
      </c>
      <c r="M52" s="3">
        <f t="shared" si="1"/>
        <v>329.63757195185769</v>
      </c>
      <c r="N52" s="4" t="s">
        <v>9</v>
      </c>
      <c r="O52" s="9">
        <f t="shared" si="4"/>
        <v>4.6427827035472911</v>
      </c>
      <c r="P52" s="10" t="s">
        <v>558</v>
      </c>
      <c r="Q52" s="9">
        <f t="shared" si="3"/>
        <v>92.855654070945818</v>
      </c>
    </row>
    <row r="53" spans="1:17" x14ac:dyDescent="0.25">
      <c r="A53" s="5" t="s">
        <v>76</v>
      </c>
      <c r="B53" s="5" t="s">
        <v>7</v>
      </c>
      <c r="C53" s="5" t="s">
        <v>20</v>
      </c>
      <c r="D53" s="5" t="s">
        <v>260</v>
      </c>
      <c r="E53" s="5" t="s">
        <v>324</v>
      </c>
      <c r="F53" s="5" t="s">
        <v>326</v>
      </c>
      <c r="G53" s="5" t="s">
        <v>327</v>
      </c>
      <c r="H53" s="6">
        <v>441.78065693493693</v>
      </c>
      <c r="I53" s="7">
        <f t="shared" si="2"/>
        <v>441.78065693493693</v>
      </c>
      <c r="J53" s="18">
        <v>379.14991062821406</v>
      </c>
      <c r="K53" s="11"/>
      <c r="L53" s="12">
        <f t="shared" si="0"/>
        <v>883.56131386987386</v>
      </c>
      <c r="M53" s="3">
        <f t="shared" si="1"/>
        <v>441.78065693493693</v>
      </c>
      <c r="N53" s="4" t="s">
        <v>9</v>
      </c>
      <c r="O53" s="9">
        <f t="shared" si="4"/>
        <v>6.2222627737315062</v>
      </c>
      <c r="P53" s="10" t="s">
        <v>558</v>
      </c>
      <c r="Q53" s="9">
        <f t="shared" si="3"/>
        <v>130.66751824836163</v>
      </c>
    </row>
    <row r="54" spans="1:17" x14ac:dyDescent="0.25">
      <c r="A54" s="5" t="s">
        <v>77</v>
      </c>
      <c r="B54" s="5" t="s">
        <v>7</v>
      </c>
      <c r="C54" s="5" t="s">
        <v>20</v>
      </c>
      <c r="D54" s="5" t="s">
        <v>195</v>
      </c>
      <c r="E54" s="5" t="s">
        <v>196</v>
      </c>
      <c r="F54" s="5" t="s">
        <v>328</v>
      </c>
      <c r="G54" s="5" t="s">
        <v>328</v>
      </c>
      <c r="H54" s="6">
        <v>1413.9370219839348</v>
      </c>
      <c r="I54" s="7">
        <f t="shared" si="2"/>
        <v>1413.9370219839348</v>
      </c>
      <c r="J54" s="18">
        <v>1978.4578196554587</v>
      </c>
      <c r="K54" s="11"/>
      <c r="L54" s="12">
        <f t="shared" si="0"/>
        <v>2827.8740439678695</v>
      </c>
      <c r="M54" s="3">
        <f t="shared" si="1"/>
        <v>1413.9370219839348</v>
      </c>
      <c r="N54" s="4" t="s">
        <v>9</v>
      </c>
      <c r="O54" s="9">
        <f t="shared" si="4"/>
        <v>2.8278740439678693</v>
      </c>
      <c r="P54" s="10" t="s">
        <v>196</v>
      </c>
      <c r="Q54" s="9">
        <f t="shared" si="3"/>
        <v>19.795118307775084</v>
      </c>
    </row>
    <row r="55" spans="1:17" x14ac:dyDescent="0.25">
      <c r="A55" s="5" t="s">
        <v>78</v>
      </c>
      <c r="B55" s="5" t="s">
        <v>7</v>
      </c>
      <c r="C55" s="5" t="s">
        <v>34</v>
      </c>
      <c r="D55" s="5" t="s">
        <v>239</v>
      </c>
      <c r="E55" s="5" t="s">
        <v>240</v>
      </c>
      <c r="F55" s="5" t="s">
        <v>329</v>
      </c>
      <c r="G55" s="5" t="s">
        <v>330</v>
      </c>
      <c r="H55" s="6">
        <v>100.125</v>
      </c>
      <c r="I55" s="7">
        <f t="shared" si="2"/>
        <v>100.125</v>
      </c>
      <c r="J55" s="18">
        <v>7902.5</v>
      </c>
      <c r="K55" s="11"/>
      <c r="L55" s="12">
        <f t="shared" si="0"/>
        <v>200.25</v>
      </c>
      <c r="M55" s="3">
        <f t="shared" si="1"/>
        <v>100.125</v>
      </c>
      <c r="N55" s="4" t="s">
        <v>16</v>
      </c>
      <c r="O55" s="9">
        <f t="shared" si="4"/>
        <v>0.40050000000000002</v>
      </c>
      <c r="P55" s="10" t="s">
        <v>558</v>
      </c>
      <c r="Q55" s="9">
        <f t="shared" si="3"/>
        <v>4.3534350000000002</v>
      </c>
    </row>
    <row r="56" spans="1:17" x14ac:dyDescent="0.25">
      <c r="A56" s="5" t="s">
        <v>79</v>
      </c>
      <c r="B56" s="5" t="s">
        <v>63</v>
      </c>
      <c r="C56" s="5" t="s">
        <v>39</v>
      </c>
      <c r="D56" s="5" t="s">
        <v>331</v>
      </c>
      <c r="E56" s="5" t="s">
        <v>332</v>
      </c>
      <c r="F56" s="5" t="s">
        <v>333</v>
      </c>
      <c r="G56" s="5" t="s">
        <v>334</v>
      </c>
      <c r="H56" s="6">
        <v>2721.0588708139549</v>
      </c>
      <c r="I56" s="7">
        <f t="shared" si="2"/>
        <v>2721.0588708139549</v>
      </c>
      <c r="J56" s="18">
        <v>2445.5188097753262</v>
      </c>
      <c r="K56" s="11"/>
      <c r="L56" s="12">
        <f t="shared" si="0"/>
        <v>5442.1177416279097</v>
      </c>
      <c r="M56" s="3">
        <f t="shared" si="1"/>
        <v>2721.0588708139549</v>
      </c>
      <c r="N56" s="4" t="s">
        <v>80</v>
      </c>
      <c r="O56" s="9">
        <f t="shared" si="4"/>
        <v>15.116993726744195</v>
      </c>
      <c r="P56" s="10" t="s">
        <v>421</v>
      </c>
      <c r="Q56" s="9">
        <f t="shared" si="3"/>
        <v>2358.2510213720943</v>
      </c>
    </row>
    <row r="57" spans="1:17" x14ac:dyDescent="0.25">
      <c r="A57" s="5" t="s">
        <v>81</v>
      </c>
      <c r="B57" s="5" t="s">
        <v>7</v>
      </c>
      <c r="C57" s="5" t="s">
        <v>15</v>
      </c>
      <c r="D57" s="5" t="s">
        <v>212</v>
      </c>
      <c r="E57" s="5" t="s">
        <v>335</v>
      </c>
      <c r="F57" s="5" t="s">
        <v>336</v>
      </c>
      <c r="G57" s="5" t="s">
        <v>337</v>
      </c>
      <c r="H57" s="6">
        <v>1.0615000000000001</v>
      </c>
      <c r="I57" s="7">
        <f t="shared" si="2"/>
        <v>1.0615000000000001</v>
      </c>
      <c r="J57" s="18">
        <v>1199.1065000000001</v>
      </c>
      <c r="K57" s="11"/>
      <c r="L57" s="12">
        <f t="shared" si="0"/>
        <v>2.1230000000000002</v>
      </c>
      <c r="M57" s="3">
        <f t="shared" si="1"/>
        <v>1.0615000000000001</v>
      </c>
      <c r="N57" s="4" t="s">
        <v>9</v>
      </c>
      <c r="O57" s="9">
        <f t="shared" si="4"/>
        <v>2.1230000000000002E-2</v>
      </c>
      <c r="P57" s="10" t="s">
        <v>558</v>
      </c>
      <c r="Q57" s="9">
        <f t="shared" si="3"/>
        <v>4.7767500000000004E-2</v>
      </c>
    </row>
    <row r="58" spans="1:17" x14ac:dyDescent="0.25">
      <c r="A58" s="5" t="s">
        <v>82</v>
      </c>
      <c r="B58" s="5" t="s">
        <v>83</v>
      </c>
      <c r="C58" s="5" t="s">
        <v>34</v>
      </c>
      <c r="D58" s="5" t="s">
        <v>338</v>
      </c>
      <c r="E58" s="5" t="s">
        <v>339</v>
      </c>
      <c r="F58" s="5" t="s">
        <v>340</v>
      </c>
      <c r="G58" s="5" t="s">
        <v>341</v>
      </c>
      <c r="H58" s="6">
        <v>18.979999999999997</v>
      </c>
      <c r="I58" s="7">
        <f t="shared" si="2"/>
        <v>18.979999999999997</v>
      </c>
      <c r="J58" s="18">
        <v>18.125</v>
      </c>
      <c r="K58" s="11"/>
      <c r="L58" s="12">
        <f t="shared" si="0"/>
        <v>37.959999999999994</v>
      </c>
      <c r="M58" s="3">
        <f t="shared" si="1"/>
        <v>18.979999999999997</v>
      </c>
      <c r="N58" s="4" t="s">
        <v>22</v>
      </c>
      <c r="O58" s="9">
        <f t="shared" si="4"/>
        <v>1.2653333333333332E-3</v>
      </c>
      <c r="P58" s="10" t="s">
        <v>421</v>
      </c>
      <c r="Q58" s="9">
        <f t="shared" si="3"/>
        <v>0.26318933333333328</v>
      </c>
    </row>
    <row r="59" spans="1:17" x14ac:dyDescent="0.25">
      <c r="A59" s="5" t="s">
        <v>84</v>
      </c>
      <c r="B59" s="5" t="s">
        <v>12</v>
      </c>
      <c r="C59" s="5" t="s">
        <v>39</v>
      </c>
      <c r="D59" s="5" t="s">
        <v>342</v>
      </c>
      <c r="E59" s="5" t="s">
        <v>343</v>
      </c>
      <c r="F59" s="5" t="s">
        <v>344</v>
      </c>
      <c r="G59" s="5" t="s">
        <v>345</v>
      </c>
      <c r="H59" s="6">
        <v>18888.888888888891</v>
      </c>
      <c r="I59" s="7">
        <f t="shared" si="2"/>
        <v>18888.888888888891</v>
      </c>
      <c r="J59" s="18">
        <v>17296.296296296299</v>
      </c>
      <c r="K59" s="11"/>
      <c r="L59" s="12">
        <f t="shared" si="0"/>
        <v>37777.777777777781</v>
      </c>
      <c r="M59" s="3">
        <f t="shared" si="1"/>
        <v>18888.888888888891</v>
      </c>
      <c r="N59" s="4" t="s">
        <v>22</v>
      </c>
      <c r="O59" s="9">
        <f t="shared" si="4"/>
        <v>2.0442520442520444</v>
      </c>
      <c r="P59" s="10" t="s">
        <v>421</v>
      </c>
      <c r="Q59" s="9">
        <f t="shared" si="3"/>
        <v>228.95622895622898</v>
      </c>
    </row>
    <row r="60" spans="1:17" x14ac:dyDescent="0.25">
      <c r="A60" s="5" t="s">
        <v>85</v>
      </c>
      <c r="B60" s="5" t="s">
        <v>7</v>
      </c>
      <c r="C60" s="5" t="s">
        <v>24</v>
      </c>
      <c r="D60" s="5" t="s">
        <v>195</v>
      </c>
      <c r="E60" s="5" t="s">
        <v>196</v>
      </c>
      <c r="F60" s="5" t="s">
        <v>346</v>
      </c>
      <c r="G60" s="5" t="s">
        <v>346</v>
      </c>
      <c r="H60" s="6">
        <v>31.138461538461552</v>
      </c>
      <c r="I60" s="7">
        <f t="shared" si="2"/>
        <v>31.138461538461552</v>
      </c>
      <c r="J60" s="18">
        <v>3475.4051282051282</v>
      </c>
      <c r="K60" s="11"/>
      <c r="L60" s="12">
        <f t="shared" si="0"/>
        <v>62.276923076923104</v>
      </c>
      <c r="M60" s="3">
        <f t="shared" si="1"/>
        <v>31.138461538461552</v>
      </c>
      <c r="N60" s="4" t="s">
        <v>9</v>
      </c>
      <c r="O60" s="9">
        <f t="shared" si="4"/>
        <v>6.2276923076923105E-2</v>
      </c>
      <c r="P60" s="10" t="s">
        <v>196</v>
      </c>
      <c r="Q60" s="9">
        <f t="shared" si="3"/>
        <v>0.62276923076923107</v>
      </c>
    </row>
    <row r="61" spans="1:17" x14ac:dyDescent="0.25">
      <c r="A61" s="5" t="s">
        <v>552</v>
      </c>
      <c r="B61" s="5" t="s">
        <v>7</v>
      </c>
      <c r="C61" s="5" t="s">
        <v>39</v>
      </c>
      <c r="D61" s="5" t="s">
        <v>347</v>
      </c>
      <c r="E61" s="5" t="s">
        <v>348</v>
      </c>
      <c r="F61" s="5" t="s">
        <v>349</v>
      </c>
      <c r="G61" s="5" t="s">
        <v>350</v>
      </c>
      <c r="H61" s="6">
        <v>20956</v>
      </c>
      <c r="I61" s="7">
        <f t="shared" si="2"/>
        <v>20956</v>
      </c>
      <c r="J61" s="18">
        <v>19225</v>
      </c>
      <c r="K61" s="11"/>
      <c r="L61" s="12">
        <f t="shared" si="0"/>
        <v>41912</v>
      </c>
      <c r="M61" s="3">
        <f t="shared" si="1"/>
        <v>20956</v>
      </c>
      <c r="N61" s="4" t="s">
        <v>48</v>
      </c>
      <c r="O61" s="9">
        <f t="shared" si="4"/>
        <v>5.8211111111111107</v>
      </c>
      <c r="P61" s="10" t="s">
        <v>421</v>
      </c>
      <c r="Q61" s="9">
        <f t="shared" si="3"/>
        <v>902.27222222222213</v>
      </c>
    </row>
    <row r="62" spans="1:17" x14ac:dyDescent="0.25">
      <c r="A62" s="5" t="s">
        <v>86</v>
      </c>
      <c r="B62" s="5" t="s">
        <v>7</v>
      </c>
      <c r="C62" s="5" t="s">
        <v>87</v>
      </c>
      <c r="D62" s="5" t="s">
        <v>280</v>
      </c>
      <c r="E62" s="5" t="s">
        <v>351</v>
      </c>
      <c r="F62" s="5" t="s">
        <v>352</v>
      </c>
      <c r="G62" s="5" t="s">
        <v>353</v>
      </c>
      <c r="H62" s="6">
        <v>6894.7368421052633</v>
      </c>
      <c r="I62" s="7">
        <f t="shared" si="2"/>
        <v>6894.7368421052633</v>
      </c>
      <c r="J62" s="18">
        <v>12292.631578947368</v>
      </c>
      <c r="K62" s="11"/>
      <c r="L62" s="12">
        <f t="shared" si="0"/>
        <v>13789.473684210527</v>
      </c>
      <c r="M62" s="3">
        <f t="shared" si="1"/>
        <v>6894.7368421052633</v>
      </c>
      <c r="N62" s="4" t="s">
        <v>22</v>
      </c>
      <c r="O62" s="9">
        <f t="shared" si="4"/>
        <v>1.4364035087719298</v>
      </c>
      <c r="P62" s="10" t="s">
        <v>421</v>
      </c>
      <c r="Q62" s="9">
        <f t="shared" si="3"/>
        <v>140.76754385964912</v>
      </c>
    </row>
    <row r="63" spans="1:17" x14ac:dyDescent="0.25">
      <c r="A63" s="5" t="s">
        <v>88</v>
      </c>
      <c r="B63" s="5" t="s">
        <v>7</v>
      </c>
      <c r="C63" s="5" t="s">
        <v>34</v>
      </c>
      <c r="D63" s="5" t="s">
        <v>204</v>
      </c>
      <c r="E63" s="5" t="s">
        <v>354</v>
      </c>
      <c r="F63" s="5" t="s">
        <v>355</v>
      </c>
      <c r="G63" s="5" t="s">
        <v>356</v>
      </c>
      <c r="H63" s="6">
        <v>22574.645265834864</v>
      </c>
      <c r="I63" s="7">
        <f t="shared" si="2"/>
        <v>22574.645265834864</v>
      </c>
      <c r="J63" s="18">
        <v>22020.708883338826</v>
      </c>
      <c r="K63" s="11"/>
      <c r="L63" s="12">
        <f t="shared" si="0"/>
        <v>45149.290531669729</v>
      </c>
      <c r="M63" s="3">
        <f t="shared" si="1"/>
        <v>22574.645265834864</v>
      </c>
      <c r="N63" s="4" t="s">
        <v>22</v>
      </c>
      <c r="O63" s="9">
        <f t="shared" si="4"/>
        <v>4.5149290531669726</v>
      </c>
      <c r="P63" s="10" t="s">
        <v>196</v>
      </c>
      <c r="Q63" s="9">
        <f t="shared" si="3"/>
        <v>76.753793903838528</v>
      </c>
    </row>
    <row r="64" spans="1:17" x14ac:dyDescent="0.25">
      <c r="A64" s="5" t="s">
        <v>89</v>
      </c>
      <c r="B64" s="5" t="s">
        <v>7</v>
      </c>
      <c r="C64" s="5" t="s">
        <v>39</v>
      </c>
      <c r="D64" s="5" t="s">
        <v>225</v>
      </c>
      <c r="E64" s="5" t="s">
        <v>196</v>
      </c>
      <c r="F64" s="5" t="s">
        <v>357</v>
      </c>
      <c r="G64" s="5" t="s">
        <v>358</v>
      </c>
      <c r="H64" s="6">
        <v>6536.417619699042</v>
      </c>
      <c r="I64" s="7">
        <f t="shared" si="2"/>
        <v>6536.417619699042</v>
      </c>
      <c r="J64" s="18">
        <v>6045.1460386945482</v>
      </c>
      <c r="K64" s="11"/>
      <c r="L64" s="12">
        <f t="shared" si="0"/>
        <v>13072.835239398084</v>
      </c>
      <c r="M64" s="3">
        <f t="shared" si="1"/>
        <v>6536.417619699042</v>
      </c>
      <c r="N64" s="4" t="s">
        <v>48</v>
      </c>
      <c r="O64" s="9">
        <f t="shared" si="4"/>
        <v>2.6145670478796168</v>
      </c>
      <c r="P64" s="10" t="s">
        <v>196</v>
      </c>
      <c r="Q64" s="9">
        <f t="shared" si="3"/>
        <v>147.77532954615594</v>
      </c>
    </row>
    <row r="65" spans="1:17" x14ac:dyDescent="0.25">
      <c r="A65" s="5" t="s">
        <v>90</v>
      </c>
      <c r="B65" s="5" t="s">
        <v>7</v>
      </c>
      <c r="C65" s="5" t="s">
        <v>15</v>
      </c>
      <c r="D65" s="5" t="s">
        <v>253</v>
      </c>
      <c r="E65" s="5" t="s">
        <v>359</v>
      </c>
      <c r="F65" s="5" t="s">
        <v>360</v>
      </c>
      <c r="G65" s="5" t="s">
        <v>361</v>
      </c>
      <c r="H65" s="6">
        <v>18.888888888888886</v>
      </c>
      <c r="I65" s="7">
        <f t="shared" si="2"/>
        <v>18.888888888888886</v>
      </c>
      <c r="J65" s="18">
        <v>17.296296296296294</v>
      </c>
      <c r="K65" s="11"/>
      <c r="L65" s="12">
        <f t="shared" si="0"/>
        <v>37.777777777777771</v>
      </c>
      <c r="M65" s="3">
        <f t="shared" si="1"/>
        <v>18.888888888888886</v>
      </c>
      <c r="N65" s="4" t="s">
        <v>9</v>
      </c>
      <c r="O65" s="9">
        <f t="shared" si="4"/>
        <v>1.2592592592592591</v>
      </c>
      <c r="P65" s="10" t="s">
        <v>421</v>
      </c>
      <c r="Q65" s="9">
        <f t="shared" si="3"/>
        <v>352.59259259259255</v>
      </c>
    </row>
    <row r="66" spans="1:17" x14ac:dyDescent="0.25">
      <c r="A66" s="5" t="s">
        <v>91</v>
      </c>
      <c r="B66" s="5" t="s">
        <v>7</v>
      </c>
      <c r="C66" s="5" t="s">
        <v>92</v>
      </c>
      <c r="D66" s="5" t="s">
        <v>362</v>
      </c>
      <c r="E66" s="5" t="s">
        <v>363</v>
      </c>
      <c r="F66" s="5" t="s">
        <v>364</v>
      </c>
      <c r="G66" s="5" t="s">
        <v>365</v>
      </c>
      <c r="H66" s="6">
        <v>1635</v>
      </c>
      <c r="I66" s="7">
        <f t="shared" si="2"/>
        <v>1635</v>
      </c>
      <c r="J66" s="18">
        <v>13745</v>
      </c>
      <c r="K66" s="11"/>
      <c r="L66" s="12">
        <f t="shared" ref="L66:L129" si="5">H66-(K66-I66)</f>
        <v>3270</v>
      </c>
      <c r="M66" s="3">
        <f t="shared" ref="M66:M129" si="6">IF(L66&lt;0,(K66-H66),((L66+K66)-H66))</f>
        <v>1635</v>
      </c>
      <c r="N66" s="4" t="s">
        <v>48</v>
      </c>
      <c r="O66" s="9">
        <f t="shared" si="4"/>
        <v>0.40875</v>
      </c>
      <c r="P66" s="10" t="s">
        <v>421</v>
      </c>
      <c r="Q66" s="9">
        <f t="shared" si="3"/>
        <v>13.897500000000001</v>
      </c>
    </row>
    <row r="67" spans="1:17" x14ac:dyDescent="0.25">
      <c r="A67" s="5" t="s">
        <v>93</v>
      </c>
      <c r="B67" s="5" t="s">
        <v>7</v>
      </c>
      <c r="C67" s="5" t="s">
        <v>92</v>
      </c>
      <c r="D67" s="5" t="s">
        <v>362</v>
      </c>
      <c r="E67" s="5" t="s">
        <v>366</v>
      </c>
      <c r="F67" s="5" t="s">
        <v>199</v>
      </c>
      <c r="G67" s="5" t="s">
        <v>367</v>
      </c>
      <c r="H67" s="6">
        <v>5850</v>
      </c>
      <c r="I67" s="7">
        <f t="shared" ref="I67:I130" si="7">H67</f>
        <v>5850</v>
      </c>
      <c r="J67" s="18">
        <v>5800</v>
      </c>
      <c r="K67" s="11"/>
      <c r="L67" s="12">
        <f t="shared" si="5"/>
        <v>11700</v>
      </c>
      <c r="M67" s="3">
        <f t="shared" si="6"/>
        <v>5850</v>
      </c>
      <c r="N67" s="4" t="s">
        <v>48</v>
      </c>
      <c r="O67" s="9">
        <f t="shared" ref="O67:O130" si="8">L67/D67</f>
        <v>1.4624999999999999</v>
      </c>
      <c r="P67" s="10" t="s">
        <v>421</v>
      </c>
      <c r="Q67" s="9">
        <f t="shared" ref="Q67:Q130" si="9">O67*F67</f>
        <v>57.037499999999994</v>
      </c>
    </row>
    <row r="68" spans="1:17" x14ac:dyDescent="0.25">
      <c r="A68" s="5" t="s">
        <v>94</v>
      </c>
      <c r="B68" s="5" t="s">
        <v>7</v>
      </c>
      <c r="C68" s="5" t="s">
        <v>92</v>
      </c>
      <c r="D68" s="5" t="s">
        <v>368</v>
      </c>
      <c r="E68" s="5" t="s">
        <v>369</v>
      </c>
      <c r="F68" s="5" t="s">
        <v>370</v>
      </c>
      <c r="G68" s="5" t="s">
        <v>371</v>
      </c>
      <c r="H68" s="6">
        <v>6464.9791666666661</v>
      </c>
      <c r="I68" s="7">
        <f t="shared" si="7"/>
        <v>6464.9791666666661</v>
      </c>
      <c r="J68" s="18">
        <v>5571.0458333333336</v>
      </c>
      <c r="K68" s="11"/>
      <c r="L68" s="12">
        <f t="shared" si="5"/>
        <v>12929.958333333332</v>
      </c>
      <c r="M68" s="3">
        <f t="shared" si="6"/>
        <v>6464.9791666666661</v>
      </c>
      <c r="N68" s="4" t="s">
        <v>48</v>
      </c>
      <c r="O68" s="9">
        <f t="shared" si="8"/>
        <v>2.6937413194444444</v>
      </c>
      <c r="P68" s="10" t="s">
        <v>421</v>
      </c>
      <c r="Q68" s="9">
        <f t="shared" si="9"/>
        <v>215.49930555555557</v>
      </c>
    </row>
    <row r="69" spans="1:17" x14ac:dyDescent="0.25">
      <c r="A69" s="5" t="s">
        <v>95</v>
      </c>
      <c r="B69" s="5" t="s">
        <v>7</v>
      </c>
      <c r="C69" s="5" t="s">
        <v>28</v>
      </c>
      <c r="D69" s="5" t="s">
        <v>372</v>
      </c>
      <c r="E69" s="5" t="s">
        <v>373</v>
      </c>
      <c r="F69" s="5" t="s">
        <v>374</v>
      </c>
      <c r="G69" s="5" t="s">
        <v>375</v>
      </c>
      <c r="H69" s="6">
        <v>4476</v>
      </c>
      <c r="I69" s="7">
        <f t="shared" si="7"/>
        <v>4476</v>
      </c>
      <c r="J69" s="18">
        <v>3888</v>
      </c>
      <c r="K69" s="11"/>
      <c r="L69" s="12">
        <f t="shared" si="5"/>
        <v>8952</v>
      </c>
      <c r="M69" s="3">
        <f t="shared" si="6"/>
        <v>4476</v>
      </c>
      <c r="N69" s="4" t="s">
        <v>48</v>
      </c>
      <c r="O69" s="9">
        <f t="shared" si="8"/>
        <v>0.5595</v>
      </c>
      <c r="P69" s="10" t="s">
        <v>421</v>
      </c>
      <c r="Q69" s="9">
        <f t="shared" si="9"/>
        <v>78.816765000000004</v>
      </c>
    </row>
    <row r="70" spans="1:17" x14ac:dyDescent="0.25">
      <c r="A70" s="5" t="s">
        <v>96</v>
      </c>
      <c r="B70" s="5" t="s">
        <v>7</v>
      </c>
      <c r="C70" s="5" t="s">
        <v>92</v>
      </c>
      <c r="D70" s="5" t="s">
        <v>362</v>
      </c>
      <c r="E70" s="5" t="s">
        <v>376</v>
      </c>
      <c r="F70" s="5" t="s">
        <v>377</v>
      </c>
      <c r="G70" s="5" t="s">
        <v>378</v>
      </c>
      <c r="H70" s="6">
        <v>9809.2371134020614</v>
      </c>
      <c r="I70" s="7">
        <f t="shared" si="7"/>
        <v>9809.2371134020614</v>
      </c>
      <c r="J70" s="18">
        <v>7505.1546391752581</v>
      </c>
      <c r="K70" s="11"/>
      <c r="L70" s="12">
        <f t="shared" si="5"/>
        <v>19618.474226804123</v>
      </c>
      <c r="M70" s="3">
        <f t="shared" si="6"/>
        <v>9809.2371134020614</v>
      </c>
      <c r="N70" s="4" t="s">
        <v>48</v>
      </c>
      <c r="O70" s="9">
        <f t="shared" si="8"/>
        <v>2.4523092783505152</v>
      </c>
      <c r="P70" s="10" t="s">
        <v>421</v>
      </c>
      <c r="Q70" s="9">
        <f t="shared" si="9"/>
        <v>80.926206185566997</v>
      </c>
    </row>
    <row r="71" spans="1:17" x14ac:dyDescent="0.25">
      <c r="A71" s="5" t="s">
        <v>97</v>
      </c>
      <c r="B71" s="5" t="s">
        <v>7</v>
      </c>
      <c r="C71" s="5" t="s">
        <v>92</v>
      </c>
      <c r="D71" s="5" t="s">
        <v>362</v>
      </c>
      <c r="E71" s="5" t="s">
        <v>376</v>
      </c>
      <c r="F71" s="5" t="s">
        <v>248</v>
      </c>
      <c r="G71" s="5" t="s">
        <v>379</v>
      </c>
      <c r="H71" s="6">
        <v>11404.372469635631</v>
      </c>
      <c r="I71" s="7">
        <f t="shared" si="7"/>
        <v>11404.372469635631</v>
      </c>
      <c r="J71" s="18">
        <v>9178.3643724696412</v>
      </c>
      <c r="K71" s="11"/>
      <c r="L71" s="12">
        <f t="shared" si="5"/>
        <v>22808.744939271262</v>
      </c>
      <c r="M71" s="3">
        <f t="shared" si="6"/>
        <v>11404.372469635631</v>
      </c>
      <c r="N71" s="4" t="s">
        <v>48</v>
      </c>
      <c r="O71" s="9">
        <f t="shared" si="8"/>
        <v>2.8510931174089076</v>
      </c>
      <c r="P71" s="10" t="s">
        <v>421</v>
      </c>
      <c r="Q71" s="9">
        <f t="shared" si="9"/>
        <v>370.64210526315799</v>
      </c>
    </row>
    <row r="72" spans="1:17" x14ac:dyDescent="0.25">
      <c r="A72" s="5" t="s">
        <v>98</v>
      </c>
      <c r="B72" s="5" t="s">
        <v>7</v>
      </c>
      <c r="C72" s="5" t="s">
        <v>92</v>
      </c>
      <c r="D72" s="5" t="s">
        <v>380</v>
      </c>
      <c r="E72" s="5" t="s">
        <v>381</v>
      </c>
      <c r="F72" s="5" t="s">
        <v>382</v>
      </c>
      <c r="G72" s="5" t="s">
        <v>383</v>
      </c>
      <c r="H72" s="6">
        <v>409.375</v>
      </c>
      <c r="I72" s="7">
        <f t="shared" si="7"/>
        <v>409.375</v>
      </c>
      <c r="J72" s="18">
        <v>634.375</v>
      </c>
      <c r="K72" s="11"/>
      <c r="L72" s="12">
        <f t="shared" si="5"/>
        <v>818.75</v>
      </c>
      <c r="M72" s="3">
        <f t="shared" si="6"/>
        <v>409.375</v>
      </c>
      <c r="N72" s="4" t="s">
        <v>48</v>
      </c>
      <c r="O72" s="9">
        <f t="shared" si="8"/>
        <v>0.14620535714285715</v>
      </c>
      <c r="P72" s="10" t="s">
        <v>421</v>
      </c>
      <c r="Q72" s="9">
        <f t="shared" si="9"/>
        <v>41.955089285714287</v>
      </c>
    </row>
    <row r="73" spans="1:17" x14ac:dyDescent="0.25">
      <c r="A73" s="5" t="s">
        <v>99</v>
      </c>
      <c r="B73" s="5" t="s">
        <v>7</v>
      </c>
      <c r="C73" s="5" t="s">
        <v>24</v>
      </c>
      <c r="D73" s="5" t="s">
        <v>195</v>
      </c>
      <c r="E73" s="5" t="s">
        <v>196</v>
      </c>
      <c r="F73" s="5" t="s">
        <v>346</v>
      </c>
      <c r="G73" s="5" t="s">
        <v>346</v>
      </c>
      <c r="H73" s="6">
        <v>2997.7563760311182</v>
      </c>
      <c r="I73" s="7">
        <f t="shared" si="7"/>
        <v>2997.7563760311182</v>
      </c>
      <c r="J73" s="18">
        <v>2947.9281904486629</v>
      </c>
      <c r="K73" s="11"/>
      <c r="L73" s="12">
        <f t="shared" si="5"/>
        <v>5995.5127520622364</v>
      </c>
      <c r="M73" s="3">
        <f t="shared" si="6"/>
        <v>2997.7563760311182</v>
      </c>
      <c r="N73" s="4" t="s">
        <v>9</v>
      </c>
      <c r="O73" s="9">
        <f t="shared" si="8"/>
        <v>5.9955127520622362</v>
      </c>
      <c r="P73" s="10" t="s">
        <v>196</v>
      </c>
      <c r="Q73" s="9">
        <f t="shared" si="9"/>
        <v>59.955127520622362</v>
      </c>
    </row>
    <row r="74" spans="1:17" x14ac:dyDescent="0.25">
      <c r="A74" s="5" t="s">
        <v>100</v>
      </c>
      <c r="B74" s="5" t="s">
        <v>7</v>
      </c>
      <c r="C74" s="5" t="s">
        <v>39</v>
      </c>
      <c r="D74" s="5" t="s">
        <v>384</v>
      </c>
      <c r="E74" s="5" t="s">
        <v>385</v>
      </c>
      <c r="F74" s="5" t="s">
        <v>386</v>
      </c>
      <c r="G74" s="5" t="s">
        <v>387</v>
      </c>
      <c r="H74" s="6">
        <v>1213.4288659793815</v>
      </c>
      <c r="I74" s="7">
        <f t="shared" si="7"/>
        <v>1213.4288659793815</v>
      </c>
      <c r="J74" s="18">
        <v>992.05360824742263</v>
      </c>
      <c r="K74" s="11"/>
      <c r="L74" s="12">
        <f t="shared" si="5"/>
        <v>2426.857731958763</v>
      </c>
      <c r="M74" s="3">
        <f t="shared" si="6"/>
        <v>1213.4288659793815</v>
      </c>
      <c r="N74" s="4" t="s">
        <v>22</v>
      </c>
      <c r="O74" s="9">
        <f t="shared" si="8"/>
        <v>1.516786082474227</v>
      </c>
      <c r="P74" s="10" t="s">
        <v>559</v>
      </c>
      <c r="Q74" s="9">
        <f t="shared" si="9"/>
        <v>112.10565935567011</v>
      </c>
    </row>
    <row r="75" spans="1:17" x14ac:dyDescent="0.25">
      <c r="A75" s="5" t="s">
        <v>101</v>
      </c>
      <c r="B75" s="5" t="s">
        <v>7</v>
      </c>
      <c r="C75" s="5" t="s">
        <v>24</v>
      </c>
      <c r="D75" s="5" t="s">
        <v>195</v>
      </c>
      <c r="E75" s="5" t="s">
        <v>196</v>
      </c>
      <c r="F75" s="5" t="s">
        <v>388</v>
      </c>
      <c r="G75" s="5" t="s">
        <v>388</v>
      </c>
      <c r="H75" s="6">
        <v>589.46949602122004</v>
      </c>
      <c r="I75" s="7">
        <f t="shared" si="7"/>
        <v>589.46949602122004</v>
      </c>
      <c r="J75" s="18">
        <v>534.14456233421731</v>
      </c>
      <c r="K75" s="11"/>
      <c r="L75" s="12">
        <f t="shared" si="5"/>
        <v>1178.9389920424401</v>
      </c>
      <c r="M75" s="3">
        <f t="shared" si="6"/>
        <v>589.46949602122004</v>
      </c>
      <c r="N75" s="4" t="s">
        <v>9</v>
      </c>
      <c r="O75" s="9">
        <f t="shared" si="8"/>
        <v>1.17893899204244</v>
      </c>
      <c r="P75" s="10" t="s">
        <v>196</v>
      </c>
      <c r="Q75" s="9">
        <f t="shared" si="9"/>
        <v>21.22090185676392</v>
      </c>
    </row>
    <row r="76" spans="1:17" x14ac:dyDescent="0.25">
      <c r="A76" s="5" t="s">
        <v>102</v>
      </c>
      <c r="B76" s="5" t="s">
        <v>7</v>
      </c>
      <c r="C76" s="5" t="s">
        <v>15</v>
      </c>
      <c r="D76" s="5" t="s">
        <v>212</v>
      </c>
      <c r="E76" s="5" t="s">
        <v>335</v>
      </c>
      <c r="F76" s="5" t="s">
        <v>336</v>
      </c>
      <c r="G76" s="5" t="s">
        <v>337</v>
      </c>
      <c r="H76" s="6">
        <v>5.8133333333333335</v>
      </c>
      <c r="I76" s="7">
        <f t="shared" si="7"/>
        <v>5.8133333333333335</v>
      </c>
      <c r="J76" s="18">
        <v>694.91666666666663</v>
      </c>
      <c r="K76" s="11"/>
      <c r="L76" s="12">
        <f t="shared" si="5"/>
        <v>11.626666666666667</v>
      </c>
      <c r="M76" s="3">
        <f t="shared" si="6"/>
        <v>5.8133333333333335</v>
      </c>
      <c r="N76" s="4" t="s">
        <v>9</v>
      </c>
      <c r="O76" s="9">
        <f t="shared" si="8"/>
        <v>0.11626666666666667</v>
      </c>
      <c r="P76" s="10" t="s">
        <v>558</v>
      </c>
      <c r="Q76" s="9">
        <f t="shared" si="9"/>
        <v>0.2616</v>
      </c>
    </row>
    <row r="77" spans="1:17" x14ac:dyDescent="0.25">
      <c r="A77" s="5" t="s">
        <v>103</v>
      </c>
      <c r="B77" s="5" t="s">
        <v>7</v>
      </c>
      <c r="C77" s="5" t="s">
        <v>39</v>
      </c>
      <c r="D77" s="5" t="s">
        <v>204</v>
      </c>
      <c r="E77" s="5" t="s">
        <v>389</v>
      </c>
      <c r="F77" s="5" t="s">
        <v>390</v>
      </c>
      <c r="G77" s="5" t="s">
        <v>391</v>
      </c>
      <c r="H77" s="6">
        <v>41983.695652173912</v>
      </c>
      <c r="I77" s="7">
        <f t="shared" si="7"/>
        <v>41983.695652173912</v>
      </c>
      <c r="J77" s="18">
        <v>40190.217391304352</v>
      </c>
      <c r="K77" s="11"/>
      <c r="L77" s="12">
        <f t="shared" si="5"/>
        <v>83967.391304347824</v>
      </c>
      <c r="M77" s="3">
        <f t="shared" si="6"/>
        <v>41983.695652173912</v>
      </c>
      <c r="N77" s="4" t="s">
        <v>48</v>
      </c>
      <c r="O77" s="9">
        <f t="shared" si="8"/>
        <v>8.3967391304347831</v>
      </c>
      <c r="P77" s="10" t="s">
        <v>421</v>
      </c>
      <c r="Q77" s="9">
        <f t="shared" si="9"/>
        <v>2044.4380434782609</v>
      </c>
    </row>
    <row r="78" spans="1:17" x14ac:dyDescent="0.25">
      <c r="A78" s="5" t="s">
        <v>104</v>
      </c>
      <c r="B78" s="5" t="s">
        <v>7</v>
      </c>
      <c r="C78" s="5" t="s">
        <v>28</v>
      </c>
      <c r="D78" s="5" t="s">
        <v>362</v>
      </c>
      <c r="E78" s="5" t="s">
        <v>392</v>
      </c>
      <c r="F78" s="5" t="s">
        <v>393</v>
      </c>
      <c r="G78" s="5" t="s">
        <v>355</v>
      </c>
      <c r="H78" s="6">
        <v>13659.192070194948</v>
      </c>
      <c r="I78" s="7">
        <f t="shared" si="7"/>
        <v>13659.192070194948</v>
      </c>
      <c r="J78" s="18">
        <v>12872.211765935208</v>
      </c>
      <c r="K78" s="11"/>
      <c r="L78" s="12">
        <f t="shared" si="5"/>
        <v>27318.384140389895</v>
      </c>
      <c r="M78" s="3">
        <f t="shared" si="6"/>
        <v>13659.192070194948</v>
      </c>
      <c r="N78" s="4" t="s">
        <v>18</v>
      </c>
      <c r="O78" s="9">
        <f t="shared" si="8"/>
        <v>3.4147980175487369</v>
      </c>
      <c r="P78" s="10" t="s">
        <v>421</v>
      </c>
      <c r="Q78" s="9">
        <f t="shared" si="9"/>
        <v>464.41253038662819</v>
      </c>
    </row>
    <row r="79" spans="1:17" x14ac:dyDescent="0.25">
      <c r="A79" s="5" t="s">
        <v>105</v>
      </c>
      <c r="B79" s="5" t="s">
        <v>63</v>
      </c>
      <c r="C79" s="5" t="s">
        <v>28</v>
      </c>
      <c r="D79" s="5" t="s">
        <v>394</v>
      </c>
      <c r="E79" s="5" t="s">
        <v>395</v>
      </c>
      <c r="F79" s="5" t="s">
        <v>396</v>
      </c>
      <c r="G79" s="5" t="s">
        <v>397</v>
      </c>
      <c r="H79" s="6">
        <v>69</v>
      </c>
      <c r="I79" s="7">
        <f t="shared" si="7"/>
        <v>69</v>
      </c>
      <c r="J79" s="18">
        <v>67</v>
      </c>
      <c r="K79" s="11"/>
      <c r="L79" s="12">
        <f t="shared" si="5"/>
        <v>138</v>
      </c>
      <c r="M79" s="3">
        <f t="shared" si="6"/>
        <v>69</v>
      </c>
      <c r="N79" s="4" t="s">
        <v>48</v>
      </c>
      <c r="O79" s="9">
        <f t="shared" si="8"/>
        <v>1.4375</v>
      </c>
      <c r="P79" s="10" t="s">
        <v>421</v>
      </c>
      <c r="Q79" s="9">
        <f t="shared" si="9"/>
        <v>84.8125</v>
      </c>
    </row>
    <row r="80" spans="1:17" x14ac:dyDescent="0.25">
      <c r="A80" s="5" t="s">
        <v>106</v>
      </c>
      <c r="B80" s="5" t="s">
        <v>7</v>
      </c>
      <c r="C80" s="5" t="s">
        <v>92</v>
      </c>
      <c r="D80" s="5" t="s">
        <v>195</v>
      </c>
      <c r="E80" s="5" t="s">
        <v>196</v>
      </c>
      <c r="F80" s="5" t="s">
        <v>291</v>
      </c>
      <c r="G80" s="5" t="s">
        <v>291</v>
      </c>
      <c r="H80" s="6">
        <v>1443.8372093023256</v>
      </c>
      <c r="I80" s="7">
        <f t="shared" si="7"/>
        <v>1443.8372093023256</v>
      </c>
      <c r="J80" s="18">
        <v>1835.441860465116</v>
      </c>
      <c r="K80" s="11"/>
      <c r="L80" s="12">
        <f t="shared" si="5"/>
        <v>2887.6744186046512</v>
      </c>
      <c r="M80" s="3">
        <f t="shared" si="6"/>
        <v>1443.8372093023256</v>
      </c>
      <c r="N80" s="4" t="s">
        <v>9</v>
      </c>
      <c r="O80" s="9">
        <f t="shared" si="8"/>
        <v>2.887674418604651</v>
      </c>
      <c r="P80" s="10" t="s">
        <v>196</v>
      </c>
      <c r="Q80" s="9">
        <f t="shared" si="9"/>
        <v>23.101395348837208</v>
      </c>
    </row>
    <row r="81" spans="1:17" x14ac:dyDescent="0.25">
      <c r="A81" s="5" t="s">
        <v>188</v>
      </c>
      <c r="B81" s="5" t="s">
        <v>12</v>
      </c>
      <c r="C81" s="5" t="s">
        <v>26</v>
      </c>
      <c r="D81" s="5" t="s">
        <v>195</v>
      </c>
      <c r="E81" s="5" t="s">
        <v>223</v>
      </c>
      <c r="F81" s="5" t="s">
        <v>224</v>
      </c>
      <c r="G81" s="5" t="s">
        <v>224</v>
      </c>
      <c r="H81" s="6">
        <v>3722.7415730337079</v>
      </c>
      <c r="I81" s="7">
        <f t="shared" si="7"/>
        <v>3722.7415730337079</v>
      </c>
      <c r="J81" s="18">
        <v>3534.0224719101125</v>
      </c>
      <c r="K81" s="11"/>
      <c r="L81" s="12">
        <f t="shared" si="5"/>
        <v>7445.4831460674159</v>
      </c>
      <c r="M81" s="3">
        <f t="shared" si="6"/>
        <v>3722.7415730337079</v>
      </c>
      <c r="N81" s="4" t="s">
        <v>554</v>
      </c>
      <c r="O81" s="9">
        <f t="shared" si="8"/>
        <v>7.4454831460674162</v>
      </c>
      <c r="P81" s="10" t="s">
        <v>223</v>
      </c>
      <c r="Q81" s="9">
        <f t="shared" si="9"/>
        <v>0</v>
      </c>
    </row>
    <row r="82" spans="1:17" x14ac:dyDescent="0.25">
      <c r="A82" s="5" t="s">
        <v>107</v>
      </c>
      <c r="B82" s="5" t="s">
        <v>7</v>
      </c>
      <c r="C82" s="5" t="s">
        <v>24</v>
      </c>
      <c r="D82" s="5" t="s">
        <v>364</v>
      </c>
      <c r="E82" s="5" t="s">
        <v>398</v>
      </c>
      <c r="F82" s="5" t="s">
        <v>238</v>
      </c>
      <c r="G82" s="5" t="s">
        <v>399</v>
      </c>
      <c r="H82" s="6">
        <v>20.288823529411765</v>
      </c>
      <c r="I82" s="7">
        <f t="shared" si="7"/>
        <v>20.288823529411765</v>
      </c>
      <c r="J82" s="18">
        <v>182.81823529411764</v>
      </c>
      <c r="K82" s="11"/>
      <c r="L82" s="12">
        <f t="shared" si="5"/>
        <v>40.57764705882353</v>
      </c>
      <c r="M82" s="3">
        <f t="shared" si="6"/>
        <v>20.288823529411765</v>
      </c>
      <c r="N82" s="4" t="s">
        <v>9</v>
      </c>
      <c r="O82" s="9">
        <f t="shared" si="8"/>
        <v>1.1934602076124567</v>
      </c>
      <c r="P82" s="10" t="s">
        <v>398</v>
      </c>
      <c r="Q82" s="9">
        <f t="shared" si="9"/>
        <v>10.144411764705882</v>
      </c>
    </row>
    <row r="83" spans="1:17" x14ac:dyDescent="0.25">
      <c r="A83" s="5" t="s">
        <v>108</v>
      </c>
      <c r="B83" s="5" t="s">
        <v>7</v>
      </c>
      <c r="C83" s="5" t="s">
        <v>24</v>
      </c>
      <c r="D83" s="5" t="s">
        <v>219</v>
      </c>
      <c r="E83" s="5" t="s">
        <v>400</v>
      </c>
      <c r="F83" s="5" t="s">
        <v>401</v>
      </c>
      <c r="G83" s="5" t="s">
        <v>402</v>
      </c>
      <c r="H83" s="6">
        <v>1165.9609999999998</v>
      </c>
      <c r="I83" s="7">
        <f t="shared" si="7"/>
        <v>1165.9609999999998</v>
      </c>
      <c r="J83" s="18">
        <v>951.89400000000001</v>
      </c>
      <c r="K83" s="11"/>
      <c r="L83" s="12">
        <f t="shared" si="5"/>
        <v>2331.9219999999996</v>
      </c>
      <c r="M83" s="3">
        <f t="shared" si="6"/>
        <v>1165.9609999999998</v>
      </c>
      <c r="N83" s="4" t="s">
        <v>9</v>
      </c>
      <c r="O83" s="9">
        <f t="shared" si="8"/>
        <v>0.97163416666666647</v>
      </c>
      <c r="P83" s="10" t="s">
        <v>400</v>
      </c>
      <c r="Q83" s="9">
        <f t="shared" si="9"/>
        <v>102.02158749999998</v>
      </c>
    </row>
    <row r="84" spans="1:17" x14ac:dyDescent="0.25">
      <c r="A84" s="5" t="s">
        <v>109</v>
      </c>
      <c r="B84" s="5" t="s">
        <v>7</v>
      </c>
      <c r="C84" s="5" t="s">
        <v>24</v>
      </c>
      <c r="D84" s="5" t="s">
        <v>204</v>
      </c>
      <c r="E84" s="5" t="s">
        <v>269</v>
      </c>
      <c r="F84" s="5" t="s">
        <v>403</v>
      </c>
      <c r="G84" s="5" t="s">
        <v>404</v>
      </c>
      <c r="H84" s="6">
        <v>289.46019838056696</v>
      </c>
      <c r="I84" s="7">
        <f t="shared" si="7"/>
        <v>289.46019838056696</v>
      </c>
      <c r="J84" s="18">
        <v>1741.7610678137651</v>
      </c>
      <c r="K84" s="11"/>
      <c r="L84" s="12">
        <f t="shared" si="5"/>
        <v>578.92039676113393</v>
      </c>
      <c r="M84" s="3">
        <f t="shared" si="6"/>
        <v>289.46019838056696</v>
      </c>
      <c r="N84" s="4" t="s">
        <v>9</v>
      </c>
      <c r="O84" s="9">
        <f t="shared" si="8"/>
        <v>5.7892039676113394E-2</v>
      </c>
      <c r="P84" s="10" t="s">
        <v>421</v>
      </c>
      <c r="Q84" s="9">
        <f t="shared" si="9"/>
        <v>8.3943457530364416</v>
      </c>
    </row>
    <row r="85" spans="1:17" x14ac:dyDescent="0.25">
      <c r="A85" s="5" t="s">
        <v>110</v>
      </c>
      <c r="B85" s="5" t="s">
        <v>7</v>
      </c>
      <c r="C85" s="5" t="s">
        <v>24</v>
      </c>
      <c r="D85" s="5" t="s">
        <v>299</v>
      </c>
      <c r="E85" s="5" t="s">
        <v>405</v>
      </c>
      <c r="F85" s="5" t="s">
        <v>406</v>
      </c>
      <c r="G85" s="5" t="s">
        <v>407</v>
      </c>
      <c r="H85" s="6">
        <v>126.76773870801048</v>
      </c>
      <c r="I85" s="7">
        <f t="shared" si="7"/>
        <v>126.76773870801048</v>
      </c>
      <c r="J85" s="18">
        <v>155.58011948067229</v>
      </c>
      <c r="K85" s="11"/>
      <c r="L85" s="12">
        <f t="shared" si="5"/>
        <v>253.53547741602097</v>
      </c>
      <c r="M85" s="3">
        <f t="shared" si="6"/>
        <v>126.76773870801048</v>
      </c>
      <c r="N85" s="4" t="s">
        <v>9</v>
      </c>
      <c r="O85" s="9">
        <f t="shared" si="8"/>
        <v>5.0707095483204192</v>
      </c>
      <c r="P85" s="10" t="s">
        <v>405</v>
      </c>
      <c r="Q85" s="9">
        <f t="shared" si="9"/>
        <v>13.18384482563309</v>
      </c>
    </row>
    <row r="86" spans="1:17" x14ac:dyDescent="0.25">
      <c r="A86" s="5" t="s">
        <v>111</v>
      </c>
      <c r="B86" s="5" t="s">
        <v>7</v>
      </c>
      <c r="C86" s="5" t="s">
        <v>39</v>
      </c>
      <c r="D86" s="5" t="s">
        <v>408</v>
      </c>
      <c r="E86" s="5" t="s">
        <v>409</v>
      </c>
      <c r="F86" s="5" t="s">
        <v>410</v>
      </c>
      <c r="G86" s="5" t="s">
        <v>411</v>
      </c>
      <c r="H86" s="6">
        <v>26915.484890109892</v>
      </c>
      <c r="I86" s="7">
        <f t="shared" si="7"/>
        <v>26915.484890109892</v>
      </c>
      <c r="J86" s="18">
        <v>25206.892982017987</v>
      </c>
      <c r="K86" s="11"/>
      <c r="L86" s="12">
        <f t="shared" si="5"/>
        <v>53830.969780219784</v>
      </c>
      <c r="M86" s="3">
        <f t="shared" si="6"/>
        <v>26915.484890109892</v>
      </c>
      <c r="N86" s="4" t="s">
        <v>48</v>
      </c>
      <c r="O86" s="9">
        <f t="shared" si="8"/>
        <v>4.8937245254745259</v>
      </c>
      <c r="P86" s="10" t="s">
        <v>421</v>
      </c>
      <c r="Q86" s="9">
        <f t="shared" si="9"/>
        <v>729.16495429570432</v>
      </c>
    </row>
    <row r="87" spans="1:17" x14ac:dyDescent="0.25">
      <c r="A87" s="5" t="s">
        <v>112</v>
      </c>
      <c r="B87" s="5" t="s">
        <v>12</v>
      </c>
      <c r="C87" s="5" t="s">
        <v>13</v>
      </c>
      <c r="D87" s="5" t="s">
        <v>235</v>
      </c>
      <c r="E87" s="5" t="s">
        <v>412</v>
      </c>
      <c r="F87" s="5" t="s">
        <v>263</v>
      </c>
      <c r="G87" s="5" t="s">
        <v>413</v>
      </c>
      <c r="H87" s="6">
        <v>53307.276525603942</v>
      </c>
      <c r="I87" s="7">
        <f t="shared" si="7"/>
        <v>53307.276525603942</v>
      </c>
      <c r="J87" s="18">
        <v>50541.917542583593</v>
      </c>
      <c r="K87" s="11"/>
      <c r="L87" s="12">
        <f t="shared" si="5"/>
        <v>106614.55305120788</v>
      </c>
      <c r="M87" s="3">
        <f t="shared" si="6"/>
        <v>53307.276525603942</v>
      </c>
      <c r="N87" s="4" t="s">
        <v>22</v>
      </c>
      <c r="O87" s="9">
        <f t="shared" si="8"/>
        <v>8.8845460876006577</v>
      </c>
      <c r="P87" s="10" t="s">
        <v>421</v>
      </c>
      <c r="Q87" s="9">
        <f t="shared" si="9"/>
        <v>533.07276525603947</v>
      </c>
    </row>
    <row r="88" spans="1:17" x14ac:dyDescent="0.25">
      <c r="A88" s="5" t="s">
        <v>113</v>
      </c>
      <c r="B88" s="5" t="s">
        <v>12</v>
      </c>
      <c r="C88" s="5" t="s">
        <v>13</v>
      </c>
      <c r="D88" s="5" t="s">
        <v>414</v>
      </c>
      <c r="E88" s="5" t="s">
        <v>415</v>
      </c>
      <c r="F88" s="5" t="s">
        <v>416</v>
      </c>
      <c r="G88" s="5" t="s">
        <v>417</v>
      </c>
      <c r="H88" s="6">
        <v>3260.214864491546</v>
      </c>
      <c r="I88" s="7">
        <f t="shared" si="7"/>
        <v>3260.214864491546</v>
      </c>
      <c r="J88" s="18">
        <v>3180.972852345797</v>
      </c>
      <c r="K88" s="11"/>
      <c r="L88" s="12">
        <f t="shared" si="5"/>
        <v>6520.429728983092</v>
      </c>
      <c r="M88" s="3">
        <f t="shared" si="6"/>
        <v>3260.214864491546</v>
      </c>
      <c r="N88" s="4" t="s">
        <v>9</v>
      </c>
      <c r="O88" s="9">
        <f t="shared" si="8"/>
        <v>2.0979503632506731</v>
      </c>
      <c r="P88" s="10" t="s">
        <v>421</v>
      </c>
      <c r="Q88" s="9">
        <f t="shared" si="9"/>
        <v>241.26429177382741</v>
      </c>
    </row>
    <row r="89" spans="1:17" x14ac:dyDescent="0.25">
      <c r="A89" s="5" t="s">
        <v>114</v>
      </c>
      <c r="B89" s="5" t="s">
        <v>7</v>
      </c>
      <c r="C89" s="5" t="s">
        <v>34</v>
      </c>
      <c r="D89" s="5" t="s">
        <v>362</v>
      </c>
      <c r="E89" s="5" t="s">
        <v>418</v>
      </c>
      <c r="F89" s="5" t="s">
        <v>399</v>
      </c>
      <c r="G89" s="5" t="s">
        <v>419</v>
      </c>
      <c r="H89" s="6">
        <v>1890.625</v>
      </c>
      <c r="I89" s="7">
        <f t="shared" si="7"/>
        <v>1890.625</v>
      </c>
      <c r="J89" s="18">
        <v>8072.916666666667</v>
      </c>
      <c r="K89" s="11"/>
      <c r="L89" s="12">
        <f t="shared" si="5"/>
        <v>3781.25</v>
      </c>
      <c r="M89" s="3">
        <f t="shared" si="6"/>
        <v>1890.625</v>
      </c>
      <c r="N89" s="4" t="s">
        <v>16</v>
      </c>
      <c r="O89" s="9">
        <f t="shared" si="8"/>
        <v>0.47265625</v>
      </c>
      <c r="P89" s="10" t="s">
        <v>557</v>
      </c>
      <c r="Q89" s="9">
        <f t="shared" si="9"/>
        <v>118.1640625</v>
      </c>
    </row>
    <row r="90" spans="1:17" x14ac:dyDescent="0.25">
      <c r="A90" s="5" t="s">
        <v>115</v>
      </c>
      <c r="B90" s="5" t="s">
        <v>7</v>
      </c>
      <c r="C90" s="5" t="s">
        <v>24</v>
      </c>
      <c r="D90" s="5" t="s">
        <v>420</v>
      </c>
      <c r="E90" s="5" t="s">
        <v>421</v>
      </c>
      <c r="F90" s="5" t="s">
        <v>422</v>
      </c>
      <c r="G90" s="5" t="s">
        <v>423</v>
      </c>
      <c r="H90" s="6">
        <v>4366.7389384702092</v>
      </c>
      <c r="I90" s="7">
        <f t="shared" si="7"/>
        <v>4366.7389384702092</v>
      </c>
      <c r="J90" s="18">
        <v>4152.1890178590029</v>
      </c>
      <c r="K90" s="11"/>
      <c r="L90" s="12">
        <f t="shared" si="5"/>
        <v>8733.4778769404184</v>
      </c>
      <c r="M90" s="3">
        <f t="shared" si="6"/>
        <v>4366.7389384702092</v>
      </c>
      <c r="N90" s="4" t="s">
        <v>9</v>
      </c>
      <c r="O90" s="9">
        <f t="shared" si="8"/>
        <v>1.5162287980799338</v>
      </c>
      <c r="P90" s="10" t="s">
        <v>421</v>
      </c>
      <c r="Q90" s="9">
        <f t="shared" si="9"/>
        <v>133.42813423103416</v>
      </c>
    </row>
    <row r="91" spans="1:17" x14ac:dyDescent="0.25">
      <c r="A91" s="5" t="s">
        <v>116</v>
      </c>
      <c r="B91" s="5" t="s">
        <v>7</v>
      </c>
      <c r="C91" s="5" t="s">
        <v>13</v>
      </c>
      <c r="D91" s="5" t="s">
        <v>424</v>
      </c>
      <c r="E91" s="5" t="s">
        <v>425</v>
      </c>
      <c r="F91" s="5" t="s">
        <v>282</v>
      </c>
      <c r="G91" s="5" t="s">
        <v>426</v>
      </c>
      <c r="H91" s="6">
        <v>72845.380086627221</v>
      </c>
      <c r="I91" s="7">
        <f t="shared" si="7"/>
        <v>72845.380086627221</v>
      </c>
      <c r="J91" s="18">
        <v>67735.263761181122</v>
      </c>
      <c r="K91" s="11"/>
      <c r="L91" s="12">
        <f t="shared" si="5"/>
        <v>145690.76017325444</v>
      </c>
      <c r="M91" s="3">
        <f t="shared" si="6"/>
        <v>72845.380086627221</v>
      </c>
      <c r="N91" s="4" t="s">
        <v>22</v>
      </c>
      <c r="O91" s="9">
        <f t="shared" si="8"/>
        <v>9.8439702819766524</v>
      </c>
      <c r="P91" s="10" t="s">
        <v>421</v>
      </c>
      <c r="Q91" s="9">
        <f t="shared" si="9"/>
        <v>935.17717678778195</v>
      </c>
    </row>
    <row r="92" spans="1:17" x14ac:dyDescent="0.25">
      <c r="A92" s="5" t="s">
        <v>117</v>
      </c>
      <c r="B92" s="5" t="s">
        <v>12</v>
      </c>
      <c r="C92" s="5" t="s">
        <v>39</v>
      </c>
      <c r="D92" s="5" t="s">
        <v>235</v>
      </c>
      <c r="E92" s="5" t="s">
        <v>288</v>
      </c>
      <c r="F92" s="5" t="s">
        <v>428</v>
      </c>
      <c r="G92" s="5" t="s">
        <v>429</v>
      </c>
      <c r="H92" s="6">
        <v>88279.250165684818</v>
      </c>
      <c r="I92" s="7">
        <f t="shared" si="7"/>
        <v>88279.250165684818</v>
      </c>
      <c r="J92" s="18">
        <v>83383.475392607434</v>
      </c>
      <c r="K92" s="11"/>
      <c r="L92" s="12">
        <f t="shared" si="5"/>
        <v>176558.50033136964</v>
      </c>
      <c r="M92" s="3">
        <f t="shared" si="6"/>
        <v>88279.250165684818</v>
      </c>
      <c r="N92" s="4" t="s">
        <v>22</v>
      </c>
      <c r="O92" s="9">
        <f t="shared" si="8"/>
        <v>14.713208360947469</v>
      </c>
      <c r="P92" s="10" t="s">
        <v>421</v>
      </c>
      <c r="Q92" s="9">
        <f t="shared" si="9"/>
        <v>742.13422972619026</v>
      </c>
    </row>
    <row r="93" spans="1:17" x14ac:dyDescent="0.25">
      <c r="A93" s="5" t="s">
        <v>118</v>
      </c>
      <c r="B93" s="5" t="s">
        <v>7</v>
      </c>
      <c r="C93" s="5" t="s">
        <v>39</v>
      </c>
      <c r="D93" s="5" t="s">
        <v>204</v>
      </c>
      <c r="E93" s="5" t="s">
        <v>259</v>
      </c>
      <c r="F93" s="5" t="s">
        <v>430</v>
      </c>
      <c r="G93" s="5" t="s">
        <v>274</v>
      </c>
      <c r="H93" s="6">
        <v>3634.9642857142858</v>
      </c>
      <c r="I93" s="7">
        <f t="shared" si="7"/>
        <v>3634.9642857142858</v>
      </c>
      <c r="J93" s="18">
        <v>3303.7857142857147</v>
      </c>
      <c r="K93" s="11"/>
      <c r="L93" s="12">
        <f t="shared" si="5"/>
        <v>7269.9285714285716</v>
      </c>
      <c r="M93" s="3">
        <f t="shared" si="6"/>
        <v>3634.9642857142858</v>
      </c>
      <c r="N93" s="4" t="s">
        <v>9</v>
      </c>
      <c r="O93" s="9">
        <f t="shared" si="8"/>
        <v>0.72699285714285711</v>
      </c>
      <c r="P93" s="10" t="s">
        <v>556</v>
      </c>
      <c r="Q93" s="9">
        <f t="shared" si="9"/>
        <v>101.779</v>
      </c>
    </row>
    <row r="94" spans="1:17" x14ac:dyDescent="0.25">
      <c r="A94" s="5" t="s">
        <v>119</v>
      </c>
      <c r="B94" s="5" t="s">
        <v>7</v>
      </c>
      <c r="C94" s="5" t="s">
        <v>34</v>
      </c>
      <c r="D94" s="5" t="s">
        <v>195</v>
      </c>
      <c r="E94" s="5" t="s">
        <v>196</v>
      </c>
      <c r="F94" s="5" t="s">
        <v>431</v>
      </c>
      <c r="G94" s="5" t="s">
        <v>431</v>
      </c>
      <c r="H94" s="6">
        <v>2171.4285714285716</v>
      </c>
      <c r="I94" s="7">
        <f t="shared" si="7"/>
        <v>2171.4285714285716</v>
      </c>
      <c r="J94" s="18">
        <v>1794.2857142857144</v>
      </c>
      <c r="K94" s="11"/>
      <c r="L94" s="12">
        <f t="shared" si="5"/>
        <v>4342.8571428571431</v>
      </c>
      <c r="M94" s="3">
        <f t="shared" si="6"/>
        <v>2171.4285714285716</v>
      </c>
      <c r="N94" s="4" t="s">
        <v>9</v>
      </c>
      <c r="O94" s="9">
        <f t="shared" si="8"/>
        <v>4.3428571428571434</v>
      </c>
      <c r="P94" s="10" t="s">
        <v>196</v>
      </c>
      <c r="Q94" s="9">
        <f t="shared" si="9"/>
        <v>30.226285714285719</v>
      </c>
    </row>
    <row r="95" spans="1:17" x14ac:dyDescent="0.25">
      <c r="A95" s="5" t="s">
        <v>120</v>
      </c>
      <c r="B95" s="5" t="s">
        <v>7</v>
      </c>
      <c r="C95" s="5" t="s">
        <v>39</v>
      </c>
      <c r="D95" s="5" t="s">
        <v>432</v>
      </c>
      <c r="E95" s="5" t="s">
        <v>433</v>
      </c>
      <c r="F95" s="5" t="s">
        <v>434</v>
      </c>
      <c r="G95" s="5" t="s">
        <v>435</v>
      </c>
      <c r="H95" s="6">
        <v>50550.801453491833</v>
      </c>
      <c r="I95" s="7">
        <f t="shared" si="7"/>
        <v>50550.801453491833</v>
      </c>
      <c r="J95" s="18">
        <v>50532.32440662774</v>
      </c>
      <c r="K95" s="11"/>
      <c r="L95" s="12">
        <f t="shared" si="5"/>
        <v>101101.60290698367</v>
      </c>
      <c r="M95" s="3">
        <f t="shared" si="6"/>
        <v>50550.801453491833</v>
      </c>
      <c r="N95" s="4" t="s">
        <v>48</v>
      </c>
      <c r="O95" s="9">
        <f t="shared" si="8"/>
        <v>10.989304663802573</v>
      </c>
      <c r="P95" s="10" t="s">
        <v>421</v>
      </c>
      <c r="Q95" s="9">
        <f t="shared" si="9"/>
        <v>1813.2352695274244</v>
      </c>
    </row>
    <row r="96" spans="1:17" x14ac:dyDescent="0.25">
      <c r="A96" s="5" t="s">
        <v>569</v>
      </c>
      <c r="B96" s="5" t="s">
        <v>7</v>
      </c>
      <c r="C96" s="5" t="s">
        <v>24</v>
      </c>
      <c r="D96" s="5" t="s">
        <v>195</v>
      </c>
      <c r="E96" s="5" t="s">
        <v>196</v>
      </c>
      <c r="F96" s="5" t="s">
        <v>224</v>
      </c>
      <c r="G96" s="5" t="s">
        <v>224</v>
      </c>
      <c r="H96" s="6">
        <v>47.653194263363744</v>
      </c>
      <c r="I96" s="7">
        <f t="shared" si="7"/>
        <v>47.653194263363744</v>
      </c>
      <c r="J96" s="18" t="e">
        <v>#N/A</v>
      </c>
      <c r="K96" s="11"/>
      <c r="L96" s="12">
        <f t="shared" si="5"/>
        <v>95.306388526727488</v>
      </c>
      <c r="M96" s="3">
        <f t="shared" si="6"/>
        <v>47.653194263363744</v>
      </c>
      <c r="N96" s="4" t="e">
        <v>#N/A</v>
      </c>
      <c r="O96" s="9">
        <f t="shared" si="8"/>
        <v>9.5306388526727487E-2</v>
      </c>
      <c r="P96" s="10" t="e">
        <v>#N/A</v>
      </c>
      <c r="Q96" s="9">
        <f t="shared" si="9"/>
        <v>0</v>
      </c>
    </row>
    <row r="97" spans="1:17" x14ac:dyDescent="0.25">
      <c r="A97" s="5" t="s">
        <v>121</v>
      </c>
      <c r="B97" s="5" t="s">
        <v>7</v>
      </c>
      <c r="C97" s="5" t="s">
        <v>13</v>
      </c>
      <c r="D97" s="5" t="s">
        <v>436</v>
      </c>
      <c r="E97" s="5" t="s">
        <v>437</v>
      </c>
      <c r="F97" s="5" t="s">
        <v>438</v>
      </c>
      <c r="G97" s="5" t="s">
        <v>439</v>
      </c>
      <c r="H97" s="6">
        <v>20417.685357025344</v>
      </c>
      <c r="I97" s="7">
        <f t="shared" si="7"/>
        <v>20417.685357025344</v>
      </c>
      <c r="J97" s="18">
        <v>18833.824664957909</v>
      </c>
      <c r="K97" s="11"/>
      <c r="L97" s="12">
        <f t="shared" si="5"/>
        <v>40835.370714050689</v>
      </c>
      <c r="M97" s="3">
        <f t="shared" si="6"/>
        <v>20417.685357025344</v>
      </c>
      <c r="N97" s="4" t="s">
        <v>22</v>
      </c>
      <c r="O97" s="9">
        <f t="shared" si="8"/>
        <v>2.7007520313525588</v>
      </c>
      <c r="P97" s="10" t="s">
        <v>421</v>
      </c>
      <c r="Q97" s="9">
        <f t="shared" si="9"/>
        <v>459.12784532993498</v>
      </c>
    </row>
    <row r="98" spans="1:17" x14ac:dyDescent="0.25">
      <c r="A98" s="5" t="s">
        <v>122</v>
      </c>
      <c r="B98" s="5" t="s">
        <v>7</v>
      </c>
      <c r="C98" s="5" t="s">
        <v>8</v>
      </c>
      <c r="D98" s="5" t="s">
        <v>195</v>
      </c>
      <c r="E98" s="5" t="s">
        <v>196</v>
      </c>
      <c r="F98" s="5" t="s">
        <v>440</v>
      </c>
      <c r="G98" s="5" t="s">
        <v>440</v>
      </c>
      <c r="H98" s="6">
        <v>178.61857142857144</v>
      </c>
      <c r="I98" s="7">
        <f t="shared" si="7"/>
        <v>178.61857142857144</v>
      </c>
      <c r="J98" s="18">
        <v>829.55714285714294</v>
      </c>
      <c r="K98" s="11"/>
      <c r="L98" s="12">
        <f t="shared" si="5"/>
        <v>357.23714285714289</v>
      </c>
      <c r="M98" s="3">
        <f t="shared" si="6"/>
        <v>178.61857142857144</v>
      </c>
      <c r="N98" s="4" t="s">
        <v>9</v>
      </c>
      <c r="O98" s="9">
        <f t="shared" si="8"/>
        <v>0.35723714285714286</v>
      </c>
      <c r="P98" s="10" t="s">
        <v>196</v>
      </c>
      <c r="Q98" s="9">
        <f t="shared" si="9"/>
        <v>4.6440828571428572</v>
      </c>
    </row>
    <row r="99" spans="1:17" x14ac:dyDescent="0.25">
      <c r="A99" s="5" t="s">
        <v>187</v>
      </c>
      <c r="B99" s="5" t="s">
        <v>7</v>
      </c>
      <c r="C99" s="5" t="s">
        <v>87</v>
      </c>
      <c r="D99" s="5" t="s">
        <v>208</v>
      </c>
      <c r="E99" s="5" t="s">
        <v>567</v>
      </c>
      <c r="F99" s="5" t="s">
        <v>568</v>
      </c>
      <c r="G99" s="5" t="s">
        <v>570</v>
      </c>
      <c r="H99" s="6">
        <v>10639.438943894389</v>
      </c>
      <c r="I99" s="7">
        <f t="shared" si="7"/>
        <v>10639.438943894389</v>
      </c>
      <c r="J99" s="18">
        <v>9235.6435643564328</v>
      </c>
      <c r="K99" s="11"/>
      <c r="L99" s="12">
        <f t="shared" si="5"/>
        <v>21278.877887788778</v>
      </c>
      <c r="M99" s="3">
        <f t="shared" si="6"/>
        <v>10639.438943894389</v>
      </c>
      <c r="N99" s="4" t="s">
        <v>9</v>
      </c>
      <c r="O99" s="9">
        <f t="shared" si="8"/>
        <v>3.5464796479647962</v>
      </c>
      <c r="P99" s="10" t="s">
        <v>427</v>
      </c>
      <c r="Q99" s="9">
        <f t="shared" si="9"/>
        <v>645.45929592959294</v>
      </c>
    </row>
    <row r="100" spans="1:17" x14ac:dyDescent="0.25">
      <c r="A100" s="5" t="s">
        <v>123</v>
      </c>
      <c r="B100" s="5" t="s">
        <v>12</v>
      </c>
      <c r="C100" s="5" t="s">
        <v>26</v>
      </c>
      <c r="D100" s="5" t="s">
        <v>204</v>
      </c>
      <c r="E100" s="5" t="s">
        <v>441</v>
      </c>
      <c r="F100" s="5" t="s">
        <v>349</v>
      </c>
      <c r="G100" s="5" t="s">
        <v>442</v>
      </c>
      <c r="H100" s="6">
        <v>3786.3441604364516</v>
      </c>
      <c r="I100" s="7">
        <f t="shared" si="7"/>
        <v>3786.3441604364516</v>
      </c>
      <c r="J100" s="18">
        <v>3655.7362648357048</v>
      </c>
      <c r="K100" s="11"/>
      <c r="L100" s="12">
        <f t="shared" si="5"/>
        <v>7572.6883208729032</v>
      </c>
      <c r="M100" s="3">
        <f t="shared" si="6"/>
        <v>3786.3441604364516</v>
      </c>
      <c r="N100" s="4" t="s">
        <v>22</v>
      </c>
      <c r="O100" s="9">
        <f t="shared" si="8"/>
        <v>0.75726883208729034</v>
      </c>
      <c r="P100" s="10" t="s">
        <v>559</v>
      </c>
      <c r="Q100" s="9">
        <f t="shared" si="9"/>
        <v>117.37666897353</v>
      </c>
    </row>
    <row r="101" spans="1:17" x14ac:dyDescent="0.25">
      <c r="A101" s="5" t="s">
        <v>124</v>
      </c>
      <c r="B101" s="5" t="s">
        <v>7</v>
      </c>
      <c r="C101" s="5" t="s">
        <v>24</v>
      </c>
      <c r="D101" s="5" t="s">
        <v>195</v>
      </c>
      <c r="E101" s="5" t="s">
        <v>196</v>
      </c>
      <c r="F101" s="5" t="s">
        <v>443</v>
      </c>
      <c r="G101" s="5" t="s">
        <v>443</v>
      </c>
      <c r="H101" s="6">
        <v>1695.0644594808939</v>
      </c>
      <c r="I101" s="7">
        <f t="shared" si="7"/>
        <v>1695.0644594808939</v>
      </c>
      <c r="J101" s="18">
        <v>1296.622797112381</v>
      </c>
      <c r="K101" s="11"/>
      <c r="L101" s="12">
        <f t="shared" si="5"/>
        <v>3390.1289189617878</v>
      </c>
      <c r="M101" s="3">
        <f t="shared" si="6"/>
        <v>1695.0644594808939</v>
      </c>
      <c r="N101" s="4" t="s">
        <v>9</v>
      </c>
      <c r="O101" s="9">
        <f t="shared" si="8"/>
        <v>3.3901289189617878</v>
      </c>
      <c r="P101" s="10" t="s">
        <v>196</v>
      </c>
      <c r="Q101" s="9">
        <f t="shared" si="9"/>
        <v>40.681547027541455</v>
      </c>
    </row>
    <row r="102" spans="1:17" x14ac:dyDescent="0.25">
      <c r="A102" s="5" t="s">
        <v>125</v>
      </c>
      <c r="B102" s="5" t="s">
        <v>7</v>
      </c>
      <c r="C102" s="5" t="s">
        <v>15</v>
      </c>
      <c r="D102" s="5" t="s">
        <v>212</v>
      </c>
      <c r="E102" s="5" t="s">
        <v>444</v>
      </c>
      <c r="F102" s="5" t="s">
        <v>445</v>
      </c>
      <c r="G102" s="5" t="s">
        <v>446</v>
      </c>
      <c r="H102" s="6">
        <v>513.95921962795558</v>
      </c>
      <c r="I102" s="7">
        <f t="shared" si="7"/>
        <v>513.95921962795558</v>
      </c>
      <c r="J102" s="18">
        <v>464.7719659926276</v>
      </c>
      <c r="K102" s="11"/>
      <c r="L102" s="12">
        <f t="shared" si="5"/>
        <v>1027.9184392559112</v>
      </c>
      <c r="M102" s="3">
        <f t="shared" si="6"/>
        <v>513.95921962795558</v>
      </c>
      <c r="N102" s="4" t="s">
        <v>9</v>
      </c>
      <c r="O102" s="9">
        <f t="shared" si="8"/>
        <v>10.279184392559111</v>
      </c>
      <c r="P102" s="10" t="s">
        <v>559</v>
      </c>
      <c r="Q102" s="9">
        <f t="shared" si="9"/>
        <v>35.977145373956887</v>
      </c>
    </row>
    <row r="103" spans="1:17" x14ac:dyDescent="0.25">
      <c r="A103" s="5" t="s">
        <v>126</v>
      </c>
      <c r="B103" s="5" t="s">
        <v>12</v>
      </c>
      <c r="C103" s="5" t="s">
        <v>13</v>
      </c>
      <c r="D103" s="5" t="s">
        <v>347</v>
      </c>
      <c r="E103" s="5" t="s">
        <v>447</v>
      </c>
      <c r="F103" s="5" t="s">
        <v>254</v>
      </c>
      <c r="G103" s="5" t="s">
        <v>448</v>
      </c>
      <c r="H103" s="6">
        <v>2310.0966969446745</v>
      </c>
      <c r="I103" s="7">
        <f t="shared" si="7"/>
        <v>2310.0966969446745</v>
      </c>
      <c r="J103" s="18">
        <v>2349.0033983357689</v>
      </c>
      <c r="K103" s="11"/>
      <c r="L103" s="12">
        <f t="shared" si="5"/>
        <v>4620.193393889349</v>
      </c>
      <c r="M103" s="3">
        <f t="shared" si="6"/>
        <v>2310.0966969446745</v>
      </c>
      <c r="N103" s="4" t="s">
        <v>9</v>
      </c>
      <c r="O103" s="9">
        <f t="shared" si="8"/>
        <v>0.64169352692907622</v>
      </c>
      <c r="P103" s="10" t="s">
        <v>421</v>
      </c>
      <c r="Q103" s="9">
        <f t="shared" si="9"/>
        <v>68.66120738141116</v>
      </c>
    </row>
    <row r="104" spans="1:17" x14ac:dyDescent="0.25">
      <c r="A104" s="5" t="s">
        <v>127</v>
      </c>
      <c r="B104" s="5" t="s">
        <v>7</v>
      </c>
      <c r="C104" s="5" t="s">
        <v>24</v>
      </c>
      <c r="D104" s="5" t="s">
        <v>449</v>
      </c>
      <c r="E104" s="5" t="s">
        <v>450</v>
      </c>
      <c r="F104" s="5" t="s">
        <v>451</v>
      </c>
      <c r="G104" s="5" t="s">
        <v>452</v>
      </c>
      <c r="H104" s="6">
        <v>1301.5674881442267</v>
      </c>
      <c r="I104" s="7">
        <f t="shared" si="7"/>
        <v>1301.5674881442267</v>
      </c>
      <c r="J104" s="18">
        <v>1071.8156347118297</v>
      </c>
      <c r="K104" s="11"/>
      <c r="L104" s="12">
        <f t="shared" si="5"/>
        <v>2603.1349762884533</v>
      </c>
      <c r="M104" s="3">
        <f t="shared" si="6"/>
        <v>1301.5674881442267</v>
      </c>
      <c r="N104" s="4" t="s">
        <v>9</v>
      </c>
      <c r="O104" s="9">
        <f t="shared" si="8"/>
        <v>0.95562958013526189</v>
      </c>
      <c r="P104" s="10" t="s">
        <v>421</v>
      </c>
      <c r="Q104" s="9">
        <f t="shared" si="9"/>
        <v>167.23517652367084</v>
      </c>
    </row>
    <row r="105" spans="1:17" x14ac:dyDescent="0.25">
      <c r="A105" s="5" t="s">
        <v>128</v>
      </c>
      <c r="B105" s="5" t="s">
        <v>7</v>
      </c>
      <c r="C105" s="5" t="s">
        <v>39</v>
      </c>
      <c r="D105" s="5" t="s">
        <v>449</v>
      </c>
      <c r="E105" s="5" t="s">
        <v>453</v>
      </c>
      <c r="F105" s="5" t="s">
        <v>454</v>
      </c>
      <c r="G105" s="5" t="s">
        <v>455</v>
      </c>
      <c r="H105" s="6">
        <v>4438.4196550921652</v>
      </c>
      <c r="I105" s="7">
        <f t="shared" si="7"/>
        <v>4438.4196550921652</v>
      </c>
      <c r="J105" s="18">
        <v>2980.0364397854873</v>
      </c>
      <c r="K105" s="11"/>
      <c r="L105" s="12">
        <f t="shared" si="5"/>
        <v>8876.8393101843303</v>
      </c>
      <c r="M105" s="3">
        <f t="shared" si="6"/>
        <v>4438.4196550921652</v>
      </c>
      <c r="N105" s="4" t="s">
        <v>48</v>
      </c>
      <c r="O105" s="9">
        <f t="shared" si="8"/>
        <v>3.2587515822996806</v>
      </c>
      <c r="P105" s="10" t="s">
        <v>421</v>
      </c>
      <c r="Q105" s="9">
        <f t="shared" si="9"/>
        <v>602.86904272544098</v>
      </c>
    </row>
    <row r="106" spans="1:17" x14ac:dyDescent="0.25">
      <c r="A106" s="5" t="s">
        <v>129</v>
      </c>
      <c r="B106" s="5" t="s">
        <v>7</v>
      </c>
      <c r="C106" s="5" t="s">
        <v>87</v>
      </c>
      <c r="D106" s="5" t="s">
        <v>265</v>
      </c>
      <c r="E106" s="5" t="s">
        <v>456</v>
      </c>
      <c r="F106" s="5" t="s">
        <v>242</v>
      </c>
      <c r="G106" s="5" t="s">
        <v>457</v>
      </c>
      <c r="H106" s="6">
        <v>5148</v>
      </c>
      <c r="I106" s="7">
        <f t="shared" si="7"/>
        <v>5148</v>
      </c>
      <c r="J106" s="18">
        <v>7104</v>
      </c>
      <c r="K106" s="11"/>
      <c r="L106" s="12">
        <f t="shared" si="5"/>
        <v>10296</v>
      </c>
      <c r="M106" s="3">
        <f t="shared" si="6"/>
        <v>5148</v>
      </c>
      <c r="N106" s="4" t="s">
        <v>22</v>
      </c>
      <c r="O106" s="9">
        <f t="shared" si="8"/>
        <v>0.95333333333333337</v>
      </c>
      <c r="P106" s="10" t="s">
        <v>421</v>
      </c>
      <c r="Q106" s="9">
        <f t="shared" si="9"/>
        <v>85.8</v>
      </c>
    </row>
    <row r="107" spans="1:17" x14ac:dyDescent="0.25">
      <c r="A107" s="5" t="s">
        <v>130</v>
      </c>
      <c r="B107" s="5" t="s">
        <v>7</v>
      </c>
      <c r="C107" s="5" t="s">
        <v>87</v>
      </c>
      <c r="D107" s="5" t="s">
        <v>458</v>
      </c>
      <c r="E107" s="5" t="s">
        <v>459</v>
      </c>
      <c r="F107" s="5" t="s">
        <v>434</v>
      </c>
      <c r="G107" s="5" t="s">
        <v>460</v>
      </c>
      <c r="H107" s="6">
        <v>7822.4760056100977</v>
      </c>
      <c r="I107" s="7">
        <f t="shared" si="7"/>
        <v>7822.4760056100977</v>
      </c>
      <c r="J107" s="18">
        <v>7273.7599663394094</v>
      </c>
      <c r="K107" s="11"/>
      <c r="L107" s="12">
        <f t="shared" si="5"/>
        <v>15644.952011220195</v>
      </c>
      <c r="M107" s="3">
        <f t="shared" si="6"/>
        <v>7822.4760056100977</v>
      </c>
      <c r="N107" s="4" t="s">
        <v>22</v>
      </c>
      <c r="O107" s="9">
        <f t="shared" si="8"/>
        <v>2.8716872267291107</v>
      </c>
      <c r="P107" s="10" t="s">
        <v>421</v>
      </c>
      <c r="Q107" s="9">
        <f t="shared" si="9"/>
        <v>473.82839241030325</v>
      </c>
    </row>
    <row r="108" spans="1:17" x14ac:dyDescent="0.25">
      <c r="A108" s="5" t="s">
        <v>131</v>
      </c>
      <c r="B108" s="5" t="s">
        <v>7</v>
      </c>
      <c r="C108" s="5" t="s">
        <v>87</v>
      </c>
      <c r="D108" s="5" t="s">
        <v>265</v>
      </c>
      <c r="E108" s="5" t="s">
        <v>456</v>
      </c>
      <c r="F108" s="5" t="s">
        <v>282</v>
      </c>
      <c r="G108" s="5" t="s">
        <v>461</v>
      </c>
      <c r="H108" s="6">
        <v>8980.4081632653051</v>
      </c>
      <c r="I108" s="7">
        <f t="shared" si="7"/>
        <v>8980.4081632653051</v>
      </c>
      <c r="J108" s="18">
        <v>7741.224489795919</v>
      </c>
      <c r="K108" s="11"/>
      <c r="L108" s="12">
        <f t="shared" si="5"/>
        <v>17960.81632653061</v>
      </c>
      <c r="M108" s="3">
        <f t="shared" si="6"/>
        <v>8980.4081632653051</v>
      </c>
      <c r="N108" s="4" t="s">
        <v>22</v>
      </c>
      <c r="O108" s="9">
        <f t="shared" si="8"/>
        <v>1.6630385487528343</v>
      </c>
      <c r="P108" s="10" t="s">
        <v>421</v>
      </c>
      <c r="Q108" s="9">
        <f t="shared" si="9"/>
        <v>157.98866213151925</v>
      </c>
    </row>
    <row r="109" spans="1:17" x14ac:dyDescent="0.25">
      <c r="A109" s="5" t="s">
        <v>132</v>
      </c>
      <c r="B109" s="5" t="s">
        <v>7</v>
      </c>
      <c r="C109" s="5" t="s">
        <v>87</v>
      </c>
      <c r="D109" s="5" t="s">
        <v>265</v>
      </c>
      <c r="E109" s="5" t="s">
        <v>456</v>
      </c>
      <c r="F109" s="5" t="s">
        <v>212</v>
      </c>
      <c r="G109" s="5" t="s">
        <v>462</v>
      </c>
      <c r="H109" s="6">
        <v>4984.242424242424</v>
      </c>
      <c r="I109" s="7">
        <f t="shared" si="7"/>
        <v>4984.242424242424</v>
      </c>
      <c r="J109" s="18">
        <v>6264.242424242424</v>
      </c>
      <c r="K109" s="11"/>
      <c r="L109" s="12">
        <f t="shared" si="5"/>
        <v>9968.484848484848</v>
      </c>
      <c r="M109" s="3">
        <f t="shared" si="6"/>
        <v>4984.242424242424</v>
      </c>
      <c r="N109" s="4" t="s">
        <v>22</v>
      </c>
      <c r="O109" s="9">
        <f t="shared" si="8"/>
        <v>0.92300785634118965</v>
      </c>
      <c r="P109" s="10" t="s">
        <v>421</v>
      </c>
      <c r="Q109" s="9">
        <f t="shared" si="9"/>
        <v>92.300785634118967</v>
      </c>
    </row>
    <row r="110" spans="1:17" x14ac:dyDescent="0.25">
      <c r="A110" s="5" t="s">
        <v>133</v>
      </c>
      <c r="B110" s="5" t="s">
        <v>7</v>
      </c>
      <c r="C110" s="5" t="s">
        <v>87</v>
      </c>
      <c r="D110" s="5" t="s">
        <v>265</v>
      </c>
      <c r="E110" s="5" t="s">
        <v>456</v>
      </c>
      <c r="F110" s="5" t="s">
        <v>352</v>
      </c>
      <c r="G110" s="5" t="s">
        <v>463</v>
      </c>
      <c r="H110" s="6">
        <v>12309.490099009901</v>
      </c>
      <c r="I110" s="7">
        <f t="shared" si="7"/>
        <v>12309.490099009901</v>
      </c>
      <c r="J110" s="18">
        <v>11068.091089108913</v>
      </c>
      <c r="K110" s="11"/>
      <c r="L110" s="12">
        <f t="shared" si="5"/>
        <v>24618.980198019803</v>
      </c>
      <c r="M110" s="3">
        <f t="shared" si="6"/>
        <v>12309.490099009901</v>
      </c>
      <c r="N110" s="4" t="s">
        <v>22</v>
      </c>
      <c r="O110" s="9">
        <f t="shared" si="8"/>
        <v>2.2795352035203522</v>
      </c>
      <c r="P110" s="10" t="s">
        <v>421</v>
      </c>
      <c r="Q110" s="9">
        <f t="shared" si="9"/>
        <v>223.39444994499451</v>
      </c>
    </row>
    <row r="111" spans="1:17" x14ac:dyDescent="0.25">
      <c r="A111" s="5" t="s">
        <v>134</v>
      </c>
      <c r="B111" s="5" t="s">
        <v>7</v>
      </c>
      <c r="C111" s="5" t="s">
        <v>13</v>
      </c>
      <c r="D111" s="5" t="s">
        <v>280</v>
      </c>
      <c r="E111" s="5" t="s">
        <v>464</v>
      </c>
      <c r="F111" s="5" t="s">
        <v>465</v>
      </c>
      <c r="G111" s="5" t="s">
        <v>466</v>
      </c>
      <c r="H111" s="6">
        <v>2208</v>
      </c>
      <c r="I111" s="7">
        <f t="shared" si="7"/>
        <v>2208</v>
      </c>
      <c r="J111" s="18">
        <v>1920</v>
      </c>
      <c r="K111" s="11"/>
      <c r="L111" s="12">
        <f t="shared" si="5"/>
        <v>4416</v>
      </c>
      <c r="M111" s="3">
        <f t="shared" si="6"/>
        <v>2208</v>
      </c>
      <c r="N111" s="4" t="s">
        <v>22</v>
      </c>
      <c r="O111" s="9">
        <f t="shared" si="8"/>
        <v>0.46</v>
      </c>
      <c r="P111" s="10" t="s">
        <v>421</v>
      </c>
      <c r="Q111" s="9">
        <f t="shared" si="9"/>
        <v>112.7</v>
      </c>
    </row>
    <row r="112" spans="1:17" x14ac:dyDescent="0.25">
      <c r="A112" s="5" t="s">
        <v>135</v>
      </c>
      <c r="B112" s="5" t="s">
        <v>7</v>
      </c>
      <c r="C112" s="5" t="s">
        <v>8</v>
      </c>
      <c r="D112" s="5" t="s">
        <v>195</v>
      </c>
      <c r="E112" s="5" t="s">
        <v>196</v>
      </c>
      <c r="F112" s="5" t="s">
        <v>228</v>
      </c>
      <c r="G112" s="5" t="s">
        <v>228</v>
      </c>
      <c r="H112" s="6">
        <v>1188</v>
      </c>
      <c r="I112" s="7">
        <f t="shared" si="7"/>
        <v>1188</v>
      </c>
      <c r="J112" s="18">
        <v>1208.2222222222219</v>
      </c>
      <c r="K112" s="11"/>
      <c r="L112" s="12">
        <f t="shared" si="5"/>
        <v>2376</v>
      </c>
      <c r="M112" s="3">
        <f t="shared" si="6"/>
        <v>1188</v>
      </c>
      <c r="N112" s="4" t="s">
        <v>9</v>
      </c>
      <c r="O112" s="9">
        <f t="shared" si="8"/>
        <v>2.3759999999999999</v>
      </c>
      <c r="P112" s="10" t="s">
        <v>196</v>
      </c>
      <c r="Q112" s="9">
        <f t="shared" si="9"/>
        <v>166.32</v>
      </c>
    </row>
    <row r="113" spans="1:17" x14ac:dyDescent="0.25">
      <c r="A113" s="5" t="s">
        <v>136</v>
      </c>
      <c r="B113" s="5" t="s">
        <v>7</v>
      </c>
      <c r="C113" s="5" t="s">
        <v>39</v>
      </c>
      <c r="D113" s="5" t="s">
        <v>467</v>
      </c>
      <c r="E113" s="5" t="s">
        <v>468</v>
      </c>
      <c r="F113" s="5" t="s">
        <v>469</v>
      </c>
      <c r="G113" s="5" t="s">
        <v>470</v>
      </c>
      <c r="H113" s="6">
        <v>9873.125</v>
      </c>
      <c r="I113" s="7">
        <f t="shared" si="7"/>
        <v>9873.125</v>
      </c>
      <c r="J113" s="18">
        <v>9436.1805555555547</v>
      </c>
      <c r="K113" s="11"/>
      <c r="L113" s="12">
        <f t="shared" si="5"/>
        <v>19746.25</v>
      </c>
      <c r="M113" s="3">
        <f t="shared" si="6"/>
        <v>9873.125</v>
      </c>
      <c r="N113" s="4" t="s">
        <v>48</v>
      </c>
      <c r="O113" s="9">
        <f t="shared" si="8"/>
        <v>2.9918560606060605</v>
      </c>
      <c r="P113" s="10" t="s">
        <v>421</v>
      </c>
      <c r="Q113" s="9">
        <f t="shared" si="9"/>
        <v>688.12689393939388</v>
      </c>
    </row>
    <row r="114" spans="1:17" x14ac:dyDescent="0.25">
      <c r="A114" s="5" t="s">
        <v>137</v>
      </c>
      <c r="B114" s="5" t="s">
        <v>7</v>
      </c>
      <c r="C114" s="5" t="s">
        <v>8</v>
      </c>
      <c r="D114" s="5" t="s">
        <v>195</v>
      </c>
      <c r="E114" s="5" t="s">
        <v>196</v>
      </c>
      <c r="F114" s="5" t="s">
        <v>471</v>
      </c>
      <c r="G114" s="5" t="s">
        <v>471</v>
      </c>
      <c r="H114" s="6">
        <v>198</v>
      </c>
      <c r="I114" s="7">
        <f t="shared" si="7"/>
        <v>198</v>
      </c>
      <c r="J114" s="18">
        <v>780</v>
      </c>
      <c r="K114" s="11"/>
      <c r="L114" s="12">
        <f t="shared" si="5"/>
        <v>396</v>
      </c>
      <c r="M114" s="3">
        <f t="shared" si="6"/>
        <v>198</v>
      </c>
      <c r="N114" s="4" t="s">
        <v>9</v>
      </c>
      <c r="O114" s="9">
        <f t="shared" si="8"/>
        <v>0.39600000000000002</v>
      </c>
      <c r="P114" s="10" t="s">
        <v>196</v>
      </c>
      <c r="Q114" s="9">
        <f t="shared" si="9"/>
        <v>63.36</v>
      </c>
    </row>
    <row r="115" spans="1:17" x14ac:dyDescent="0.25">
      <c r="A115" s="5" t="s">
        <v>138</v>
      </c>
      <c r="B115" s="5" t="s">
        <v>7</v>
      </c>
      <c r="C115" s="5" t="s">
        <v>8</v>
      </c>
      <c r="D115" s="5" t="s">
        <v>195</v>
      </c>
      <c r="E115" s="5" t="s">
        <v>196</v>
      </c>
      <c r="F115" s="5" t="s">
        <v>472</v>
      </c>
      <c r="G115" s="5" t="s">
        <v>472</v>
      </c>
      <c r="H115" s="6">
        <v>2566.8000000000002</v>
      </c>
      <c r="I115" s="7">
        <f t="shared" si="7"/>
        <v>2566.8000000000002</v>
      </c>
      <c r="J115" s="18">
        <v>2442.8000000000002</v>
      </c>
      <c r="K115" s="11"/>
      <c r="L115" s="12">
        <f t="shared" si="5"/>
        <v>5133.6000000000004</v>
      </c>
      <c r="M115" s="3">
        <f t="shared" si="6"/>
        <v>2566.8000000000002</v>
      </c>
      <c r="N115" s="4" t="s">
        <v>9</v>
      </c>
      <c r="O115" s="9">
        <f t="shared" si="8"/>
        <v>5.1336000000000004</v>
      </c>
      <c r="P115" s="10" t="s">
        <v>196</v>
      </c>
      <c r="Q115" s="9">
        <f t="shared" si="9"/>
        <v>261.81360000000001</v>
      </c>
    </row>
    <row r="116" spans="1:17" x14ac:dyDescent="0.25">
      <c r="A116" s="5" t="s">
        <v>139</v>
      </c>
      <c r="B116" s="5" t="s">
        <v>7</v>
      </c>
      <c r="C116" s="5" t="s">
        <v>39</v>
      </c>
      <c r="D116" s="5" t="s">
        <v>225</v>
      </c>
      <c r="E116" s="5" t="s">
        <v>473</v>
      </c>
      <c r="F116" s="5" t="s">
        <v>212</v>
      </c>
      <c r="G116" s="5" t="s">
        <v>323</v>
      </c>
      <c r="H116" s="6">
        <v>1566</v>
      </c>
      <c r="I116" s="7">
        <f t="shared" si="7"/>
        <v>1566</v>
      </c>
      <c r="J116" s="18">
        <v>1694</v>
      </c>
      <c r="K116" s="11"/>
      <c r="L116" s="12">
        <f t="shared" si="5"/>
        <v>3132</v>
      </c>
      <c r="M116" s="3">
        <f t="shared" si="6"/>
        <v>1566</v>
      </c>
      <c r="N116" s="4" t="s">
        <v>16</v>
      </c>
      <c r="O116" s="9">
        <f t="shared" si="8"/>
        <v>0.62639999999999996</v>
      </c>
      <c r="P116" s="10" t="s">
        <v>556</v>
      </c>
      <c r="Q116" s="9">
        <f t="shared" si="9"/>
        <v>62.639999999999993</v>
      </c>
    </row>
    <row r="117" spans="1:17" x14ac:dyDescent="0.25">
      <c r="A117" s="5" t="s">
        <v>140</v>
      </c>
      <c r="B117" s="5" t="s">
        <v>7</v>
      </c>
      <c r="C117" s="5" t="s">
        <v>15</v>
      </c>
      <c r="D117" s="5" t="s">
        <v>195</v>
      </c>
      <c r="E117" s="5" t="s">
        <v>196</v>
      </c>
      <c r="F117" s="5" t="s">
        <v>474</v>
      </c>
      <c r="G117" s="5" t="s">
        <v>474</v>
      </c>
      <c r="H117" s="6">
        <v>28.333333333333336</v>
      </c>
      <c r="I117" s="7">
        <f t="shared" si="7"/>
        <v>28.333333333333336</v>
      </c>
      <c r="J117" s="18">
        <v>3968.9333333333334</v>
      </c>
      <c r="K117" s="11"/>
      <c r="L117" s="12">
        <f t="shared" si="5"/>
        <v>56.666666666666671</v>
      </c>
      <c r="M117" s="3">
        <f t="shared" si="6"/>
        <v>28.333333333333336</v>
      </c>
      <c r="N117" s="4" t="s">
        <v>9</v>
      </c>
      <c r="O117" s="9">
        <f t="shared" si="8"/>
        <v>5.6666666666666671E-2</v>
      </c>
      <c r="P117" s="10" t="s">
        <v>196</v>
      </c>
      <c r="Q117" s="9">
        <f t="shared" si="9"/>
        <v>5.2700000000000005</v>
      </c>
    </row>
    <row r="118" spans="1:17" x14ac:dyDescent="0.25">
      <c r="A118" s="5" t="s">
        <v>141</v>
      </c>
      <c r="B118" s="5" t="s">
        <v>7</v>
      </c>
      <c r="C118" s="5" t="s">
        <v>28</v>
      </c>
      <c r="D118" s="5" t="s">
        <v>307</v>
      </c>
      <c r="E118" s="5" t="s">
        <v>475</v>
      </c>
      <c r="F118" s="5" t="s">
        <v>299</v>
      </c>
      <c r="G118" s="5" t="s">
        <v>476</v>
      </c>
      <c r="H118" s="6">
        <v>920.33333333333326</v>
      </c>
      <c r="I118" s="7">
        <f t="shared" si="7"/>
        <v>920.33333333333326</v>
      </c>
      <c r="J118" s="18">
        <v>6201.7777777777774</v>
      </c>
      <c r="K118" s="11"/>
      <c r="L118" s="12">
        <f t="shared" si="5"/>
        <v>1840.6666666666665</v>
      </c>
      <c r="M118" s="3">
        <f t="shared" si="6"/>
        <v>920.33333333333326</v>
      </c>
      <c r="N118" s="4" t="s">
        <v>22</v>
      </c>
      <c r="O118" s="9">
        <f t="shared" si="8"/>
        <v>0.1227111111111111</v>
      </c>
      <c r="P118" s="10" t="s">
        <v>556</v>
      </c>
      <c r="Q118" s="9">
        <f t="shared" si="9"/>
        <v>6.1355555555555554</v>
      </c>
    </row>
    <row r="119" spans="1:17" x14ac:dyDescent="0.25">
      <c r="A119" s="5" t="s">
        <v>142</v>
      </c>
      <c r="B119" s="5" t="s">
        <v>7</v>
      </c>
      <c r="C119" s="5" t="s">
        <v>92</v>
      </c>
      <c r="D119" s="5" t="s">
        <v>195</v>
      </c>
      <c r="E119" s="5" t="s">
        <v>196</v>
      </c>
      <c r="F119" s="5" t="s">
        <v>302</v>
      </c>
      <c r="G119" s="5" t="s">
        <v>302</v>
      </c>
      <c r="H119" s="6">
        <v>15000</v>
      </c>
      <c r="I119" s="7">
        <f t="shared" si="7"/>
        <v>15000</v>
      </c>
      <c r="J119" s="18">
        <v>12900</v>
      </c>
      <c r="K119" s="11"/>
      <c r="L119" s="12">
        <f t="shared" si="5"/>
        <v>30000</v>
      </c>
      <c r="M119" s="3">
        <f t="shared" si="6"/>
        <v>15000</v>
      </c>
      <c r="N119" s="4" t="s">
        <v>9</v>
      </c>
      <c r="O119" s="9">
        <f t="shared" si="8"/>
        <v>30</v>
      </c>
      <c r="P119" s="10" t="s">
        <v>196</v>
      </c>
      <c r="Q119" s="9">
        <f t="shared" si="9"/>
        <v>570</v>
      </c>
    </row>
    <row r="120" spans="1:17" x14ac:dyDescent="0.25">
      <c r="A120" s="5" t="s">
        <v>143</v>
      </c>
      <c r="B120" s="5" t="s">
        <v>7</v>
      </c>
      <c r="C120" s="5" t="s">
        <v>43</v>
      </c>
      <c r="D120" s="5" t="s">
        <v>204</v>
      </c>
      <c r="E120" s="5" t="s">
        <v>256</v>
      </c>
      <c r="F120" s="5" t="s">
        <v>257</v>
      </c>
      <c r="G120" s="5" t="s">
        <v>258</v>
      </c>
      <c r="H120" s="6">
        <v>983.33333333333337</v>
      </c>
      <c r="I120" s="7">
        <f t="shared" si="7"/>
        <v>983.33333333333337</v>
      </c>
      <c r="J120" s="18">
        <v>908.33333333333337</v>
      </c>
      <c r="K120" s="11"/>
      <c r="L120" s="12">
        <f t="shared" si="5"/>
        <v>1966.6666666666667</v>
      </c>
      <c r="M120" s="3">
        <f t="shared" si="6"/>
        <v>983.33333333333337</v>
      </c>
      <c r="N120" s="4" t="s">
        <v>18</v>
      </c>
      <c r="O120" s="9">
        <f t="shared" si="8"/>
        <v>0.19666666666666668</v>
      </c>
      <c r="P120" s="10" t="s">
        <v>557</v>
      </c>
      <c r="Q120" s="9">
        <f t="shared" si="9"/>
        <v>8.2600000000000016</v>
      </c>
    </row>
    <row r="121" spans="1:17" x14ac:dyDescent="0.25">
      <c r="A121" s="5" t="s">
        <v>144</v>
      </c>
      <c r="B121" s="5" t="s">
        <v>7</v>
      </c>
      <c r="C121" s="5" t="s">
        <v>8</v>
      </c>
      <c r="D121" s="5" t="s">
        <v>195</v>
      </c>
      <c r="E121" s="5" t="s">
        <v>196</v>
      </c>
      <c r="F121" s="5" t="s">
        <v>477</v>
      </c>
      <c r="G121" s="5" t="s">
        <v>477</v>
      </c>
      <c r="H121" s="6">
        <v>2448.9683333333332</v>
      </c>
      <c r="I121" s="7">
        <f t="shared" si="7"/>
        <v>2448.9683333333332</v>
      </c>
      <c r="J121" s="18">
        <v>2080.4141666666665</v>
      </c>
      <c r="K121" s="11"/>
      <c r="L121" s="12">
        <f t="shared" si="5"/>
        <v>4897.9366666666665</v>
      </c>
      <c r="M121" s="3">
        <f t="shared" si="6"/>
        <v>2448.9683333333332</v>
      </c>
      <c r="N121" s="4" t="s">
        <v>9</v>
      </c>
      <c r="O121" s="9">
        <f t="shared" si="8"/>
        <v>4.8979366666666664</v>
      </c>
      <c r="P121" s="10" t="s">
        <v>196</v>
      </c>
      <c r="Q121" s="9">
        <f t="shared" si="9"/>
        <v>85.713891666666655</v>
      </c>
    </row>
    <row r="122" spans="1:17" x14ac:dyDescent="0.25">
      <c r="A122" s="5" t="s">
        <v>145</v>
      </c>
      <c r="B122" s="5" t="s">
        <v>7</v>
      </c>
      <c r="C122" s="5" t="s">
        <v>28</v>
      </c>
      <c r="D122" s="5" t="s">
        <v>208</v>
      </c>
      <c r="E122" s="5" t="s">
        <v>232</v>
      </c>
      <c r="F122" s="5" t="s">
        <v>454</v>
      </c>
      <c r="G122" s="5" t="s">
        <v>478</v>
      </c>
      <c r="H122" s="6">
        <v>3407</v>
      </c>
      <c r="I122" s="7">
        <f t="shared" si="7"/>
        <v>3407</v>
      </c>
      <c r="J122" s="18">
        <v>6950</v>
      </c>
      <c r="K122" s="11"/>
      <c r="L122" s="12">
        <f t="shared" si="5"/>
        <v>6814</v>
      </c>
      <c r="M122" s="3">
        <f t="shared" si="6"/>
        <v>3407</v>
      </c>
      <c r="N122" s="4" t="s">
        <v>16</v>
      </c>
      <c r="O122" s="9">
        <f t="shared" si="8"/>
        <v>1.1356666666666666</v>
      </c>
      <c r="P122" s="10" t="s">
        <v>557</v>
      </c>
      <c r="Q122" s="9">
        <f t="shared" si="9"/>
        <v>210.09833333333333</v>
      </c>
    </row>
    <row r="123" spans="1:17" x14ac:dyDescent="0.25">
      <c r="A123" s="5" t="s">
        <v>146</v>
      </c>
      <c r="B123" s="5" t="s">
        <v>7</v>
      </c>
      <c r="C123" s="5" t="s">
        <v>24</v>
      </c>
      <c r="D123" s="5" t="s">
        <v>195</v>
      </c>
      <c r="E123" s="5" t="s">
        <v>196</v>
      </c>
      <c r="F123" s="5" t="s">
        <v>323</v>
      </c>
      <c r="G123" s="5" t="s">
        <v>323</v>
      </c>
      <c r="H123" s="6">
        <v>445.47981158977365</v>
      </c>
      <c r="I123" s="7">
        <f t="shared" si="7"/>
        <v>445.47981158977365</v>
      </c>
      <c r="J123" s="18">
        <v>1601.9254406656851</v>
      </c>
      <c r="K123" s="11"/>
      <c r="L123" s="12">
        <f t="shared" si="5"/>
        <v>890.95962317954729</v>
      </c>
      <c r="M123" s="3">
        <f t="shared" si="6"/>
        <v>445.47981158977365</v>
      </c>
      <c r="N123" s="4" t="s">
        <v>9</v>
      </c>
      <c r="O123" s="9">
        <f t="shared" si="8"/>
        <v>0.89095962317954724</v>
      </c>
      <c r="P123" s="10" t="s">
        <v>196</v>
      </c>
      <c r="Q123" s="9">
        <f t="shared" si="9"/>
        <v>17.819192463590944</v>
      </c>
    </row>
    <row r="124" spans="1:17" x14ac:dyDescent="0.25">
      <c r="A124" s="5" t="s">
        <v>147</v>
      </c>
      <c r="B124" s="5" t="s">
        <v>7</v>
      </c>
      <c r="C124" s="5" t="s">
        <v>92</v>
      </c>
      <c r="D124" s="5" t="s">
        <v>280</v>
      </c>
      <c r="E124" s="5" t="s">
        <v>479</v>
      </c>
      <c r="F124" s="5" t="s">
        <v>370</v>
      </c>
      <c r="G124" s="5" t="s">
        <v>457</v>
      </c>
      <c r="H124" s="6">
        <v>16976.156800000001</v>
      </c>
      <c r="I124" s="7">
        <f t="shared" si="7"/>
        <v>16976.156800000001</v>
      </c>
      <c r="J124" s="18">
        <v>14588.7888</v>
      </c>
      <c r="K124" s="11"/>
      <c r="L124" s="12">
        <f t="shared" si="5"/>
        <v>33952.313600000001</v>
      </c>
      <c r="M124" s="3">
        <f t="shared" si="6"/>
        <v>16976.156800000001</v>
      </c>
      <c r="N124" s="4" t="s">
        <v>22</v>
      </c>
      <c r="O124" s="9">
        <f t="shared" si="8"/>
        <v>3.5366993333333334</v>
      </c>
      <c r="P124" s="10" t="s">
        <v>421</v>
      </c>
      <c r="Q124" s="9">
        <f t="shared" si="9"/>
        <v>282.93594666666667</v>
      </c>
    </row>
    <row r="125" spans="1:17" x14ac:dyDescent="0.25">
      <c r="A125" s="5" t="s">
        <v>148</v>
      </c>
      <c r="B125" s="5" t="s">
        <v>83</v>
      </c>
      <c r="C125" s="5" t="s">
        <v>34</v>
      </c>
      <c r="D125" s="5" t="s">
        <v>480</v>
      </c>
      <c r="E125" s="5" t="s">
        <v>481</v>
      </c>
      <c r="F125" s="5" t="s">
        <v>469</v>
      </c>
      <c r="G125" s="5" t="s">
        <v>482</v>
      </c>
      <c r="H125" s="6">
        <v>253.38949333333335</v>
      </c>
      <c r="I125" s="7">
        <f t="shared" si="7"/>
        <v>253.38949333333335</v>
      </c>
      <c r="J125" s="18">
        <v>235.21075333333326</v>
      </c>
      <c r="K125" s="11"/>
      <c r="L125" s="12">
        <f t="shared" si="5"/>
        <v>506.7789866666667</v>
      </c>
      <c r="M125" s="3">
        <f t="shared" si="6"/>
        <v>253.38949333333335</v>
      </c>
      <c r="N125" s="4" t="s">
        <v>22</v>
      </c>
      <c r="O125" s="9">
        <f t="shared" si="8"/>
        <v>1.2669474666666668E-2</v>
      </c>
      <c r="P125" s="10" t="s">
        <v>421</v>
      </c>
      <c r="Q125" s="9">
        <f t="shared" si="9"/>
        <v>2.9139791733333338</v>
      </c>
    </row>
    <row r="126" spans="1:17" x14ac:dyDescent="0.25">
      <c r="A126" s="5" t="s">
        <v>553</v>
      </c>
      <c r="B126" s="5" t="s">
        <v>83</v>
      </c>
      <c r="C126" s="5" t="s">
        <v>34</v>
      </c>
      <c r="D126" s="5" t="s">
        <v>204</v>
      </c>
      <c r="E126" s="5" t="s">
        <v>205</v>
      </c>
      <c r="F126" s="5" t="s">
        <v>340</v>
      </c>
      <c r="G126" s="5" t="s">
        <v>483</v>
      </c>
      <c r="H126" s="6">
        <v>7.2590000000000003</v>
      </c>
      <c r="I126" s="7">
        <f t="shared" si="7"/>
        <v>7.2590000000000003</v>
      </c>
      <c r="J126" s="18">
        <v>6.0619999999999994</v>
      </c>
      <c r="K126" s="11"/>
      <c r="L126" s="12">
        <f t="shared" si="5"/>
        <v>14.518000000000001</v>
      </c>
      <c r="M126" s="3">
        <f t="shared" si="6"/>
        <v>7.2590000000000003</v>
      </c>
      <c r="N126" s="4" t="s">
        <v>18</v>
      </c>
      <c r="O126" s="9">
        <f t="shared" si="8"/>
        <v>1.4518000000000001E-3</v>
      </c>
      <c r="P126" s="10" t="s">
        <v>421</v>
      </c>
      <c r="Q126" s="9">
        <f t="shared" si="9"/>
        <v>0.30197440000000003</v>
      </c>
    </row>
    <row r="127" spans="1:17" x14ac:dyDescent="0.25">
      <c r="A127" s="5" t="s">
        <v>149</v>
      </c>
      <c r="B127" s="5" t="s">
        <v>12</v>
      </c>
      <c r="C127" s="5" t="s">
        <v>26</v>
      </c>
      <c r="D127" s="5" t="s">
        <v>484</v>
      </c>
      <c r="E127" s="5" t="s">
        <v>485</v>
      </c>
      <c r="F127" s="5" t="s">
        <v>486</v>
      </c>
      <c r="G127" s="5" t="s">
        <v>487</v>
      </c>
      <c r="H127" s="6">
        <v>596.4</v>
      </c>
      <c r="I127" s="7">
        <f t="shared" si="7"/>
        <v>596.4</v>
      </c>
      <c r="J127" s="18">
        <v>2311.125</v>
      </c>
      <c r="K127" s="11"/>
      <c r="L127" s="12">
        <f t="shared" si="5"/>
        <v>1192.8</v>
      </c>
      <c r="M127" s="3">
        <f t="shared" si="6"/>
        <v>596.4</v>
      </c>
      <c r="N127" s="4" t="s">
        <v>22</v>
      </c>
      <c r="O127" s="9">
        <f t="shared" si="8"/>
        <v>0.18407407407407406</v>
      </c>
      <c r="P127" s="10" t="s">
        <v>421</v>
      </c>
      <c r="Q127" s="9">
        <f t="shared" si="9"/>
        <v>17.606685185185185</v>
      </c>
    </row>
    <row r="128" spans="1:17" x14ac:dyDescent="0.25">
      <c r="A128" s="5" t="s">
        <v>150</v>
      </c>
      <c r="B128" s="5" t="s">
        <v>7</v>
      </c>
      <c r="C128" s="5" t="s">
        <v>15</v>
      </c>
      <c r="D128" s="5" t="s">
        <v>488</v>
      </c>
      <c r="E128" s="5" t="s">
        <v>489</v>
      </c>
      <c r="F128" s="5" t="s">
        <v>490</v>
      </c>
      <c r="G128" s="5" t="s">
        <v>491</v>
      </c>
      <c r="H128" s="6">
        <v>18.888888888888886</v>
      </c>
      <c r="I128" s="7">
        <f t="shared" si="7"/>
        <v>18.888888888888886</v>
      </c>
      <c r="J128" s="18">
        <v>1422.6296296296296</v>
      </c>
      <c r="K128" s="11"/>
      <c r="L128" s="12">
        <f t="shared" si="5"/>
        <v>37.777777777777771</v>
      </c>
      <c r="M128" s="3">
        <f t="shared" si="6"/>
        <v>18.888888888888886</v>
      </c>
      <c r="N128" s="4" t="s">
        <v>22</v>
      </c>
      <c r="O128" s="9">
        <f t="shared" si="8"/>
        <v>5.2469135802469126E-2</v>
      </c>
      <c r="P128" s="10" t="s">
        <v>560</v>
      </c>
      <c r="Q128" s="9">
        <f t="shared" si="9"/>
        <v>0.99219135802469116</v>
      </c>
    </row>
    <row r="129" spans="1:17" x14ac:dyDescent="0.25">
      <c r="A129" s="5" t="s">
        <v>151</v>
      </c>
      <c r="B129" s="5" t="s">
        <v>7</v>
      </c>
      <c r="C129" s="5" t="s">
        <v>15</v>
      </c>
      <c r="D129" s="5" t="s">
        <v>212</v>
      </c>
      <c r="E129" s="5" t="s">
        <v>444</v>
      </c>
      <c r="F129" s="5" t="s">
        <v>336</v>
      </c>
      <c r="G129" s="5" t="s">
        <v>337</v>
      </c>
      <c r="H129" s="6">
        <v>709.09588082316452</v>
      </c>
      <c r="I129" s="7">
        <f t="shared" si="7"/>
        <v>709.09588082316452</v>
      </c>
      <c r="J129" s="18">
        <v>5290.1280123115848</v>
      </c>
      <c r="K129" s="11"/>
      <c r="L129" s="12">
        <f t="shared" si="5"/>
        <v>1418.191761646329</v>
      </c>
      <c r="M129" s="3">
        <f t="shared" si="6"/>
        <v>709.09588082316452</v>
      </c>
      <c r="N129" s="4" t="s">
        <v>9</v>
      </c>
      <c r="O129" s="9">
        <f t="shared" si="8"/>
        <v>14.18191761646329</v>
      </c>
      <c r="P129" s="10" t="s">
        <v>559</v>
      </c>
      <c r="Q129" s="9">
        <f t="shared" si="9"/>
        <v>31.909314637042403</v>
      </c>
    </row>
    <row r="130" spans="1:17" x14ac:dyDescent="0.25">
      <c r="A130" s="5" t="s">
        <v>152</v>
      </c>
      <c r="B130" s="5" t="s">
        <v>7</v>
      </c>
      <c r="C130" s="5" t="s">
        <v>24</v>
      </c>
      <c r="D130" s="5" t="s">
        <v>492</v>
      </c>
      <c r="E130" s="5" t="s">
        <v>493</v>
      </c>
      <c r="F130" s="5" t="s">
        <v>275</v>
      </c>
      <c r="G130" s="5" t="s">
        <v>494</v>
      </c>
      <c r="H130" s="6">
        <v>23537.632498036659</v>
      </c>
      <c r="I130" s="7">
        <f t="shared" si="7"/>
        <v>23537.632498036659</v>
      </c>
      <c r="J130" s="18">
        <v>21871.393710911518</v>
      </c>
      <c r="K130" s="11"/>
      <c r="L130" s="12">
        <f t="shared" ref="L130:L164" si="10">H130-(K130-I130)</f>
        <v>47075.264996073318</v>
      </c>
      <c r="M130" s="3">
        <f t="shared" ref="M130:M164" si="11">IF(L130&lt;0,(K130-H130),((L130+K130)-H130))</f>
        <v>23537.632498036659</v>
      </c>
      <c r="N130" s="4" t="s">
        <v>9</v>
      </c>
      <c r="O130" s="9">
        <f t="shared" si="8"/>
        <v>0.94150529992146637</v>
      </c>
      <c r="P130" s="10" t="s">
        <v>196</v>
      </c>
      <c r="Q130" s="9">
        <f t="shared" si="9"/>
        <v>34.835696097094257</v>
      </c>
    </row>
    <row r="131" spans="1:17" x14ac:dyDescent="0.25">
      <c r="A131" s="5" t="s">
        <v>153</v>
      </c>
      <c r="B131" s="5" t="s">
        <v>7</v>
      </c>
      <c r="C131" s="5" t="s">
        <v>34</v>
      </c>
      <c r="D131" s="5" t="s">
        <v>195</v>
      </c>
      <c r="E131" s="5" t="s">
        <v>196</v>
      </c>
      <c r="F131" s="5" t="s">
        <v>413</v>
      </c>
      <c r="G131" s="5" t="s">
        <v>413</v>
      </c>
      <c r="H131" s="6">
        <v>2365</v>
      </c>
      <c r="I131" s="7">
        <f t="shared" ref="I131:I164" si="12">H131</f>
        <v>2365</v>
      </c>
      <c r="J131" s="18">
        <v>2103.9285714285716</v>
      </c>
      <c r="K131" s="11"/>
      <c r="L131" s="12">
        <f t="shared" si="10"/>
        <v>4730</v>
      </c>
      <c r="M131" s="3">
        <f t="shared" si="11"/>
        <v>2365</v>
      </c>
      <c r="N131" s="4" t="s">
        <v>9</v>
      </c>
      <c r="O131" s="9">
        <f t="shared" ref="O131:O164" si="13">L131/D131</f>
        <v>4.7300000000000004</v>
      </c>
      <c r="P131" s="10" t="s">
        <v>196</v>
      </c>
      <c r="Q131" s="9">
        <f t="shared" ref="Q131:Q164" si="14">O131*F131</f>
        <v>23.650000000000002</v>
      </c>
    </row>
    <row r="132" spans="1:17" x14ac:dyDescent="0.25">
      <c r="A132" s="5" t="s">
        <v>154</v>
      </c>
      <c r="B132" s="5" t="s">
        <v>7</v>
      </c>
      <c r="C132" s="5" t="s">
        <v>13</v>
      </c>
      <c r="D132" s="5" t="s">
        <v>372</v>
      </c>
      <c r="E132" s="5" t="s">
        <v>495</v>
      </c>
      <c r="F132" s="5" t="s">
        <v>471</v>
      </c>
      <c r="G132" s="5" t="s">
        <v>346</v>
      </c>
      <c r="H132" s="6">
        <v>9613.4288149801723</v>
      </c>
      <c r="I132" s="7">
        <f t="shared" si="12"/>
        <v>9613.4288149801723</v>
      </c>
      <c r="J132" s="18">
        <v>9382.7766047830301</v>
      </c>
      <c r="K132" s="11"/>
      <c r="L132" s="12">
        <f t="shared" si="10"/>
        <v>19226.857629960345</v>
      </c>
      <c r="M132" s="3">
        <f t="shared" si="11"/>
        <v>9613.4288149801723</v>
      </c>
      <c r="N132" s="4" t="s">
        <v>22</v>
      </c>
      <c r="O132" s="9">
        <f t="shared" si="13"/>
        <v>1.2016786018725216</v>
      </c>
      <c r="P132" s="10" t="s">
        <v>559</v>
      </c>
      <c r="Q132" s="9">
        <f t="shared" si="14"/>
        <v>192.26857629960347</v>
      </c>
    </row>
    <row r="133" spans="1:17" x14ac:dyDescent="0.25">
      <c r="A133" s="5" t="s">
        <v>155</v>
      </c>
      <c r="B133" s="5" t="s">
        <v>7</v>
      </c>
      <c r="C133" s="5" t="s">
        <v>15</v>
      </c>
      <c r="D133" s="5" t="s">
        <v>195</v>
      </c>
      <c r="E133" s="5" t="s">
        <v>196</v>
      </c>
      <c r="F133" s="5" t="s">
        <v>346</v>
      </c>
      <c r="G133" s="5" t="s">
        <v>346</v>
      </c>
      <c r="H133" s="6">
        <v>263.42857142857144</v>
      </c>
      <c r="I133" s="7">
        <f t="shared" si="12"/>
        <v>263.42857142857144</v>
      </c>
      <c r="J133" s="18">
        <v>3754.8571428571427</v>
      </c>
      <c r="K133" s="11"/>
      <c r="L133" s="12">
        <f t="shared" si="10"/>
        <v>526.85714285714289</v>
      </c>
      <c r="M133" s="3">
        <f t="shared" si="11"/>
        <v>263.42857142857144</v>
      </c>
      <c r="N133" s="4" t="s">
        <v>9</v>
      </c>
      <c r="O133" s="9">
        <f t="shared" si="13"/>
        <v>0.52685714285714291</v>
      </c>
      <c r="P133" s="10" t="s">
        <v>196</v>
      </c>
      <c r="Q133" s="9">
        <f t="shared" si="14"/>
        <v>5.2685714285714287</v>
      </c>
    </row>
    <row r="134" spans="1:17" x14ac:dyDescent="0.25">
      <c r="A134" s="5" t="s">
        <v>156</v>
      </c>
      <c r="B134" s="5" t="s">
        <v>7</v>
      </c>
      <c r="C134" s="5" t="s">
        <v>8</v>
      </c>
      <c r="D134" s="5" t="s">
        <v>195</v>
      </c>
      <c r="E134" s="5" t="s">
        <v>196</v>
      </c>
      <c r="F134" s="5" t="s">
        <v>245</v>
      </c>
      <c r="G134" s="5" t="s">
        <v>245</v>
      </c>
      <c r="H134" s="6">
        <v>502.28571428571428</v>
      </c>
      <c r="I134" s="7">
        <f t="shared" si="12"/>
        <v>502.28571428571428</v>
      </c>
      <c r="J134" s="18">
        <v>475.85714285714289</v>
      </c>
      <c r="K134" s="11"/>
      <c r="L134" s="12">
        <f t="shared" si="10"/>
        <v>1004.5714285714286</v>
      </c>
      <c r="M134" s="3">
        <f t="shared" si="11"/>
        <v>502.28571428571428</v>
      </c>
      <c r="N134" s="4" t="s">
        <v>9</v>
      </c>
      <c r="O134" s="9">
        <f t="shared" si="13"/>
        <v>1.0045714285714284</v>
      </c>
      <c r="P134" s="10" t="s">
        <v>196</v>
      </c>
      <c r="Q134" s="9">
        <f t="shared" si="14"/>
        <v>40.182857142857138</v>
      </c>
    </row>
    <row r="135" spans="1:17" x14ac:dyDescent="0.25">
      <c r="A135" s="5" t="s">
        <v>157</v>
      </c>
      <c r="B135" s="5" t="s">
        <v>7</v>
      </c>
      <c r="C135" s="5" t="s">
        <v>92</v>
      </c>
      <c r="D135" s="5" t="s">
        <v>235</v>
      </c>
      <c r="E135" s="5" t="s">
        <v>496</v>
      </c>
      <c r="F135" s="5" t="s">
        <v>255</v>
      </c>
      <c r="G135" s="5" t="s">
        <v>497</v>
      </c>
      <c r="H135" s="6">
        <v>3040</v>
      </c>
      <c r="I135" s="7">
        <f t="shared" si="12"/>
        <v>3040</v>
      </c>
      <c r="J135" s="18">
        <v>3084</v>
      </c>
      <c r="K135" s="11"/>
      <c r="L135" s="12">
        <f t="shared" si="10"/>
        <v>6080</v>
      </c>
      <c r="M135" s="3">
        <f t="shared" si="11"/>
        <v>3040</v>
      </c>
      <c r="N135" s="4" t="s">
        <v>22</v>
      </c>
      <c r="O135" s="9">
        <f t="shared" si="13"/>
        <v>0.50666666666666671</v>
      </c>
      <c r="P135" s="10" t="s">
        <v>421</v>
      </c>
      <c r="Q135" s="9">
        <f t="shared" si="14"/>
        <v>63.333333333333336</v>
      </c>
    </row>
    <row r="136" spans="1:17" x14ac:dyDescent="0.25">
      <c r="A136" s="5" t="s">
        <v>158</v>
      </c>
      <c r="B136" s="5" t="s">
        <v>63</v>
      </c>
      <c r="C136" s="5" t="s">
        <v>39</v>
      </c>
      <c r="D136" s="5" t="s">
        <v>498</v>
      </c>
      <c r="E136" s="5" t="s">
        <v>499</v>
      </c>
      <c r="F136" s="5" t="s">
        <v>228</v>
      </c>
      <c r="G136" s="5" t="s">
        <v>500</v>
      </c>
      <c r="H136" s="6">
        <v>1568.9293563579281</v>
      </c>
      <c r="I136" s="7">
        <f t="shared" si="12"/>
        <v>1568.9293563579281</v>
      </c>
      <c r="J136" s="18">
        <v>1529.5714285714291</v>
      </c>
      <c r="K136" s="11"/>
      <c r="L136" s="12">
        <f t="shared" si="10"/>
        <v>3137.8587127158562</v>
      </c>
      <c r="M136" s="3">
        <f t="shared" si="11"/>
        <v>1568.9293563579281</v>
      </c>
      <c r="N136" s="4" t="s">
        <v>48</v>
      </c>
      <c r="O136" s="9">
        <f t="shared" si="13"/>
        <v>26.148822605965467</v>
      </c>
      <c r="P136" s="10" t="s">
        <v>421</v>
      </c>
      <c r="Q136" s="9">
        <f t="shared" si="14"/>
        <v>1830.4175824175827</v>
      </c>
    </row>
    <row r="137" spans="1:17" x14ac:dyDescent="0.25">
      <c r="A137" s="5" t="s">
        <v>159</v>
      </c>
      <c r="B137" s="5" t="s">
        <v>7</v>
      </c>
      <c r="C137" s="5" t="s">
        <v>92</v>
      </c>
      <c r="D137" s="5" t="s">
        <v>501</v>
      </c>
      <c r="E137" s="5" t="s">
        <v>502</v>
      </c>
      <c r="F137" s="5" t="s">
        <v>503</v>
      </c>
      <c r="G137" s="5" t="s">
        <v>504</v>
      </c>
      <c r="H137" s="6">
        <v>980</v>
      </c>
      <c r="I137" s="7">
        <f t="shared" si="12"/>
        <v>980</v>
      </c>
      <c r="J137" s="18">
        <v>20896</v>
      </c>
      <c r="K137" s="11"/>
      <c r="L137" s="12">
        <f t="shared" si="10"/>
        <v>1960</v>
      </c>
      <c r="M137" s="3">
        <f t="shared" si="11"/>
        <v>980</v>
      </c>
      <c r="N137" s="4" t="s">
        <v>22</v>
      </c>
      <c r="O137" s="9">
        <f t="shared" si="13"/>
        <v>9.8989898989898989E-2</v>
      </c>
      <c r="P137" s="10" t="s">
        <v>421</v>
      </c>
      <c r="Q137" s="9">
        <f t="shared" si="14"/>
        <v>12.913232323232322</v>
      </c>
    </row>
    <row r="138" spans="1:17" x14ac:dyDescent="0.25">
      <c r="A138" s="5" t="s">
        <v>160</v>
      </c>
      <c r="B138" s="5" t="s">
        <v>7</v>
      </c>
      <c r="C138" s="5" t="s">
        <v>24</v>
      </c>
      <c r="D138" s="5" t="s">
        <v>505</v>
      </c>
      <c r="E138" s="5" t="s">
        <v>506</v>
      </c>
      <c r="F138" s="5" t="s">
        <v>507</v>
      </c>
      <c r="G138" s="5" t="s">
        <v>508</v>
      </c>
      <c r="H138" s="6">
        <v>988.86879447580168</v>
      </c>
      <c r="I138" s="7">
        <f t="shared" si="12"/>
        <v>988.86879447580168</v>
      </c>
      <c r="J138" s="18">
        <v>971.51570298302499</v>
      </c>
      <c r="K138" s="11"/>
      <c r="L138" s="12">
        <f t="shared" si="10"/>
        <v>1977.7375889516034</v>
      </c>
      <c r="M138" s="3">
        <f t="shared" si="11"/>
        <v>988.86879447580168</v>
      </c>
      <c r="N138" s="4" t="s">
        <v>9</v>
      </c>
      <c r="O138" s="9">
        <f t="shared" si="13"/>
        <v>4.3562501959286415</v>
      </c>
      <c r="P138" s="10" t="s">
        <v>506</v>
      </c>
      <c r="Q138" s="9">
        <f t="shared" si="14"/>
        <v>191.67500862086024</v>
      </c>
    </row>
    <row r="139" spans="1:17" x14ac:dyDescent="0.25">
      <c r="A139" s="5" t="s">
        <v>161</v>
      </c>
      <c r="B139" s="5" t="s">
        <v>7</v>
      </c>
      <c r="C139" s="5" t="s">
        <v>15</v>
      </c>
      <c r="D139" s="5" t="s">
        <v>195</v>
      </c>
      <c r="E139" s="5" t="s">
        <v>196</v>
      </c>
      <c r="F139" s="5" t="s">
        <v>413</v>
      </c>
      <c r="G139" s="5" t="s">
        <v>413</v>
      </c>
      <c r="H139" s="6">
        <v>279.23309278350519</v>
      </c>
      <c r="I139" s="7">
        <f t="shared" si="12"/>
        <v>279.23309278350519</v>
      </c>
      <c r="J139" s="18">
        <v>231.51696067201226</v>
      </c>
      <c r="K139" s="11"/>
      <c r="L139" s="12">
        <f t="shared" si="10"/>
        <v>558.46618556701037</v>
      </c>
      <c r="M139" s="3">
        <f t="shared" si="11"/>
        <v>279.23309278350519</v>
      </c>
      <c r="N139" s="4" t="s">
        <v>9</v>
      </c>
      <c r="O139" s="9">
        <f t="shared" si="13"/>
        <v>0.55846618556701033</v>
      </c>
      <c r="P139" s="10" t="s">
        <v>196</v>
      </c>
      <c r="Q139" s="9">
        <f t="shared" si="14"/>
        <v>2.7923309278350517</v>
      </c>
    </row>
    <row r="140" spans="1:17" x14ac:dyDescent="0.25">
      <c r="A140" s="5" t="s">
        <v>189</v>
      </c>
      <c r="B140" s="5" t="s">
        <v>12</v>
      </c>
      <c r="C140" s="5" t="s">
        <v>13</v>
      </c>
      <c r="D140" s="5" t="s">
        <v>509</v>
      </c>
      <c r="E140" s="5" t="s">
        <v>510</v>
      </c>
      <c r="F140" s="5" t="s">
        <v>511</v>
      </c>
      <c r="G140" s="5" t="s">
        <v>512</v>
      </c>
      <c r="H140" s="6">
        <v>471.99834847233694</v>
      </c>
      <c r="I140" s="7">
        <f t="shared" si="12"/>
        <v>471.99834847233694</v>
      </c>
      <c r="J140" s="18">
        <v>1616.9322873658134</v>
      </c>
      <c r="K140" s="11"/>
      <c r="L140" s="12">
        <f t="shared" si="10"/>
        <v>943.99669694467389</v>
      </c>
      <c r="M140" s="3">
        <f t="shared" si="11"/>
        <v>471.99834847233694</v>
      </c>
      <c r="N140" s="4" t="s">
        <v>9</v>
      </c>
      <c r="O140" s="9">
        <f t="shared" si="13"/>
        <v>0.26666573360019036</v>
      </c>
      <c r="P140" s="10" t="s">
        <v>421</v>
      </c>
      <c r="Q140" s="9">
        <f t="shared" si="14"/>
        <v>31.466556564822461</v>
      </c>
    </row>
    <row r="141" spans="1:17" x14ac:dyDescent="0.25">
      <c r="A141" s="5" t="s">
        <v>162</v>
      </c>
      <c r="B141" s="5" t="s">
        <v>12</v>
      </c>
      <c r="C141" s="5" t="s">
        <v>13</v>
      </c>
      <c r="D141" s="5" t="s">
        <v>513</v>
      </c>
      <c r="E141" s="5" t="s">
        <v>514</v>
      </c>
      <c r="F141" s="5" t="s">
        <v>255</v>
      </c>
      <c r="G141" s="5" t="s">
        <v>515</v>
      </c>
      <c r="H141" s="6">
        <v>5256.9177835575301</v>
      </c>
      <c r="I141" s="7">
        <f t="shared" si="12"/>
        <v>5256.9177835575301</v>
      </c>
      <c r="J141" s="18">
        <v>4889.1556697468268</v>
      </c>
      <c r="K141" s="11"/>
      <c r="L141" s="12">
        <f t="shared" si="10"/>
        <v>10513.83556711506</v>
      </c>
      <c r="M141" s="3">
        <f t="shared" si="11"/>
        <v>5256.9177835575301</v>
      </c>
      <c r="N141" s="4" t="s">
        <v>9</v>
      </c>
      <c r="O141" s="9">
        <f t="shared" si="13"/>
        <v>4.9360730362042533</v>
      </c>
      <c r="P141" s="10" t="s">
        <v>421</v>
      </c>
      <c r="Q141" s="9">
        <f t="shared" si="14"/>
        <v>617.00912952553165</v>
      </c>
    </row>
    <row r="142" spans="1:17" x14ac:dyDescent="0.25">
      <c r="A142" s="5" t="s">
        <v>163</v>
      </c>
      <c r="B142" s="5" t="s">
        <v>7</v>
      </c>
      <c r="C142" s="5" t="s">
        <v>24</v>
      </c>
      <c r="D142" s="5" t="s">
        <v>195</v>
      </c>
      <c r="E142" s="5" t="s">
        <v>196</v>
      </c>
      <c r="F142" s="5" t="s">
        <v>516</v>
      </c>
      <c r="G142" s="5" t="s">
        <v>516</v>
      </c>
      <c r="H142" s="6">
        <v>37.940289452815236</v>
      </c>
      <c r="I142" s="7">
        <f t="shared" si="12"/>
        <v>37.940289452815236</v>
      </c>
      <c r="J142" s="18">
        <v>1963.6278291303199</v>
      </c>
      <c r="K142" s="11"/>
      <c r="L142" s="12">
        <f t="shared" si="10"/>
        <v>75.880578905630472</v>
      </c>
      <c r="M142" s="3">
        <f t="shared" si="11"/>
        <v>37.940289452815236</v>
      </c>
      <c r="N142" s="4" t="s">
        <v>9</v>
      </c>
      <c r="O142" s="9">
        <f t="shared" si="13"/>
        <v>7.5880578905630477E-2</v>
      </c>
      <c r="P142" s="10" t="s">
        <v>196</v>
      </c>
      <c r="Q142" s="9">
        <f t="shared" si="14"/>
        <v>2.3902382355273599</v>
      </c>
    </row>
    <row r="143" spans="1:17" x14ac:dyDescent="0.25">
      <c r="A143" s="5" t="s">
        <v>164</v>
      </c>
      <c r="B143" s="5" t="s">
        <v>63</v>
      </c>
      <c r="C143" s="5" t="s">
        <v>28</v>
      </c>
      <c r="D143" s="5" t="s">
        <v>212</v>
      </c>
      <c r="E143" s="5" t="s">
        <v>517</v>
      </c>
      <c r="F143" s="5" t="s">
        <v>202</v>
      </c>
      <c r="G143" s="5" t="s">
        <v>518</v>
      </c>
      <c r="H143" s="6">
        <v>31</v>
      </c>
      <c r="I143" s="7">
        <f t="shared" si="12"/>
        <v>31</v>
      </c>
      <c r="J143" s="18">
        <v>32</v>
      </c>
      <c r="K143" s="11"/>
      <c r="L143" s="12">
        <f t="shared" si="10"/>
        <v>62</v>
      </c>
      <c r="M143" s="3">
        <f t="shared" si="11"/>
        <v>31</v>
      </c>
      <c r="N143" s="4" t="s">
        <v>48</v>
      </c>
      <c r="O143" s="9">
        <f t="shared" si="13"/>
        <v>0.62</v>
      </c>
      <c r="P143" s="10" t="s">
        <v>421</v>
      </c>
      <c r="Q143" s="9">
        <f t="shared" si="14"/>
        <v>22.32</v>
      </c>
    </row>
    <row r="144" spans="1:17" x14ac:dyDescent="0.25">
      <c r="A144" s="5" t="s">
        <v>165</v>
      </c>
      <c r="B144" s="5" t="s">
        <v>7</v>
      </c>
      <c r="C144" s="5" t="s">
        <v>28</v>
      </c>
      <c r="D144" s="5" t="s">
        <v>204</v>
      </c>
      <c r="E144" s="5" t="s">
        <v>259</v>
      </c>
      <c r="F144" s="5" t="s">
        <v>519</v>
      </c>
      <c r="G144" s="5" t="s">
        <v>520</v>
      </c>
      <c r="H144" s="6">
        <v>2199.6051020408163</v>
      </c>
      <c r="I144" s="7">
        <f t="shared" si="12"/>
        <v>2199.6051020408163</v>
      </c>
      <c r="J144" s="18">
        <v>2041.8745421245421</v>
      </c>
      <c r="K144" s="11"/>
      <c r="L144" s="12">
        <f t="shared" si="10"/>
        <v>4399.2102040816326</v>
      </c>
      <c r="M144" s="3">
        <f t="shared" si="11"/>
        <v>2199.6051020408163</v>
      </c>
      <c r="N144" s="4" t="s">
        <v>22</v>
      </c>
      <c r="O144" s="9">
        <f t="shared" si="13"/>
        <v>0.43992102040816328</v>
      </c>
      <c r="P144" s="10" t="s">
        <v>556</v>
      </c>
      <c r="Q144" s="9">
        <f t="shared" si="14"/>
        <v>11.877867551020408</v>
      </c>
    </row>
    <row r="145" spans="1:17" x14ac:dyDescent="0.25">
      <c r="A145" s="5" t="s">
        <v>166</v>
      </c>
      <c r="B145" s="5" t="s">
        <v>7</v>
      </c>
      <c r="C145" s="5" t="s">
        <v>24</v>
      </c>
      <c r="D145" s="5" t="s">
        <v>195</v>
      </c>
      <c r="E145" s="5" t="s">
        <v>196</v>
      </c>
      <c r="F145" s="5" t="s">
        <v>413</v>
      </c>
      <c r="G145" s="5" t="s">
        <v>413</v>
      </c>
      <c r="H145" s="6">
        <v>36.699770904925543</v>
      </c>
      <c r="I145" s="7">
        <f t="shared" si="12"/>
        <v>36.699770904925543</v>
      </c>
      <c r="J145" s="18">
        <v>3961.1560137457045</v>
      </c>
      <c r="K145" s="11"/>
      <c r="L145" s="12">
        <f t="shared" si="10"/>
        <v>73.399541809851087</v>
      </c>
      <c r="M145" s="3">
        <f t="shared" si="11"/>
        <v>36.699770904925543</v>
      </c>
      <c r="N145" s="4" t="s">
        <v>9</v>
      </c>
      <c r="O145" s="9">
        <f t="shared" si="13"/>
        <v>7.3399541809851088E-2</v>
      </c>
      <c r="P145" s="10" t="s">
        <v>196</v>
      </c>
      <c r="Q145" s="9">
        <f t="shared" si="14"/>
        <v>0.36699770904925544</v>
      </c>
    </row>
    <row r="146" spans="1:17" x14ac:dyDescent="0.25">
      <c r="A146" s="5" t="s">
        <v>167</v>
      </c>
      <c r="B146" s="5" t="s">
        <v>7</v>
      </c>
      <c r="C146" s="5" t="s">
        <v>92</v>
      </c>
      <c r="D146" s="5" t="s">
        <v>521</v>
      </c>
      <c r="E146" s="5" t="s">
        <v>522</v>
      </c>
      <c r="F146" s="5" t="s">
        <v>248</v>
      </c>
      <c r="G146" s="5" t="s">
        <v>523</v>
      </c>
      <c r="H146" s="6">
        <v>26627.547025567688</v>
      </c>
      <c r="I146" s="7">
        <f t="shared" si="12"/>
        <v>26627.547025567688</v>
      </c>
      <c r="J146" s="18">
        <v>23831.87741659016</v>
      </c>
      <c r="K146" s="11"/>
      <c r="L146" s="12">
        <f t="shared" si="10"/>
        <v>53255.094051135377</v>
      </c>
      <c r="M146" s="3">
        <f t="shared" si="11"/>
        <v>26627.547025567688</v>
      </c>
      <c r="N146" s="4" t="s">
        <v>9</v>
      </c>
      <c r="O146" s="9">
        <f t="shared" si="13"/>
        <v>4.1768701216576769</v>
      </c>
      <c r="P146" s="10" t="s">
        <v>421</v>
      </c>
      <c r="Q146" s="9">
        <f t="shared" si="14"/>
        <v>542.99311581549796</v>
      </c>
    </row>
    <row r="147" spans="1:17" x14ac:dyDescent="0.25">
      <c r="A147" s="5" t="s">
        <v>168</v>
      </c>
      <c r="B147" s="5" t="s">
        <v>12</v>
      </c>
      <c r="C147" s="5" t="s">
        <v>13</v>
      </c>
      <c r="D147" s="5" t="s">
        <v>524</v>
      </c>
      <c r="E147" s="5" t="s">
        <v>525</v>
      </c>
      <c r="F147" s="5" t="s">
        <v>438</v>
      </c>
      <c r="G147" s="5" t="s">
        <v>526</v>
      </c>
      <c r="H147" s="6">
        <v>1226.5475910931177</v>
      </c>
      <c r="I147" s="7">
        <f t="shared" si="12"/>
        <v>1226.5475910931177</v>
      </c>
      <c r="J147" s="18">
        <v>1158.9432914979759</v>
      </c>
      <c r="K147" s="11"/>
      <c r="L147" s="12">
        <f t="shared" si="10"/>
        <v>2453.0951821862354</v>
      </c>
      <c r="M147" s="3">
        <f t="shared" si="11"/>
        <v>1226.5475910931177</v>
      </c>
      <c r="N147" s="4" t="s">
        <v>9</v>
      </c>
      <c r="O147" s="9">
        <f t="shared" si="13"/>
        <v>0.32707935762483137</v>
      </c>
      <c r="P147" s="10" t="s">
        <v>421</v>
      </c>
      <c r="Q147" s="9">
        <f t="shared" si="14"/>
        <v>55.60349079622133</v>
      </c>
    </row>
    <row r="148" spans="1:17" x14ac:dyDescent="0.25">
      <c r="A148" s="5" t="s">
        <v>169</v>
      </c>
      <c r="B148" s="5" t="s">
        <v>12</v>
      </c>
      <c r="C148" s="5" t="s">
        <v>13</v>
      </c>
      <c r="D148" s="5" t="s">
        <v>246</v>
      </c>
      <c r="E148" s="5" t="s">
        <v>527</v>
      </c>
      <c r="F148" s="5" t="s">
        <v>309</v>
      </c>
      <c r="G148" s="5" t="s">
        <v>528</v>
      </c>
      <c r="H148" s="6">
        <v>29801.849650287757</v>
      </c>
      <c r="I148" s="7">
        <f t="shared" si="12"/>
        <v>29801.849650287757</v>
      </c>
      <c r="J148" s="18">
        <v>27303.439239183637</v>
      </c>
      <c r="K148" s="11"/>
      <c r="L148" s="12">
        <f t="shared" si="10"/>
        <v>59603.699300575514</v>
      </c>
      <c r="M148" s="3">
        <f t="shared" si="11"/>
        <v>29801.849650287757</v>
      </c>
      <c r="N148" s="4" t="s">
        <v>22</v>
      </c>
      <c r="O148" s="9">
        <f t="shared" si="13"/>
        <v>2.9801849650287755</v>
      </c>
      <c r="P148" s="10" t="s">
        <v>421</v>
      </c>
      <c r="Q148" s="9">
        <f t="shared" si="14"/>
        <v>193.7120227268704</v>
      </c>
    </row>
    <row r="149" spans="1:17" x14ac:dyDescent="0.25">
      <c r="A149" s="5" t="s">
        <v>170</v>
      </c>
      <c r="B149" s="5" t="s">
        <v>7</v>
      </c>
      <c r="C149" s="5" t="s">
        <v>13</v>
      </c>
      <c r="D149" s="5" t="s">
        <v>280</v>
      </c>
      <c r="E149" s="5" t="s">
        <v>529</v>
      </c>
      <c r="F149" s="5" t="s">
        <v>530</v>
      </c>
      <c r="G149" s="5" t="s">
        <v>531</v>
      </c>
      <c r="H149" s="6">
        <v>65468.244337337273</v>
      </c>
      <c r="I149" s="7">
        <f t="shared" si="12"/>
        <v>65468.244337337273</v>
      </c>
      <c r="J149" s="18">
        <v>57552.20338096319</v>
      </c>
      <c r="K149" s="11"/>
      <c r="L149" s="12">
        <f t="shared" si="10"/>
        <v>130936.48867467455</v>
      </c>
      <c r="M149" s="3">
        <f t="shared" si="11"/>
        <v>65468.244337337273</v>
      </c>
      <c r="N149" s="4" t="s">
        <v>22</v>
      </c>
      <c r="O149" s="9">
        <f t="shared" si="13"/>
        <v>13.639217570278598</v>
      </c>
      <c r="P149" s="10" t="s">
        <v>421</v>
      </c>
      <c r="Q149" s="9">
        <f t="shared" si="14"/>
        <v>1067.4051670500032</v>
      </c>
    </row>
    <row r="150" spans="1:17" x14ac:dyDescent="0.25">
      <c r="A150" s="5" t="s">
        <v>171</v>
      </c>
      <c r="B150" s="5" t="s">
        <v>7</v>
      </c>
      <c r="C150" s="5" t="s">
        <v>49</v>
      </c>
      <c r="D150" s="5" t="s">
        <v>532</v>
      </c>
      <c r="E150" s="5" t="s">
        <v>533</v>
      </c>
      <c r="F150" s="5" t="s">
        <v>534</v>
      </c>
      <c r="G150" s="5" t="s">
        <v>535</v>
      </c>
      <c r="H150" s="6">
        <v>24483.944954128441</v>
      </c>
      <c r="I150" s="7">
        <f t="shared" si="12"/>
        <v>24483.944954128441</v>
      </c>
      <c r="J150" s="18">
        <v>23681.19266055046</v>
      </c>
      <c r="K150" s="11"/>
      <c r="L150" s="12">
        <f t="shared" si="10"/>
        <v>48967.889908256882</v>
      </c>
      <c r="M150" s="3">
        <f t="shared" si="11"/>
        <v>24483.944954128441</v>
      </c>
      <c r="N150" s="4" t="s">
        <v>9</v>
      </c>
      <c r="O150" s="9">
        <f t="shared" si="13"/>
        <v>4.6636085626911319</v>
      </c>
      <c r="P150" s="10" t="s">
        <v>421</v>
      </c>
      <c r="Q150" s="9">
        <f t="shared" si="14"/>
        <v>1119.2660550458716</v>
      </c>
    </row>
    <row r="151" spans="1:17" x14ac:dyDescent="0.25">
      <c r="A151" s="5" t="s">
        <v>172</v>
      </c>
      <c r="B151" s="5" t="s">
        <v>7</v>
      </c>
      <c r="C151" s="5" t="s">
        <v>49</v>
      </c>
      <c r="D151" s="5" t="s">
        <v>195</v>
      </c>
      <c r="E151" s="5" t="s">
        <v>196</v>
      </c>
      <c r="F151" s="5" t="s">
        <v>309</v>
      </c>
      <c r="G151" s="5" t="s">
        <v>309</v>
      </c>
      <c r="H151" s="6">
        <v>22678</v>
      </c>
      <c r="I151" s="7">
        <f t="shared" si="12"/>
        <v>22678</v>
      </c>
      <c r="J151" s="18">
        <v>20813.25</v>
      </c>
      <c r="K151" s="11"/>
      <c r="L151" s="12">
        <f t="shared" si="10"/>
        <v>45356</v>
      </c>
      <c r="M151" s="3">
        <f t="shared" si="11"/>
        <v>22678</v>
      </c>
      <c r="N151" s="4" t="s">
        <v>48</v>
      </c>
      <c r="O151" s="9">
        <f t="shared" si="13"/>
        <v>45.356000000000002</v>
      </c>
      <c r="P151" s="10" t="s">
        <v>196</v>
      </c>
      <c r="Q151" s="9">
        <f t="shared" si="14"/>
        <v>2948.1400000000003</v>
      </c>
    </row>
    <row r="152" spans="1:17" x14ac:dyDescent="0.25">
      <c r="A152" s="5" t="s">
        <v>173</v>
      </c>
      <c r="B152" s="5" t="s">
        <v>7</v>
      </c>
      <c r="C152" s="5" t="s">
        <v>24</v>
      </c>
      <c r="D152" s="5" t="s">
        <v>195</v>
      </c>
      <c r="E152" s="5" t="s">
        <v>196</v>
      </c>
      <c r="F152" s="5" t="s">
        <v>268</v>
      </c>
      <c r="G152" s="5" t="s">
        <v>268</v>
      </c>
      <c r="H152" s="6">
        <v>960.3715741682546</v>
      </c>
      <c r="I152" s="7">
        <f t="shared" si="12"/>
        <v>960.3715741682546</v>
      </c>
      <c r="J152" s="18">
        <v>938.13715420290691</v>
      </c>
      <c r="K152" s="11"/>
      <c r="L152" s="12">
        <f t="shared" si="10"/>
        <v>1920.7431483365092</v>
      </c>
      <c r="M152" s="3">
        <f t="shared" si="11"/>
        <v>960.3715741682546</v>
      </c>
      <c r="N152" s="4" t="s">
        <v>9</v>
      </c>
      <c r="O152" s="9">
        <f t="shared" si="13"/>
        <v>1.9207431483365092</v>
      </c>
      <c r="P152" s="10" t="s">
        <v>196</v>
      </c>
      <c r="Q152" s="9">
        <f t="shared" si="14"/>
        <v>28.811147225047637</v>
      </c>
    </row>
    <row r="153" spans="1:17" x14ac:dyDescent="0.25">
      <c r="A153" s="5" t="s">
        <v>174</v>
      </c>
      <c r="B153" s="5" t="s">
        <v>7</v>
      </c>
      <c r="C153" s="5" t="s">
        <v>15</v>
      </c>
      <c r="D153" s="5" t="s">
        <v>536</v>
      </c>
      <c r="E153" s="5" t="s">
        <v>537</v>
      </c>
      <c r="F153" s="5" t="s">
        <v>228</v>
      </c>
      <c r="G153" s="5" t="s">
        <v>538</v>
      </c>
      <c r="H153" s="6">
        <v>703.96031746031747</v>
      </c>
      <c r="I153" s="7">
        <f t="shared" si="12"/>
        <v>703.96031746031747</v>
      </c>
      <c r="J153" s="18">
        <v>661.47883597883583</v>
      </c>
      <c r="K153" s="11"/>
      <c r="L153" s="12">
        <f t="shared" si="10"/>
        <v>1407.9206349206349</v>
      </c>
      <c r="M153" s="3">
        <f t="shared" si="11"/>
        <v>703.96031746031747</v>
      </c>
      <c r="N153" s="4" t="s">
        <v>22</v>
      </c>
      <c r="O153" s="9">
        <f t="shared" si="13"/>
        <v>0.48886133156966494</v>
      </c>
      <c r="P153" s="10" t="s">
        <v>421</v>
      </c>
      <c r="Q153" s="9">
        <f t="shared" si="14"/>
        <v>34.220293209876544</v>
      </c>
    </row>
    <row r="154" spans="1:17" x14ac:dyDescent="0.25">
      <c r="A154" s="5" t="s">
        <v>175</v>
      </c>
      <c r="B154" s="5" t="s">
        <v>12</v>
      </c>
      <c r="C154" s="5" t="s">
        <v>13</v>
      </c>
      <c r="D154" s="5" t="s">
        <v>200</v>
      </c>
      <c r="E154" s="5" t="s">
        <v>201</v>
      </c>
      <c r="F154" s="5" t="s">
        <v>202</v>
      </c>
      <c r="G154" s="5" t="s">
        <v>203</v>
      </c>
      <c r="H154" s="6">
        <v>9312.9258253732842</v>
      </c>
      <c r="I154" s="7">
        <f t="shared" si="12"/>
        <v>9312.9258253732842</v>
      </c>
      <c r="J154" s="18">
        <v>20375.204719554858</v>
      </c>
      <c r="K154" s="11"/>
      <c r="L154" s="12">
        <f t="shared" si="10"/>
        <v>18625.851650746568</v>
      </c>
      <c r="M154" s="3">
        <f t="shared" si="11"/>
        <v>9312.9258253732842</v>
      </c>
      <c r="N154" s="4" t="s">
        <v>22</v>
      </c>
      <c r="O154" s="9">
        <f t="shared" si="13"/>
        <v>1.1186697688136078</v>
      </c>
      <c r="P154" s="10" t="s">
        <v>223</v>
      </c>
      <c r="Q154" s="9">
        <f t="shared" si="14"/>
        <v>40.272111677289878</v>
      </c>
    </row>
    <row r="155" spans="1:17" x14ac:dyDescent="0.25">
      <c r="A155" s="5" t="s">
        <v>176</v>
      </c>
      <c r="B155" s="5" t="s">
        <v>7</v>
      </c>
      <c r="C155" s="5" t="s">
        <v>8</v>
      </c>
      <c r="D155" s="5" t="s">
        <v>195</v>
      </c>
      <c r="E155" s="5" t="s">
        <v>196</v>
      </c>
      <c r="F155" s="5" t="s">
        <v>199</v>
      </c>
      <c r="G155" s="5" t="s">
        <v>199</v>
      </c>
      <c r="H155" s="6">
        <v>1734</v>
      </c>
      <c r="I155" s="7">
        <f t="shared" si="12"/>
        <v>1734</v>
      </c>
      <c r="J155" s="18">
        <v>1581</v>
      </c>
      <c r="K155" s="11"/>
      <c r="L155" s="12">
        <f t="shared" si="10"/>
        <v>3468</v>
      </c>
      <c r="M155" s="3">
        <f t="shared" si="11"/>
        <v>1734</v>
      </c>
      <c r="N155" s="4" t="s">
        <v>9</v>
      </c>
      <c r="O155" s="9">
        <f t="shared" si="13"/>
        <v>3.468</v>
      </c>
      <c r="P155" s="10" t="s">
        <v>196</v>
      </c>
      <c r="Q155" s="9">
        <f t="shared" si="14"/>
        <v>135.25200000000001</v>
      </c>
    </row>
    <row r="156" spans="1:17" x14ac:dyDescent="0.25">
      <c r="A156" s="5" t="s">
        <v>177</v>
      </c>
      <c r="B156" s="5" t="s">
        <v>12</v>
      </c>
      <c r="C156" s="5" t="s">
        <v>26</v>
      </c>
      <c r="D156" s="5" t="s">
        <v>195</v>
      </c>
      <c r="E156" s="5" t="s">
        <v>223</v>
      </c>
      <c r="F156" s="5" t="s">
        <v>224</v>
      </c>
      <c r="G156" s="5" t="s">
        <v>224</v>
      </c>
      <c r="H156" s="6">
        <v>1111650.0204125028</v>
      </c>
      <c r="I156" s="7">
        <f t="shared" si="12"/>
        <v>1111650.0204125028</v>
      </c>
      <c r="J156" s="18">
        <v>1211880.2914805887</v>
      </c>
      <c r="K156" s="11"/>
      <c r="L156" s="12">
        <f t="shared" si="10"/>
        <v>2223300.0408250056</v>
      </c>
      <c r="M156" s="3">
        <f t="shared" si="11"/>
        <v>1111650.0204125028</v>
      </c>
      <c r="N156" s="4" t="s">
        <v>554</v>
      </c>
      <c r="O156" s="9">
        <f t="shared" si="13"/>
        <v>2223.3000408250055</v>
      </c>
      <c r="P156" s="10" t="s">
        <v>223</v>
      </c>
      <c r="Q156" s="9">
        <f t="shared" si="14"/>
        <v>0</v>
      </c>
    </row>
    <row r="157" spans="1:17" x14ac:dyDescent="0.25">
      <c r="A157" s="5" t="s">
        <v>178</v>
      </c>
      <c r="B157" s="5" t="s">
        <v>7</v>
      </c>
      <c r="C157" s="5" t="s">
        <v>34</v>
      </c>
      <c r="D157" s="5" t="s">
        <v>204</v>
      </c>
      <c r="E157" s="5" t="s">
        <v>354</v>
      </c>
      <c r="F157" s="5" t="s">
        <v>388</v>
      </c>
      <c r="G157" s="5" t="s">
        <v>539</v>
      </c>
      <c r="H157" s="6">
        <v>4171.875</v>
      </c>
      <c r="I157" s="7">
        <f t="shared" si="12"/>
        <v>4171.875</v>
      </c>
      <c r="J157" s="18">
        <v>5937.5</v>
      </c>
      <c r="K157" s="11"/>
      <c r="L157" s="12">
        <f t="shared" si="10"/>
        <v>8343.75</v>
      </c>
      <c r="M157" s="3">
        <f t="shared" si="11"/>
        <v>4171.875</v>
      </c>
      <c r="N157" s="4" t="s">
        <v>22</v>
      </c>
      <c r="O157" s="9">
        <f t="shared" si="13"/>
        <v>0.83437499999999998</v>
      </c>
      <c r="P157" s="10" t="s">
        <v>560</v>
      </c>
      <c r="Q157" s="9">
        <f t="shared" si="14"/>
        <v>15.018749999999999</v>
      </c>
    </row>
    <row r="158" spans="1:17" x14ac:dyDescent="0.25">
      <c r="A158" s="5" t="s">
        <v>179</v>
      </c>
      <c r="B158" s="5" t="s">
        <v>7</v>
      </c>
      <c r="C158" s="5" t="s">
        <v>39</v>
      </c>
      <c r="D158" s="5" t="s">
        <v>235</v>
      </c>
      <c r="E158" s="5" t="s">
        <v>540</v>
      </c>
      <c r="F158" s="5" t="s">
        <v>248</v>
      </c>
      <c r="G158" s="5" t="s">
        <v>541</v>
      </c>
      <c r="H158" s="6">
        <v>15694.416666666668</v>
      </c>
      <c r="I158" s="7">
        <f t="shared" si="12"/>
        <v>15694.416666666668</v>
      </c>
      <c r="J158" s="18">
        <v>14765.333333333332</v>
      </c>
      <c r="K158" s="11"/>
      <c r="L158" s="12">
        <f t="shared" si="10"/>
        <v>31388.833333333336</v>
      </c>
      <c r="M158" s="3">
        <f t="shared" si="11"/>
        <v>15694.416666666668</v>
      </c>
      <c r="N158" s="4" t="s">
        <v>16</v>
      </c>
      <c r="O158" s="9">
        <f t="shared" si="13"/>
        <v>2.6157361111111115</v>
      </c>
      <c r="P158" s="10" t="s">
        <v>421</v>
      </c>
      <c r="Q158" s="9">
        <f t="shared" si="14"/>
        <v>340.04569444444451</v>
      </c>
    </row>
    <row r="159" spans="1:17" x14ac:dyDescent="0.25">
      <c r="A159" s="5" t="s">
        <v>180</v>
      </c>
      <c r="B159" s="5" t="s">
        <v>7</v>
      </c>
      <c r="C159" s="5" t="s">
        <v>92</v>
      </c>
      <c r="D159" s="5" t="s">
        <v>280</v>
      </c>
      <c r="E159" s="5" t="s">
        <v>479</v>
      </c>
      <c r="F159" s="5" t="s">
        <v>542</v>
      </c>
      <c r="G159" s="5" t="s">
        <v>543</v>
      </c>
      <c r="H159" s="6">
        <v>6279.843014128729</v>
      </c>
      <c r="I159" s="7">
        <f t="shared" si="12"/>
        <v>6279.843014128729</v>
      </c>
      <c r="J159" s="18">
        <v>4102.9827315541615</v>
      </c>
      <c r="K159" s="11"/>
      <c r="L159" s="12">
        <f t="shared" si="10"/>
        <v>12559.686028257458</v>
      </c>
      <c r="M159" s="3">
        <f t="shared" si="11"/>
        <v>6279.843014128729</v>
      </c>
      <c r="N159" s="4" t="s">
        <v>22</v>
      </c>
      <c r="O159" s="9">
        <f t="shared" si="13"/>
        <v>1.3083006279434852</v>
      </c>
      <c r="P159" s="10" t="s">
        <v>421</v>
      </c>
      <c r="Q159" s="9">
        <f t="shared" si="14"/>
        <v>90.272743328100475</v>
      </c>
    </row>
    <row r="160" spans="1:17" x14ac:dyDescent="0.25">
      <c r="A160" s="5" t="s">
        <v>181</v>
      </c>
      <c r="B160" s="5" t="s">
        <v>7</v>
      </c>
      <c r="C160" s="5" t="s">
        <v>24</v>
      </c>
      <c r="D160" s="5" t="s">
        <v>195</v>
      </c>
      <c r="E160" s="5" t="s">
        <v>196</v>
      </c>
      <c r="F160" s="5" t="s">
        <v>544</v>
      </c>
      <c r="G160" s="5" t="s">
        <v>544</v>
      </c>
      <c r="H160" s="6">
        <v>651.79349626001238</v>
      </c>
      <c r="I160" s="7">
        <f t="shared" si="12"/>
        <v>651.79349626001238</v>
      </c>
      <c r="J160" s="18">
        <v>2870.0279782818816</v>
      </c>
      <c r="K160" s="11"/>
      <c r="L160" s="12">
        <f t="shared" si="10"/>
        <v>1303.5869925200248</v>
      </c>
      <c r="M160" s="3">
        <f t="shared" si="11"/>
        <v>651.79349626001238</v>
      </c>
      <c r="N160" s="4" t="s">
        <v>9</v>
      </c>
      <c r="O160" s="9">
        <f t="shared" si="13"/>
        <v>1.3035869925200247</v>
      </c>
      <c r="P160" s="10" t="s">
        <v>196</v>
      </c>
      <c r="Q160" s="9">
        <f t="shared" si="14"/>
        <v>61.26858864844116</v>
      </c>
    </row>
    <row r="161" spans="1:17" x14ac:dyDescent="0.25">
      <c r="A161" s="5" t="s">
        <v>182</v>
      </c>
      <c r="B161" s="5" t="s">
        <v>7</v>
      </c>
      <c r="C161" s="5" t="s">
        <v>28</v>
      </c>
      <c r="D161" s="5" t="s">
        <v>204</v>
      </c>
      <c r="E161" s="5" t="s">
        <v>259</v>
      </c>
      <c r="F161" s="5" t="s">
        <v>519</v>
      </c>
      <c r="G161" s="5" t="s">
        <v>520</v>
      </c>
      <c r="H161" s="6">
        <v>8899.8660317460326</v>
      </c>
      <c r="I161" s="7">
        <f t="shared" si="12"/>
        <v>8899.8660317460326</v>
      </c>
      <c r="J161" s="18">
        <v>8273.4445502645503</v>
      </c>
      <c r="K161" s="11"/>
      <c r="L161" s="12">
        <f t="shared" si="10"/>
        <v>17799.732063492065</v>
      </c>
      <c r="M161" s="3">
        <f t="shared" si="11"/>
        <v>8899.8660317460326</v>
      </c>
      <c r="N161" s="4" t="s">
        <v>22</v>
      </c>
      <c r="O161" s="9">
        <f t="shared" si="13"/>
        <v>1.7799732063492064</v>
      </c>
      <c r="P161" s="10" t="s">
        <v>556</v>
      </c>
      <c r="Q161" s="9">
        <f t="shared" si="14"/>
        <v>48.059276571428576</v>
      </c>
    </row>
    <row r="162" spans="1:17" x14ac:dyDescent="0.25">
      <c r="A162" s="5" t="s">
        <v>183</v>
      </c>
      <c r="B162" s="5" t="s">
        <v>7</v>
      </c>
      <c r="C162" s="5" t="s">
        <v>34</v>
      </c>
      <c r="D162" s="5" t="s">
        <v>265</v>
      </c>
      <c r="E162" s="5" t="s">
        <v>545</v>
      </c>
      <c r="F162" s="5" t="s">
        <v>248</v>
      </c>
      <c r="G162" s="5" t="s">
        <v>546</v>
      </c>
      <c r="H162" s="6">
        <v>2410.686247086247</v>
      </c>
      <c r="I162" s="7">
        <f t="shared" si="12"/>
        <v>2410.686247086247</v>
      </c>
      <c r="J162" s="18">
        <v>8373.4442890442879</v>
      </c>
      <c r="K162" s="11"/>
      <c r="L162" s="12">
        <f t="shared" si="10"/>
        <v>4821.372494172494</v>
      </c>
      <c r="M162" s="3">
        <f t="shared" si="11"/>
        <v>2410.686247086247</v>
      </c>
      <c r="N162" s="4" t="s">
        <v>22</v>
      </c>
      <c r="O162" s="9">
        <f t="shared" si="13"/>
        <v>0.44642337909004576</v>
      </c>
      <c r="P162" s="10" t="s">
        <v>421</v>
      </c>
      <c r="Q162" s="9">
        <f t="shared" si="14"/>
        <v>58.035039281705949</v>
      </c>
    </row>
    <row r="163" spans="1:17" x14ac:dyDescent="0.25">
      <c r="A163" s="5" t="s">
        <v>184</v>
      </c>
      <c r="B163" s="5" t="s">
        <v>7</v>
      </c>
      <c r="C163" s="5" t="s">
        <v>13</v>
      </c>
      <c r="D163" s="5" t="s">
        <v>509</v>
      </c>
      <c r="E163" s="5" t="s">
        <v>547</v>
      </c>
      <c r="F163" s="5" t="s">
        <v>255</v>
      </c>
      <c r="G163" s="5" t="s">
        <v>548</v>
      </c>
      <c r="H163" s="6">
        <v>1322.8165361350302</v>
      </c>
      <c r="I163" s="7">
        <f t="shared" si="12"/>
        <v>1322.8165361350302</v>
      </c>
      <c r="J163" s="18">
        <v>1045.2409359434728</v>
      </c>
      <c r="K163" s="11"/>
      <c r="L163" s="12">
        <f t="shared" si="10"/>
        <v>2645.6330722700604</v>
      </c>
      <c r="M163" s="3">
        <f t="shared" si="11"/>
        <v>1322.8165361350302</v>
      </c>
      <c r="N163" s="4" t="s">
        <v>9</v>
      </c>
      <c r="O163" s="9">
        <f t="shared" si="13"/>
        <v>0.74735397521753122</v>
      </c>
      <c r="P163" s="10" t="s">
        <v>421</v>
      </c>
      <c r="Q163" s="9">
        <f t="shared" si="14"/>
        <v>93.419246902191404</v>
      </c>
    </row>
    <row r="164" spans="1:17" x14ac:dyDescent="0.25">
      <c r="A164" s="5" t="s">
        <v>185</v>
      </c>
      <c r="B164" s="5" t="s">
        <v>7</v>
      </c>
      <c r="C164" s="5" t="s">
        <v>39</v>
      </c>
      <c r="D164" s="5" t="s">
        <v>204</v>
      </c>
      <c r="E164" s="5" t="s">
        <v>549</v>
      </c>
      <c r="F164" s="5" t="s">
        <v>550</v>
      </c>
      <c r="G164" s="5" t="s">
        <v>551</v>
      </c>
      <c r="H164" s="6">
        <v>71875.605975175422</v>
      </c>
      <c r="I164" s="7">
        <f t="shared" si="12"/>
        <v>71875.605975175422</v>
      </c>
      <c r="J164" s="18">
        <v>72520.267512144404</v>
      </c>
      <c r="K164" s="11"/>
      <c r="L164" s="12">
        <f t="shared" si="10"/>
        <v>143751.21195035084</v>
      </c>
      <c r="M164" s="3">
        <f t="shared" si="11"/>
        <v>71875.605975175422</v>
      </c>
      <c r="N164" s="4" t="s">
        <v>18</v>
      </c>
      <c r="O164" s="9">
        <f t="shared" si="13"/>
        <v>14.375121195035085</v>
      </c>
      <c r="P164" s="10" t="s">
        <v>196</v>
      </c>
      <c r="Q164" s="9">
        <f t="shared" si="14"/>
        <v>962.55811521954922</v>
      </c>
    </row>
  </sheetData>
  <autoFilter ref="A1:Q164" xr:uid="{06CF44C0-42E6-4784-B72B-DC0E0217F6B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8BC287-059B-44DA-9F9F-700E968EEF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Amira Fathy</dc:creator>
  <dc:description/>
  <cp:lastModifiedBy>Amira Fathy</cp:lastModifiedBy>
  <cp:revision>0</cp:revision>
  <dcterms:created xsi:type="dcterms:W3CDTF">2026-07-27T09:56:00Z</dcterms:created>
  <dcterms:modified xsi:type="dcterms:W3CDTF">2026-09-14T20:56:06Z</dcterms:modified>
  <dc:language>en-US</dc:language>
</cp:coreProperties>
</file>