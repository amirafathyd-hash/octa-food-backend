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ctafoodsa-my.sharepoint.com/personal/alshareef_ka_octafoodksa_com/Documents/Octa File/SOPs &amp; Operation/Tokyo Project/Tokyo Files/July/July W4/"/>
    </mc:Choice>
  </mc:AlternateContent>
  <xr:revisionPtr revIDLastSave="3335" documentId="8_{3C3C1E87-AEC0-429C-850D-7A4F64FB1AFF}" xr6:coauthVersionLast="47" xr6:coauthVersionMax="47" xr10:uidLastSave="{4F0CBD1E-1CE7-4A7C-B00F-88903433E63D}"/>
  <bookViews>
    <workbookView xWindow="7870" yWindow="970" windowWidth="22710" windowHeight="19710" xr2:uid="{F1898BFD-42D7-4C3E-BAE5-E26C80F12C11}"/>
  </bookViews>
  <sheets>
    <sheet name="Vegetable Receiving Order" sheetId="10" r:id="rId1"/>
    <sheet name="User" sheetId="5" r:id="rId2"/>
    <sheet name="Ordering" sheetId="9" r:id="rId3"/>
    <sheet name="Usage" sheetId="1" r:id="rId4"/>
  </sheets>
  <functionGroups builtInGroupCount="19"/>
  <definedNames>
    <definedName name="_xlnm._FilterDatabase" localSheetId="2" hidden="1">Ordering!$A$1:$J$76</definedName>
    <definedName name="_xlnm._FilterDatabase" localSheetId="3" hidden="1">Usage!#REF!</definedName>
    <definedName name="_xlnm.Print_Area" localSheetId="2">Ordering!$A$1:$G$42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0" l="1"/>
  <c r="H5" i="5"/>
  <c r="H4" i="5"/>
  <c r="J61" i="9"/>
  <c r="I175" i="1"/>
  <c r="J175" i="1"/>
  <c r="R1" i="9"/>
  <c r="J46" i="9"/>
  <c r="H6" i="5"/>
  <c r="J39" i="9"/>
  <c r="J51" i="1" s="1"/>
  <c r="I51" i="1"/>
  <c r="J55" i="9"/>
  <c r="J69" i="1" s="1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J26" i="1"/>
  <c r="J68" i="1"/>
  <c r="J112" i="1"/>
  <c r="J143" i="1"/>
  <c r="J168" i="1"/>
  <c r="J173" i="1"/>
  <c r="J185" i="1"/>
  <c r="J2" i="1"/>
  <c r="I17" i="1"/>
  <c r="I18" i="1"/>
  <c r="I19" i="1"/>
  <c r="I20" i="1"/>
  <c r="I21" i="1"/>
  <c r="I23" i="1"/>
  <c r="I24" i="1"/>
  <c r="I25" i="1"/>
  <c r="I26" i="1"/>
  <c r="I27" i="1"/>
  <c r="I28" i="1"/>
  <c r="I29" i="1"/>
  <c r="I30" i="1"/>
  <c r="I31" i="1"/>
  <c r="I33" i="1"/>
  <c r="I34" i="1"/>
  <c r="I35" i="1"/>
  <c r="I36" i="1"/>
  <c r="I37" i="1"/>
  <c r="I38" i="1"/>
  <c r="I40" i="1"/>
  <c r="I41" i="1"/>
  <c r="I42" i="1"/>
  <c r="I43" i="1"/>
  <c r="I44" i="1"/>
  <c r="I45" i="1"/>
  <c r="I47" i="1"/>
  <c r="I48" i="1"/>
  <c r="I49" i="1"/>
  <c r="I50" i="1"/>
  <c r="I53" i="1"/>
  <c r="I54" i="1"/>
  <c r="I55" i="1"/>
  <c r="I56" i="1"/>
  <c r="I57" i="1"/>
  <c r="I58" i="1"/>
  <c r="I59" i="1"/>
  <c r="I60" i="1"/>
  <c r="I62" i="1"/>
  <c r="I63" i="1"/>
  <c r="I64" i="1"/>
  <c r="I65" i="1"/>
  <c r="I66" i="1"/>
  <c r="I68" i="1"/>
  <c r="I70" i="1"/>
  <c r="I71" i="1"/>
  <c r="I72" i="1"/>
  <c r="I73" i="1"/>
  <c r="I74" i="1"/>
  <c r="I75" i="1"/>
  <c r="I77" i="1"/>
  <c r="I78" i="1"/>
  <c r="I79" i="1"/>
  <c r="I80" i="1"/>
  <c r="I81" i="1"/>
  <c r="I82" i="1"/>
  <c r="I83" i="1"/>
  <c r="I84" i="1"/>
  <c r="I86" i="1"/>
  <c r="I87" i="1"/>
  <c r="I88" i="1"/>
  <c r="I89" i="1"/>
  <c r="I90" i="1"/>
  <c r="I92" i="1"/>
  <c r="I93" i="1"/>
  <c r="I94" i="1"/>
  <c r="I95" i="1"/>
  <c r="I96" i="1"/>
  <c r="I97" i="1"/>
  <c r="I98" i="1"/>
  <c r="I100" i="1"/>
  <c r="I101" i="1"/>
  <c r="I102" i="1"/>
  <c r="I103" i="1"/>
  <c r="I105" i="1"/>
  <c r="I106" i="1"/>
  <c r="I107" i="1"/>
  <c r="I108" i="1"/>
  <c r="I109" i="1"/>
  <c r="I111" i="1"/>
  <c r="I112" i="1"/>
  <c r="I113" i="1"/>
  <c r="I114" i="1"/>
  <c r="I115" i="1"/>
  <c r="I116" i="1"/>
  <c r="I117" i="1"/>
  <c r="I119" i="1"/>
  <c r="I120" i="1"/>
  <c r="I121" i="1"/>
  <c r="I122" i="1"/>
  <c r="I123" i="1"/>
  <c r="I124" i="1"/>
  <c r="I125" i="1"/>
  <c r="I127" i="1"/>
  <c r="I128" i="1"/>
  <c r="I129" i="1"/>
  <c r="I130" i="1"/>
  <c r="I132" i="1"/>
  <c r="I133" i="1"/>
  <c r="I134" i="1"/>
  <c r="I135" i="1"/>
  <c r="I136" i="1"/>
  <c r="I137" i="1"/>
  <c r="I138" i="1"/>
  <c r="I139" i="1"/>
  <c r="I140" i="1"/>
  <c r="I142" i="1"/>
  <c r="I143" i="1"/>
  <c r="I144" i="1"/>
  <c r="I145" i="1"/>
  <c r="I147" i="1"/>
  <c r="I148" i="1"/>
  <c r="I149" i="1"/>
  <c r="I150" i="1"/>
  <c r="I151" i="1"/>
  <c r="I152" i="1"/>
  <c r="I154" i="1"/>
  <c r="I155" i="1"/>
  <c r="I156" i="1"/>
  <c r="I157" i="1"/>
  <c r="I158" i="1"/>
  <c r="I159" i="1"/>
  <c r="I161" i="1"/>
  <c r="I162" i="1"/>
  <c r="I163" i="1"/>
  <c r="I164" i="1"/>
  <c r="I165" i="1"/>
  <c r="I166" i="1"/>
  <c r="I167" i="1"/>
  <c r="I168" i="1"/>
  <c r="I170" i="1"/>
  <c r="I171" i="1"/>
  <c r="I172" i="1"/>
  <c r="I173" i="1"/>
  <c r="I174" i="1"/>
  <c r="I176" i="1"/>
  <c r="I178" i="1"/>
  <c r="I179" i="1"/>
  <c r="I180" i="1"/>
  <c r="I181" i="1"/>
  <c r="I182" i="1"/>
  <c r="I183" i="1"/>
  <c r="I184" i="1"/>
  <c r="I185" i="1"/>
  <c r="I188" i="1"/>
  <c r="I189" i="1"/>
  <c r="I190" i="1"/>
  <c r="I191" i="1"/>
  <c r="I192" i="1"/>
  <c r="I193" i="1"/>
  <c r="I194" i="1"/>
  <c r="I196" i="1"/>
  <c r="I197" i="1"/>
  <c r="I198" i="1"/>
  <c r="I3" i="1"/>
  <c r="I4" i="1"/>
  <c r="I5" i="1"/>
  <c r="I6" i="1"/>
  <c r="I7" i="1"/>
  <c r="I9" i="1"/>
  <c r="I10" i="1"/>
  <c r="I11" i="1"/>
  <c r="I12" i="1"/>
  <c r="I13" i="1"/>
  <c r="I14" i="1"/>
  <c r="I15" i="1"/>
  <c r="I2" i="1"/>
  <c r="J76" i="9" l="1"/>
  <c r="J87" i="1" s="1"/>
  <c r="J75" i="9"/>
  <c r="J74" i="9"/>
  <c r="J196" i="1" s="1"/>
  <c r="J73" i="9"/>
  <c r="J191" i="1" s="1"/>
  <c r="J72" i="9"/>
  <c r="J70" i="9"/>
  <c r="J69" i="9"/>
  <c r="J68" i="9"/>
  <c r="J189" i="1" s="1"/>
  <c r="J67" i="9"/>
  <c r="J66" i="9"/>
  <c r="J65" i="9"/>
  <c r="J64" i="9"/>
  <c r="J63" i="9"/>
  <c r="J154" i="1" s="1"/>
  <c r="J62" i="9"/>
  <c r="J60" i="9"/>
  <c r="J197" i="1" s="1"/>
  <c r="J59" i="9"/>
  <c r="J36" i="1" s="1"/>
  <c r="J58" i="9"/>
  <c r="J57" i="9"/>
  <c r="J113" i="1" s="1"/>
  <c r="J56" i="9"/>
  <c r="J106" i="1" s="1"/>
  <c r="J54" i="9"/>
  <c r="J145" i="1" s="1"/>
  <c r="J53" i="9"/>
  <c r="J52" i="9"/>
  <c r="J51" i="9"/>
  <c r="J50" i="9"/>
  <c r="J157" i="1" s="1"/>
  <c r="J49" i="9"/>
  <c r="J192" i="1" s="1"/>
  <c r="J48" i="9"/>
  <c r="J174" i="1" s="1"/>
  <c r="J47" i="9"/>
  <c r="J115" i="1" s="1"/>
  <c r="J198" i="1"/>
  <c r="J128" i="1" l="1"/>
  <c r="J35" i="1"/>
  <c r="J86" i="1"/>
  <c r="J142" i="1"/>
  <c r="J4" i="1"/>
  <c r="J89" i="1"/>
  <c r="J130" i="1"/>
  <c r="J129" i="1"/>
  <c r="J190" i="1"/>
  <c r="J155" i="1"/>
  <c r="J133" i="1"/>
  <c r="J72" i="1"/>
  <c r="J80" i="1"/>
  <c r="J127" i="1"/>
  <c r="J132" i="1"/>
  <c r="J34" i="1"/>
  <c r="J5" i="1"/>
  <c r="J6" i="1"/>
  <c r="J193" i="1"/>
  <c r="J7" i="1"/>
  <c r="J88" i="1"/>
  <c r="J188" i="1"/>
  <c r="J33" i="1"/>
  <c r="J18" i="1"/>
  <c r="J102" i="1"/>
  <c r="J62" i="1"/>
  <c r="J47" i="1"/>
  <c r="J134" i="1"/>
  <c r="J73" i="1"/>
  <c r="J53" i="1"/>
  <c r="J24" i="1"/>
  <c r="J81" i="1"/>
  <c r="J3" i="1"/>
  <c r="J117" i="1"/>
  <c r="J21" i="1"/>
  <c r="J63" i="1"/>
  <c r="J170" i="1"/>
  <c r="J111" i="1"/>
  <c r="J158" i="1"/>
  <c r="J101" i="1"/>
  <c r="J19" i="1"/>
  <c r="J50" i="1"/>
  <c r="J156" i="1"/>
  <c r="J116" i="1"/>
  <c r="J34" i="9"/>
  <c r="J108" i="1" s="1"/>
  <c r="J32" i="9"/>
  <c r="J31" i="9"/>
  <c r="J144" i="1" s="1"/>
  <c r="I24" i="9"/>
  <c r="G24" i="9"/>
  <c r="J35" i="9"/>
  <c r="J147" i="1" s="1"/>
  <c r="J19" i="9"/>
  <c r="G36" i="9"/>
  <c r="J36" i="9" s="1"/>
  <c r="J37" i="9"/>
  <c r="J42" i="9"/>
  <c r="J44" i="9"/>
  <c r="J49" i="1" s="1"/>
  <c r="J24" i="9" l="1"/>
  <c r="J171" i="1" s="1"/>
  <c r="J176" i="1"/>
  <c r="J90" i="1"/>
  <c r="J38" i="1"/>
  <c r="J159" i="1"/>
  <c r="J13" i="1"/>
  <c r="J184" i="1"/>
  <c r="J31" i="1"/>
  <c r="J45" i="1"/>
  <c r="J98" i="1"/>
  <c r="J60" i="1"/>
  <c r="J84" i="1"/>
  <c r="J140" i="1"/>
  <c r="J109" i="1"/>
  <c r="J125" i="1"/>
  <c r="J152" i="1"/>
  <c r="J11" i="1"/>
  <c r="J95" i="1"/>
  <c r="J149" i="1"/>
  <c r="J121" i="1"/>
  <c r="J41" i="1"/>
  <c r="J162" i="1"/>
  <c r="J28" i="1"/>
  <c r="J179" i="1"/>
  <c r="J163" i="1"/>
  <c r="J194" i="1"/>
  <c r="J114" i="1"/>
  <c r="J27" i="1"/>
  <c r="J122" i="1"/>
  <c r="J7" i="9"/>
  <c r="J4" i="9"/>
  <c r="J17" i="1" s="1"/>
  <c r="J5" i="9"/>
  <c r="J48" i="1" s="1"/>
  <c r="G16" i="9"/>
  <c r="J16" i="9" s="1"/>
  <c r="J93" i="1" s="1"/>
  <c r="J15" i="9"/>
  <c r="J40" i="1" s="1"/>
  <c r="G14" i="9"/>
  <c r="J14" i="9" s="1"/>
  <c r="J105" i="1" s="1"/>
  <c r="G29" i="9"/>
  <c r="J29" i="9" s="1"/>
  <c r="G28" i="9"/>
  <c r="J28" i="9" s="1"/>
  <c r="J20" i="1" s="1"/>
  <c r="G27" i="9"/>
  <c r="J27" i="9" s="1"/>
  <c r="J2" i="9"/>
  <c r="G25" i="9"/>
  <c r="J25" i="9" s="1"/>
  <c r="J172" i="1" s="1"/>
  <c r="G10" i="9"/>
  <c r="J10" i="9" s="1"/>
  <c r="J6" i="9"/>
  <c r="J136" i="1" s="1"/>
  <c r="G13" i="9"/>
  <c r="J13" i="9" s="1"/>
  <c r="J11" i="9"/>
  <c r="G12" i="9"/>
  <c r="J12" i="9" s="1"/>
  <c r="J21" i="9"/>
  <c r="J22" i="9"/>
  <c r="G18" i="9"/>
  <c r="J18" i="9" s="1"/>
  <c r="J8" i="9"/>
  <c r="H71" i="5"/>
  <c r="F198" i="1" s="1"/>
  <c r="H198" i="1" s="1"/>
  <c r="H67" i="5"/>
  <c r="F170" i="1" s="1"/>
  <c r="H175" i="1" s="1"/>
  <c r="H66" i="5"/>
  <c r="F154" i="1" s="1"/>
  <c r="H65" i="5"/>
  <c r="F86" i="1" s="1"/>
  <c r="H64" i="5"/>
  <c r="F62" i="1" s="1"/>
  <c r="H63" i="5"/>
  <c r="F33" i="1" s="1"/>
  <c r="H62" i="5"/>
  <c r="F2" i="1" s="1"/>
  <c r="H61" i="5"/>
  <c r="F142" i="1" s="1"/>
  <c r="H60" i="5"/>
  <c r="F47" i="1" s="1"/>
  <c r="H59" i="5"/>
  <c r="F100" i="1" s="1"/>
  <c r="H58" i="5"/>
  <c r="F127" i="1" s="1"/>
  <c r="H57" i="5"/>
  <c r="F17" i="1" s="1"/>
  <c r="H56" i="5"/>
  <c r="F111" i="1" s="1"/>
  <c r="H70" i="5"/>
  <c r="F197" i="1" s="1"/>
  <c r="H197" i="1" s="1"/>
  <c r="H69" i="5"/>
  <c r="F196" i="1" s="1"/>
  <c r="H196" i="1" s="1"/>
  <c r="H68" i="5"/>
  <c r="F188" i="1" s="1"/>
  <c r="E188" i="1"/>
  <c r="E170" i="1"/>
  <c r="G175" i="1" s="1"/>
  <c r="D61" i="9" s="1"/>
  <c r="L61" i="9" s="1"/>
  <c r="O61" i="9" s="1"/>
  <c r="E33" i="1"/>
  <c r="E2" i="1"/>
  <c r="G5" i="1" s="1"/>
  <c r="E142" i="1"/>
  <c r="E47" i="1"/>
  <c r="E100" i="1"/>
  <c r="E127" i="1"/>
  <c r="E17" i="1"/>
  <c r="E111" i="1"/>
  <c r="E62" i="1"/>
  <c r="E86" i="1"/>
  <c r="E154" i="1"/>
  <c r="K175" i="1" l="1"/>
  <c r="L175" i="1" s="1"/>
  <c r="E61" i="9"/>
  <c r="K61" i="9" s="1"/>
  <c r="N61" i="9" s="1"/>
  <c r="E46" i="9"/>
  <c r="K46" i="9" s="1"/>
  <c r="N46" i="9" s="1"/>
  <c r="K198" i="1"/>
  <c r="L198" i="1" s="1"/>
  <c r="H170" i="1"/>
  <c r="K170" i="1" s="1"/>
  <c r="L170" i="1" s="1"/>
  <c r="H176" i="1"/>
  <c r="K176" i="1" s="1"/>
  <c r="L176" i="1" s="1"/>
  <c r="H174" i="1"/>
  <c r="H173" i="1"/>
  <c r="K173" i="1" s="1"/>
  <c r="L173" i="1" s="1"/>
  <c r="H172" i="1"/>
  <c r="H171" i="1"/>
  <c r="F178" i="1"/>
  <c r="H158" i="1"/>
  <c r="K158" i="1" s="1"/>
  <c r="L158" i="1" s="1"/>
  <c r="H159" i="1"/>
  <c r="K159" i="1" s="1"/>
  <c r="L159" i="1" s="1"/>
  <c r="H154" i="1"/>
  <c r="H155" i="1"/>
  <c r="K155" i="1" s="1"/>
  <c r="L155" i="1" s="1"/>
  <c r="H156" i="1"/>
  <c r="K156" i="1" s="1"/>
  <c r="L156" i="1" s="1"/>
  <c r="H157" i="1"/>
  <c r="K157" i="1" s="1"/>
  <c r="L157" i="1" s="1"/>
  <c r="F161" i="1"/>
  <c r="F68" i="1"/>
  <c r="H62" i="1"/>
  <c r="K62" i="1" s="1"/>
  <c r="L62" i="1" s="1"/>
  <c r="H64" i="1"/>
  <c r="K64" i="1" s="1"/>
  <c r="H63" i="1"/>
  <c r="K63" i="1" s="1"/>
  <c r="L63" i="1" s="1"/>
  <c r="H65" i="1"/>
  <c r="K65" i="1" s="1"/>
  <c r="H66" i="1"/>
  <c r="F77" i="1"/>
  <c r="F92" i="1"/>
  <c r="H87" i="1"/>
  <c r="K87" i="1" s="1"/>
  <c r="L87" i="1" s="1"/>
  <c r="H86" i="1"/>
  <c r="K86" i="1" s="1"/>
  <c r="L86" i="1" s="1"/>
  <c r="H90" i="1"/>
  <c r="K90" i="1" s="1"/>
  <c r="L90" i="1" s="1"/>
  <c r="H88" i="1"/>
  <c r="K88" i="1" s="1"/>
  <c r="L88" i="1" s="1"/>
  <c r="H89" i="1"/>
  <c r="K89" i="1" s="1"/>
  <c r="L89" i="1" s="1"/>
  <c r="H35" i="1"/>
  <c r="K35" i="1" s="1"/>
  <c r="L35" i="1" s="1"/>
  <c r="H38" i="1"/>
  <c r="K38" i="1" s="1"/>
  <c r="L38" i="1" s="1"/>
  <c r="H34" i="1"/>
  <c r="K34" i="1" s="1"/>
  <c r="L34" i="1" s="1"/>
  <c r="H33" i="1"/>
  <c r="K33" i="1" s="1"/>
  <c r="L33" i="1" s="1"/>
  <c r="H36" i="1"/>
  <c r="K36" i="1" s="1"/>
  <c r="L36" i="1" s="1"/>
  <c r="H37" i="1"/>
  <c r="K37" i="1" s="1"/>
  <c r="F40" i="1"/>
  <c r="H6" i="1"/>
  <c r="K6" i="1" s="1"/>
  <c r="L6" i="1" s="1"/>
  <c r="H4" i="1"/>
  <c r="K4" i="1" s="1"/>
  <c r="L4" i="1" s="1"/>
  <c r="H3" i="1"/>
  <c r="K3" i="1" s="1"/>
  <c r="L3" i="1" s="1"/>
  <c r="H5" i="1"/>
  <c r="K5" i="1" s="1"/>
  <c r="L5" i="1" s="1"/>
  <c r="H2" i="1"/>
  <c r="H7" i="1"/>
  <c r="K7" i="1" s="1"/>
  <c r="L7" i="1" s="1"/>
  <c r="F9" i="1"/>
  <c r="H142" i="1"/>
  <c r="K142" i="1" s="1"/>
  <c r="L142" i="1" s="1"/>
  <c r="H145" i="1"/>
  <c r="K145" i="1" s="1"/>
  <c r="L145" i="1" s="1"/>
  <c r="H144" i="1"/>
  <c r="K144" i="1" s="1"/>
  <c r="L144" i="1" s="1"/>
  <c r="H143" i="1"/>
  <c r="K143" i="1" s="1"/>
  <c r="L143" i="1" s="1"/>
  <c r="F147" i="1"/>
  <c r="H152" i="1" s="1"/>
  <c r="K152" i="1" s="1"/>
  <c r="L152" i="1" s="1"/>
  <c r="H51" i="1"/>
  <c r="F53" i="1"/>
  <c r="H49" i="1"/>
  <c r="H50" i="1"/>
  <c r="K50" i="1" s="1"/>
  <c r="L50" i="1" s="1"/>
  <c r="H47" i="1"/>
  <c r="K47" i="1" s="1"/>
  <c r="L47" i="1" s="1"/>
  <c r="H48" i="1"/>
  <c r="J79" i="1"/>
  <c r="J71" i="1"/>
  <c r="J103" i="1"/>
  <c r="J64" i="1"/>
  <c r="J100" i="1"/>
  <c r="J65" i="1"/>
  <c r="J66" i="1"/>
  <c r="J37" i="1"/>
  <c r="J92" i="1"/>
  <c r="J9" i="1"/>
  <c r="J10" i="1"/>
  <c r="J77" i="1"/>
  <c r="J161" i="1"/>
  <c r="J178" i="1"/>
  <c r="J57" i="1"/>
  <c r="J25" i="1"/>
  <c r="J55" i="1"/>
  <c r="J23" i="1"/>
  <c r="J119" i="1"/>
  <c r="J42" i="1"/>
  <c r="J135" i="1"/>
  <c r="J148" i="1"/>
  <c r="J165" i="1"/>
  <c r="J181" i="1"/>
  <c r="J54" i="1"/>
  <c r="J107" i="1"/>
  <c r="J97" i="1"/>
  <c r="J15" i="1"/>
  <c r="J30" i="1"/>
  <c r="J167" i="1"/>
  <c r="J44" i="1"/>
  <c r="J59" i="1"/>
  <c r="J83" i="1"/>
  <c r="J138" i="1"/>
  <c r="J124" i="1"/>
  <c r="J151" i="1"/>
  <c r="J183" i="1"/>
  <c r="J75" i="1"/>
  <c r="J137" i="1"/>
  <c r="J123" i="1"/>
  <c r="J14" i="1"/>
  <c r="J29" i="1"/>
  <c r="J150" i="1"/>
  <c r="J43" i="1"/>
  <c r="J82" i="1"/>
  <c r="J96" i="1"/>
  <c r="J166" i="1"/>
  <c r="J58" i="1"/>
  <c r="J74" i="1"/>
  <c r="J182" i="1"/>
  <c r="J56" i="1"/>
  <c r="J12" i="1"/>
  <c r="J139" i="1"/>
  <c r="J164" i="1"/>
  <c r="J94" i="1"/>
  <c r="J180" i="1"/>
  <c r="J120" i="1"/>
  <c r="J78" i="1"/>
  <c r="J70" i="1"/>
  <c r="H100" i="1"/>
  <c r="H103" i="1"/>
  <c r="H102" i="1"/>
  <c r="K102" i="1" s="1"/>
  <c r="L102" i="1" s="1"/>
  <c r="H101" i="1"/>
  <c r="K101" i="1" s="1"/>
  <c r="L101" i="1" s="1"/>
  <c r="F105" i="1"/>
  <c r="H130" i="1"/>
  <c r="H127" i="1"/>
  <c r="H129" i="1"/>
  <c r="H128" i="1"/>
  <c r="F132" i="1"/>
  <c r="H117" i="1"/>
  <c r="K117" i="1" s="1"/>
  <c r="L117" i="1" s="1"/>
  <c r="H116" i="1"/>
  <c r="H111" i="1"/>
  <c r="K111" i="1" s="1"/>
  <c r="L111" i="1" s="1"/>
  <c r="H115" i="1"/>
  <c r="H114" i="1"/>
  <c r="K114" i="1" s="1"/>
  <c r="L114" i="1" s="1"/>
  <c r="H113" i="1"/>
  <c r="H112" i="1"/>
  <c r="F119" i="1"/>
  <c r="H125" i="1" s="1"/>
  <c r="K125" i="1" s="1"/>
  <c r="L125" i="1" s="1"/>
  <c r="E76" i="9"/>
  <c r="K76" i="9" s="1"/>
  <c r="N76" i="9" s="1"/>
  <c r="E31" i="9"/>
  <c r="K31" i="9" s="1"/>
  <c r="N31" i="9" s="1"/>
  <c r="E54" i="9"/>
  <c r="K54" i="9" s="1"/>
  <c r="N54" i="9" s="1"/>
  <c r="E59" i="9"/>
  <c r="K59" i="9" s="1"/>
  <c r="N59" i="9" s="1"/>
  <c r="E32" i="9"/>
  <c r="K32" i="9" s="1"/>
  <c r="N32" i="9" s="1"/>
  <c r="H20" i="1"/>
  <c r="H21" i="1"/>
  <c r="H18" i="1"/>
  <c r="H17" i="1"/>
  <c r="H19" i="1"/>
  <c r="E60" i="9"/>
  <c r="K197" i="1"/>
  <c r="L197" i="1" s="1"/>
  <c r="E74" i="9"/>
  <c r="K74" i="9" s="1"/>
  <c r="N74" i="9" s="1"/>
  <c r="K196" i="1"/>
  <c r="L196" i="1" s="1"/>
  <c r="H193" i="1"/>
  <c r="H192" i="1"/>
  <c r="H191" i="1"/>
  <c r="H190" i="1"/>
  <c r="K190" i="1" s="1"/>
  <c r="L190" i="1" s="1"/>
  <c r="H189" i="1"/>
  <c r="H188" i="1"/>
  <c r="H194" i="1"/>
  <c r="K194" i="1" s="1"/>
  <c r="L194" i="1" s="1"/>
  <c r="G194" i="1"/>
  <c r="G188" i="1"/>
  <c r="G189" i="1"/>
  <c r="D68" i="9" s="1"/>
  <c r="L68" i="9" s="1"/>
  <c r="O68" i="9" s="1"/>
  <c r="G190" i="1"/>
  <c r="G191" i="1"/>
  <c r="D73" i="9" s="1"/>
  <c r="L73" i="9" s="1"/>
  <c r="O73" i="9" s="1"/>
  <c r="G192" i="1"/>
  <c r="D49" i="9" s="1"/>
  <c r="L49" i="9" s="1"/>
  <c r="O49" i="9" s="1"/>
  <c r="G193" i="1"/>
  <c r="G51" i="1"/>
  <c r="D39" i="9" s="1"/>
  <c r="L39" i="9" s="1"/>
  <c r="O39" i="9" s="1"/>
  <c r="G47" i="1"/>
  <c r="G48" i="1"/>
  <c r="D5" i="9" s="1"/>
  <c r="L5" i="9" s="1"/>
  <c r="O5" i="9" s="1"/>
  <c r="G49" i="1"/>
  <c r="D44" i="9" s="1"/>
  <c r="L44" i="9" s="1"/>
  <c r="O44" i="9" s="1"/>
  <c r="G50" i="1"/>
  <c r="G34" i="1"/>
  <c r="D66" i="9" s="1"/>
  <c r="G35" i="1"/>
  <c r="G36" i="1"/>
  <c r="D59" i="9" s="1"/>
  <c r="L59" i="9" s="1"/>
  <c r="O59" i="9" s="1"/>
  <c r="G37" i="1"/>
  <c r="G38" i="1"/>
  <c r="G33" i="1"/>
  <c r="G162" i="1"/>
  <c r="G156" i="1"/>
  <c r="G163" i="1"/>
  <c r="G157" i="1"/>
  <c r="D50" i="9" s="1"/>
  <c r="G164" i="1"/>
  <c r="G158" i="1"/>
  <c r="G165" i="1"/>
  <c r="G159" i="1"/>
  <c r="G166" i="1"/>
  <c r="G161" i="1"/>
  <c r="G167" i="1"/>
  <c r="G154" i="1"/>
  <c r="D63" i="9" s="1"/>
  <c r="L63" i="9" s="1"/>
  <c r="O63" i="9" s="1"/>
  <c r="G168" i="1"/>
  <c r="G155" i="1"/>
  <c r="G2" i="1"/>
  <c r="D26" i="9" s="1"/>
  <c r="L26" i="9" s="1"/>
  <c r="O26" i="9" s="1"/>
  <c r="G3" i="1"/>
  <c r="G4" i="1"/>
  <c r="D72" i="9" s="1"/>
  <c r="G6" i="1"/>
  <c r="G7" i="1"/>
  <c r="G116" i="1"/>
  <c r="G117" i="1"/>
  <c r="G111" i="1"/>
  <c r="G112" i="1"/>
  <c r="G113" i="1"/>
  <c r="D57" i="9" s="1"/>
  <c r="L57" i="9" s="1"/>
  <c r="O57" i="9" s="1"/>
  <c r="G114" i="1"/>
  <c r="G115" i="1"/>
  <c r="D47" i="9" s="1"/>
  <c r="L47" i="9" s="1"/>
  <c r="O47" i="9" s="1"/>
  <c r="G62" i="1"/>
  <c r="G63" i="1"/>
  <c r="G64" i="1"/>
  <c r="G65" i="1"/>
  <c r="G66" i="1"/>
  <c r="G19" i="1"/>
  <c r="G20" i="1"/>
  <c r="D28" i="9" s="1"/>
  <c r="L28" i="9" s="1"/>
  <c r="O28" i="9" s="1"/>
  <c r="G21" i="1"/>
  <c r="G17" i="1"/>
  <c r="D4" i="9" s="1"/>
  <c r="L4" i="9" s="1"/>
  <c r="O4" i="9" s="1"/>
  <c r="G18" i="1"/>
  <c r="G143" i="1"/>
  <c r="G144" i="1"/>
  <c r="D31" i="9" s="1"/>
  <c r="L31" i="9" s="1"/>
  <c r="O31" i="9" s="1"/>
  <c r="G145" i="1"/>
  <c r="D54" i="9" s="1"/>
  <c r="L54" i="9" s="1"/>
  <c r="O54" i="9" s="1"/>
  <c r="G142" i="1"/>
  <c r="G171" i="1"/>
  <c r="D24" i="9" s="1"/>
  <c r="L24" i="9" s="1"/>
  <c r="O24" i="9" s="1"/>
  <c r="G172" i="1"/>
  <c r="D25" i="9" s="1"/>
  <c r="L25" i="9" s="1"/>
  <c r="O25" i="9" s="1"/>
  <c r="G173" i="1"/>
  <c r="G174" i="1"/>
  <c r="D48" i="9" s="1"/>
  <c r="L48" i="9" s="1"/>
  <c r="O48" i="9" s="1"/>
  <c r="G176" i="1"/>
  <c r="G170" i="1"/>
  <c r="G89" i="1"/>
  <c r="G90" i="1"/>
  <c r="G86" i="1"/>
  <c r="G87" i="1"/>
  <c r="D76" i="9" s="1"/>
  <c r="L76" i="9" s="1"/>
  <c r="O76" i="9" s="1"/>
  <c r="G88" i="1"/>
  <c r="G128" i="1"/>
  <c r="G129" i="1"/>
  <c r="G130" i="1"/>
  <c r="G127" i="1"/>
  <c r="G101" i="1"/>
  <c r="G102" i="1"/>
  <c r="G103" i="1"/>
  <c r="G100" i="1"/>
  <c r="E161" i="1"/>
  <c r="E40" i="1"/>
  <c r="E77" i="1"/>
  <c r="E119" i="1"/>
  <c r="E92" i="1"/>
  <c r="E23" i="1"/>
  <c r="E53" i="1"/>
  <c r="E178" i="1"/>
  <c r="E147" i="1"/>
  <c r="E132" i="1"/>
  <c r="E105" i="1"/>
  <c r="E9" i="1"/>
  <c r="E197" i="1"/>
  <c r="G197" i="1" s="1"/>
  <c r="D60" i="9" s="1"/>
  <c r="L60" i="9" s="1"/>
  <c r="E196" i="1"/>
  <c r="G196" i="1" s="1"/>
  <c r="D74" i="9" s="1"/>
  <c r="L74" i="9" s="1"/>
  <c r="E198" i="1"/>
  <c r="G198" i="1" s="1"/>
  <c r="D46" i="9" s="1"/>
  <c r="L46" i="9" s="1"/>
  <c r="E68" i="1"/>
  <c r="K66" i="1" l="1"/>
  <c r="L66" i="1" s="1"/>
  <c r="E2" i="9"/>
  <c r="K2" i="9" s="1"/>
  <c r="N2" i="9" s="1"/>
  <c r="D62" i="9"/>
  <c r="D75" i="9"/>
  <c r="D65" i="9"/>
  <c r="L65" i="9" s="1"/>
  <c r="O65" i="9" s="1"/>
  <c r="D51" i="9"/>
  <c r="L51" i="9" s="1"/>
  <c r="O51" i="9" s="1"/>
  <c r="D64" i="9"/>
  <c r="L64" i="9" s="1"/>
  <c r="O64" i="9" s="1"/>
  <c r="E26" i="9"/>
  <c r="K26" i="9" s="1"/>
  <c r="N26" i="9" s="1"/>
  <c r="K2" i="1"/>
  <c r="L2" i="1" s="1"/>
  <c r="D53" i="9"/>
  <c r="L53" i="9" s="1"/>
  <c r="O53" i="9" s="1"/>
  <c r="D52" i="9"/>
  <c r="L52" i="9" s="1"/>
  <c r="O52" i="9" s="1"/>
  <c r="D70" i="9"/>
  <c r="L70" i="9" s="1"/>
  <c r="O70" i="9" s="1"/>
  <c r="L50" i="9"/>
  <c r="O50" i="9" s="1"/>
  <c r="K60" i="9"/>
  <c r="N60" i="9" s="1"/>
  <c r="O46" i="9"/>
  <c r="E63" i="9"/>
  <c r="K63" i="9" s="1"/>
  <c r="N63" i="9" s="1"/>
  <c r="K154" i="1"/>
  <c r="L154" i="1" s="1"/>
  <c r="O74" i="9"/>
  <c r="O60" i="9"/>
  <c r="E50" i="9"/>
  <c r="K50" i="9" s="1"/>
  <c r="N50" i="9" s="1"/>
  <c r="E66" i="9"/>
  <c r="K66" i="9" s="1"/>
  <c r="N66" i="9" s="1"/>
  <c r="E39" i="9"/>
  <c r="K39" i="9" s="1"/>
  <c r="N39" i="9" s="1"/>
  <c r="K51" i="1"/>
  <c r="L51" i="1" s="1"/>
  <c r="H78" i="1"/>
  <c r="H84" i="1"/>
  <c r="K84" i="1" s="1"/>
  <c r="L84" i="1" s="1"/>
  <c r="H95" i="1"/>
  <c r="K95" i="1" s="1"/>
  <c r="L95" i="1" s="1"/>
  <c r="H94" i="1"/>
  <c r="K94" i="1" s="1"/>
  <c r="L94" i="1" s="1"/>
  <c r="H96" i="1"/>
  <c r="K96" i="1" s="1"/>
  <c r="L96" i="1" s="1"/>
  <c r="H97" i="1"/>
  <c r="K97" i="1" s="1"/>
  <c r="L97" i="1" s="1"/>
  <c r="H92" i="1"/>
  <c r="K92" i="1" s="1"/>
  <c r="L92" i="1" s="1"/>
  <c r="H93" i="1"/>
  <c r="H98" i="1"/>
  <c r="K98" i="1" s="1"/>
  <c r="L98" i="1" s="1"/>
  <c r="K174" i="1"/>
  <c r="L174" i="1" s="1"/>
  <c r="E48" i="9"/>
  <c r="K48" i="9" s="1"/>
  <c r="N48" i="9" s="1"/>
  <c r="K172" i="1"/>
  <c r="L172" i="1" s="1"/>
  <c r="E25" i="9"/>
  <c r="K25" i="9" s="1"/>
  <c r="N25" i="9" s="1"/>
  <c r="E24" i="9"/>
  <c r="K24" i="9" s="1"/>
  <c r="N24" i="9" s="1"/>
  <c r="K171" i="1"/>
  <c r="L171" i="1" s="1"/>
  <c r="H183" i="1"/>
  <c r="K183" i="1" s="1"/>
  <c r="L183" i="1" s="1"/>
  <c r="H184" i="1"/>
  <c r="K184" i="1" s="1"/>
  <c r="L184" i="1" s="1"/>
  <c r="H185" i="1"/>
  <c r="K185" i="1" s="1"/>
  <c r="L185" i="1" s="1"/>
  <c r="H179" i="1"/>
  <c r="K179" i="1" s="1"/>
  <c r="L179" i="1" s="1"/>
  <c r="H180" i="1"/>
  <c r="K180" i="1" s="1"/>
  <c r="L180" i="1" s="1"/>
  <c r="H181" i="1"/>
  <c r="K181" i="1" s="1"/>
  <c r="L181" i="1" s="1"/>
  <c r="H182" i="1"/>
  <c r="K182" i="1" s="1"/>
  <c r="L182" i="1" s="1"/>
  <c r="H178" i="1"/>
  <c r="K178" i="1" s="1"/>
  <c r="L178" i="1" s="1"/>
  <c r="H167" i="1"/>
  <c r="K167" i="1" s="1"/>
  <c r="L167" i="1" s="1"/>
  <c r="H165" i="1"/>
  <c r="K165" i="1" s="1"/>
  <c r="L165" i="1" s="1"/>
  <c r="H164" i="1"/>
  <c r="K164" i="1" s="1"/>
  <c r="L164" i="1" s="1"/>
  <c r="H161" i="1"/>
  <c r="K161" i="1" s="1"/>
  <c r="L161" i="1" s="1"/>
  <c r="H162" i="1"/>
  <c r="K162" i="1" s="1"/>
  <c r="L162" i="1" s="1"/>
  <c r="H163" i="1"/>
  <c r="K163" i="1" s="1"/>
  <c r="L163" i="1" s="1"/>
  <c r="H168" i="1"/>
  <c r="K168" i="1" s="1"/>
  <c r="L168" i="1" s="1"/>
  <c r="H166" i="1"/>
  <c r="K166" i="1" s="1"/>
  <c r="L166" i="1" s="1"/>
  <c r="H70" i="1"/>
  <c r="K70" i="1" s="1"/>
  <c r="L70" i="1" s="1"/>
  <c r="H72" i="1"/>
  <c r="K72" i="1" s="1"/>
  <c r="L72" i="1" s="1"/>
  <c r="H75" i="1"/>
  <c r="K75" i="1" s="1"/>
  <c r="L75" i="1" s="1"/>
  <c r="H69" i="1"/>
  <c r="H71" i="1"/>
  <c r="K71" i="1" s="1"/>
  <c r="L71" i="1" s="1"/>
  <c r="H73" i="1"/>
  <c r="K73" i="1" s="1"/>
  <c r="L73" i="1" s="1"/>
  <c r="H68" i="1"/>
  <c r="E71" i="9" s="1"/>
  <c r="K71" i="9" s="1"/>
  <c r="N71" i="9" s="1"/>
  <c r="H74" i="1"/>
  <c r="K74" i="1" s="1"/>
  <c r="L74" i="1" s="1"/>
  <c r="H82" i="1"/>
  <c r="K82" i="1" s="1"/>
  <c r="L82" i="1" s="1"/>
  <c r="H80" i="1"/>
  <c r="K80" i="1" s="1"/>
  <c r="L80" i="1" s="1"/>
  <c r="H79" i="1"/>
  <c r="K79" i="1" s="1"/>
  <c r="L79" i="1" s="1"/>
  <c r="H77" i="1"/>
  <c r="K77" i="1" s="1"/>
  <c r="L77" i="1" s="1"/>
  <c r="H83" i="1"/>
  <c r="K83" i="1" s="1"/>
  <c r="L83" i="1" s="1"/>
  <c r="H81" i="1"/>
  <c r="K81" i="1" s="1"/>
  <c r="L81" i="1" s="1"/>
  <c r="H44" i="1"/>
  <c r="K44" i="1" s="1"/>
  <c r="L44" i="1" s="1"/>
  <c r="H43" i="1"/>
  <c r="K43" i="1" s="1"/>
  <c r="L43" i="1" s="1"/>
  <c r="H45" i="1"/>
  <c r="K45" i="1" s="1"/>
  <c r="L45" i="1" s="1"/>
  <c r="H41" i="1"/>
  <c r="K41" i="1" s="1"/>
  <c r="L41" i="1" s="1"/>
  <c r="H42" i="1"/>
  <c r="K42" i="1" s="1"/>
  <c r="L42" i="1" s="1"/>
  <c r="H40" i="1"/>
  <c r="E15" i="9" s="1"/>
  <c r="K15" i="9" s="1"/>
  <c r="N15" i="9" s="1"/>
  <c r="H15" i="1"/>
  <c r="K15" i="1" s="1"/>
  <c r="L15" i="1" s="1"/>
  <c r="H9" i="1"/>
  <c r="H13" i="1"/>
  <c r="K13" i="1" s="1"/>
  <c r="L13" i="1" s="1"/>
  <c r="H10" i="1"/>
  <c r="K10" i="1" s="1"/>
  <c r="L10" i="1" s="1"/>
  <c r="H14" i="1"/>
  <c r="K14" i="1" s="1"/>
  <c r="L14" i="1" s="1"/>
  <c r="H150" i="1"/>
  <c r="K150" i="1" s="1"/>
  <c r="L150" i="1" s="1"/>
  <c r="H149" i="1"/>
  <c r="K149" i="1" s="1"/>
  <c r="L149" i="1" s="1"/>
  <c r="H147" i="1"/>
  <c r="K147" i="1" s="1"/>
  <c r="L147" i="1" s="1"/>
  <c r="H148" i="1"/>
  <c r="K148" i="1" s="1"/>
  <c r="L148" i="1" s="1"/>
  <c r="H151" i="1"/>
  <c r="K151" i="1" s="1"/>
  <c r="L151" i="1" s="1"/>
  <c r="H56" i="1"/>
  <c r="K56" i="1" s="1"/>
  <c r="L56" i="1" s="1"/>
  <c r="H60" i="1"/>
  <c r="K60" i="1" s="1"/>
  <c r="L60" i="1" s="1"/>
  <c r="K49" i="1"/>
  <c r="L49" i="1" s="1"/>
  <c r="E44" i="9"/>
  <c r="K44" i="9" s="1"/>
  <c r="N44" i="9" s="1"/>
  <c r="E3" i="9"/>
  <c r="K3" i="9" s="1"/>
  <c r="N3" i="9" s="1"/>
  <c r="K112" i="1"/>
  <c r="L112" i="1" s="1"/>
  <c r="H11" i="1"/>
  <c r="K11" i="1" s="1"/>
  <c r="L11" i="1" s="1"/>
  <c r="H12" i="1"/>
  <c r="K12" i="1" s="1"/>
  <c r="L12" i="1" s="1"/>
  <c r="H58" i="1"/>
  <c r="K58" i="1" s="1"/>
  <c r="L58" i="1" s="1"/>
  <c r="H55" i="1"/>
  <c r="K55" i="1" s="1"/>
  <c r="L55" i="1" s="1"/>
  <c r="H57" i="1"/>
  <c r="K57" i="1" s="1"/>
  <c r="L57" i="1" s="1"/>
  <c r="H109" i="1"/>
  <c r="K109" i="1" s="1"/>
  <c r="L109" i="1" s="1"/>
  <c r="H108" i="1"/>
  <c r="K108" i="1" s="1"/>
  <c r="L108" i="1" s="1"/>
  <c r="H107" i="1"/>
  <c r="K107" i="1" s="1"/>
  <c r="L107" i="1" s="1"/>
  <c r="H106" i="1"/>
  <c r="H105" i="1"/>
  <c r="K105" i="1" s="1"/>
  <c r="L105" i="1" s="1"/>
  <c r="H54" i="1"/>
  <c r="K54" i="1" s="1"/>
  <c r="L54" i="1" s="1"/>
  <c r="H53" i="1"/>
  <c r="K53" i="1" s="1"/>
  <c r="L53" i="1" s="1"/>
  <c r="H59" i="1"/>
  <c r="K59" i="1" s="1"/>
  <c r="L59" i="1" s="1"/>
  <c r="K48" i="1"/>
  <c r="L48" i="1" s="1"/>
  <c r="E5" i="9"/>
  <c r="K5" i="9" s="1"/>
  <c r="N5" i="9" s="1"/>
  <c r="K100" i="1"/>
  <c r="L100" i="1" s="1"/>
  <c r="E27" i="9"/>
  <c r="K27" i="9" s="1"/>
  <c r="N27" i="9" s="1"/>
  <c r="K103" i="1"/>
  <c r="L103" i="1" s="1"/>
  <c r="E29" i="9"/>
  <c r="K29" i="9" s="1"/>
  <c r="N29" i="9" s="1"/>
  <c r="K193" i="1"/>
  <c r="L193" i="1" s="1"/>
  <c r="E65" i="9"/>
  <c r="K65" i="9" s="1"/>
  <c r="N65" i="9" s="1"/>
  <c r="K188" i="1"/>
  <c r="L188" i="1" s="1"/>
  <c r="E64" i="9"/>
  <c r="K64" i="9" s="1"/>
  <c r="N64" i="9" s="1"/>
  <c r="D37" i="9"/>
  <c r="L37" i="9" s="1"/>
  <c r="O37" i="9" s="1"/>
  <c r="D29" i="9"/>
  <c r="L29" i="9" s="1"/>
  <c r="O29" i="9" s="1"/>
  <c r="L72" i="9"/>
  <c r="O72" i="9" s="1"/>
  <c r="L64" i="1"/>
  <c r="L65" i="1"/>
  <c r="L37" i="1"/>
  <c r="H124" i="1"/>
  <c r="K124" i="1" s="1"/>
  <c r="L124" i="1" s="1"/>
  <c r="H119" i="1"/>
  <c r="K119" i="1" s="1"/>
  <c r="L119" i="1" s="1"/>
  <c r="H120" i="1"/>
  <c r="H123" i="1"/>
  <c r="K123" i="1" s="1"/>
  <c r="L123" i="1" s="1"/>
  <c r="H122" i="1"/>
  <c r="K122" i="1" s="1"/>
  <c r="L122" i="1" s="1"/>
  <c r="H121" i="1"/>
  <c r="K121" i="1" s="1"/>
  <c r="L121" i="1" s="1"/>
  <c r="D3" i="9"/>
  <c r="L3" i="9" s="1"/>
  <c r="O3" i="9" s="1"/>
  <c r="D27" i="9"/>
  <c r="L27" i="9" s="1"/>
  <c r="O27" i="9" s="1"/>
  <c r="K130" i="1"/>
  <c r="L130" i="1" s="1"/>
  <c r="E72" i="9"/>
  <c r="K72" i="9" s="1"/>
  <c r="N72" i="9" s="1"/>
  <c r="K127" i="1"/>
  <c r="L127" i="1" s="1"/>
  <c r="K129" i="1"/>
  <c r="L129" i="1" s="1"/>
  <c r="E70" i="9"/>
  <c r="K70" i="9" s="1"/>
  <c r="N70" i="9" s="1"/>
  <c r="K128" i="1"/>
  <c r="L128" i="1" s="1"/>
  <c r="E75" i="9"/>
  <c r="K75" i="9" s="1"/>
  <c r="N75" i="9" s="1"/>
  <c r="H132" i="1"/>
  <c r="H140" i="1"/>
  <c r="K140" i="1" s="1"/>
  <c r="L140" i="1" s="1"/>
  <c r="H133" i="1"/>
  <c r="H135" i="1"/>
  <c r="K135" i="1" s="1"/>
  <c r="L135" i="1" s="1"/>
  <c r="H136" i="1"/>
  <c r="K136" i="1" s="1"/>
  <c r="L136" i="1" s="1"/>
  <c r="H137" i="1"/>
  <c r="K137" i="1" s="1"/>
  <c r="L137" i="1" s="1"/>
  <c r="H138" i="1"/>
  <c r="K138" i="1" s="1"/>
  <c r="L138" i="1" s="1"/>
  <c r="H139" i="1"/>
  <c r="K139" i="1" s="1"/>
  <c r="L139" i="1" s="1"/>
  <c r="H134" i="1"/>
  <c r="K134" i="1" s="1"/>
  <c r="L134" i="1" s="1"/>
  <c r="K116" i="1"/>
  <c r="L116" i="1" s="1"/>
  <c r="E51" i="9"/>
  <c r="K51" i="9" s="1"/>
  <c r="N51" i="9" s="1"/>
  <c r="K115" i="1"/>
  <c r="L115" i="1" s="1"/>
  <c r="E47" i="9"/>
  <c r="K47" i="9" s="1"/>
  <c r="N47" i="9" s="1"/>
  <c r="E57" i="9"/>
  <c r="K57" i="9" s="1"/>
  <c r="N57" i="9" s="1"/>
  <c r="K113" i="1"/>
  <c r="L113" i="1" s="1"/>
  <c r="K21" i="1"/>
  <c r="L21" i="1" s="1"/>
  <c r="E53" i="9"/>
  <c r="K53" i="9" s="1"/>
  <c r="N53" i="9" s="1"/>
  <c r="D2" i="9"/>
  <c r="L2" i="9" s="1"/>
  <c r="O2" i="9" s="1"/>
  <c r="D32" i="9"/>
  <c r="L32" i="9" s="1"/>
  <c r="O32" i="9" s="1"/>
  <c r="L66" i="9"/>
  <c r="O66" i="9" s="1"/>
  <c r="E37" i="9"/>
  <c r="K37" i="9" s="1"/>
  <c r="N37" i="9" s="1"/>
  <c r="E34" i="9"/>
  <c r="K34" i="9" s="1"/>
  <c r="N34" i="9" s="1"/>
  <c r="E28" i="9"/>
  <c r="K28" i="9" s="1"/>
  <c r="N28" i="9" s="1"/>
  <c r="K20" i="1"/>
  <c r="L20" i="1" s="1"/>
  <c r="E62" i="9"/>
  <c r="K62" i="9" s="1"/>
  <c r="N62" i="9" s="1"/>
  <c r="K18" i="1"/>
  <c r="L18" i="1" s="1"/>
  <c r="K17" i="1"/>
  <c r="L17" i="1" s="1"/>
  <c r="E4" i="9"/>
  <c r="K4" i="9" s="1"/>
  <c r="N4" i="9" s="1"/>
  <c r="E52" i="9"/>
  <c r="K52" i="9" s="1"/>
  <c r="N52" i="9" s="1"/>
  <c r="K19" i="1"/>
  <c r="L19" i="1" s="1"/>
  <c r="E49" i="9"/>
  <c r="K49" i="9" s="1"/>
  <c r="N49" i="9" s="1"/>
  <c r="K192" i="1"/>
  <c r="L192" i="1" s="1"/>
  <c r="E73" i="9"/>
  <c r="K73" i="9" s="1"/>
  <c r="N73" i="9" s="1"/>
  <c r="K191" i="1"/>
  <c r="L191" i="1" s="1"/>
  <c r="E68" i="9"/>
  <c r="K68" i="9" s="1"/>
  <c r="N68" i="9" s="1"/>
  <c r="K189" i="1"/>
  <c r="L189" i="1" s="1"/>
  <c r="G97" i="1"/>
  <c r="G98" i="1"/>
  <c r="G92" i="1"/>
  <c r="G93" i="1"/>
  <c r="D16" i="9" s="1"/>
  <c r="L16" i="9" s="1"/>
  <c r="O16" i="9" s="1"/>
  <c r="G94" i="1"/>
  <c r="G95" i="1"/>
  <c r="G96" i="1"/>
  <c r="G123" i="1"/>
  <c r="G124" i="1"/>
  <c r="G125" i="1"/>
  <c r="G119" i="1"/>
  <c r="G120" i="1"/>
  <c r="G121" i="1"/>
  <c r="G122" i="1"/>
  <c r="G54" i="1"/>
  <c r="G55" i="1"/>
  <c r="G56" i="1"/>
  <c r="G57" i="1"/>
  <c r="G58" i="1"/>
  <c r="G53" i="1"/>
  <c r="G59" i="1"/>
  <c r="G60" i="1"/>
  <c r="G106" i="1"/>
  <c r="D56" i="9" s="1"/>
  <c r="L56" i="9" s="1"/>
  <c r="O56" i="9" s="1"/>
  <c r="G107" i="1"/>
  <c r="G108" i="1"/>
  <c r="D34" i="9" s="1"/>
  <c r="L34" i="9" s="1"/>
  <c r="O34" i="9" s="1"/>
  <c r="G109" i="1"/>
  <c r="G105" i="1"/>
  <c r="D14" i="9" s="1"/>
  <c r="L14" i="9" s="1"/>
  <c r="O14" i="9" s="1"/>
  <c r="G40" i="1"/>
  <c r="D15" i="9" s="1"/>
  <c r="L15" i="9" s="1"/>
  <c r="O15" i="9" s="1"/>
  <c r="G41" i="1"/>
  <c r="G42" i="1"/>
  <c r="G43" i="1"/>
  <c r="G44" i="1"/>
  <c r="G45" i="1"/>
  <c r="G185" i="1"/>
  <c r="G178" i="1"/>
  <c r="G179" i="1"/>
  <c r="G180" i="1"/>
  <c r="G181" i="1"/>
  <c r="G182" i="1"/>
  <c r="G183" i="1"/>
  <c r="G184" i="1"/>
  <c r="G78" i="1"/>
  <c r="G79" i="1"/>
  <c r="G80" i="1"/>
  <c r="G82" i="1"/>
  <c r="G84" i="1"/>
  <c r="G83" i="1"/>
  <c r="G81" i="1"/>
  <c r="G77" i="1"/>
  <c r="G13" i="1"/>
  <c r="G14" i="1"/>
  <c r="G15" i="1"/>
  <c r="G9" i="1"/>
  <c r="G10" i="1"/>
  <c r="G11" i="1"/>
  <c r="G12" i="1"/>
  <c r="G133" i="1"/>
  <c r="G132" i="1"/>
  <c r="D67" i="9" s="1"/>
  <c r="L67" i="9" s="1"/>
  <c r="O67" i="9" s="1"/>
  <c r="G134" i="1"/>
  <c r="G135" i="1"/>
  <c r="G136" i="1"/>
  <c r="D6" i="9" s="1"/>
  <c r="L6" i="9" s="1"/>
  <c r="O6" i="9" s="1"/>
  <c r="G137" i="1"/>
  <c r="G138" i="1"/>
  <c r="G139" i="1"/>
  <c r="G140" i="1"/>
  <c r="G25" i="1"/>
  <c r="G26" i="1"/>
  <c r="G27" i="1"/>
  <c r="G28" i="1"/>
  <c r="G29" i="1"/>
  <c r="G30" i="1"/>
  <c r="G23" i="1"/>
  <c r="G31" i="1"/>
  <c r="G24" i="1"/>
  <c r="G75" i="1"/>
  <c r="G71" i="1"/>
  <c r="G68" i="1"/>
  <c r="D71" i="9" s="1"/>
  <c r="L71" i="9" s="1"/>
  <c r="O71" i="9" s="1"/>
  <c r="G72" i="1"/>
  <c r="G73" i="1"/>
  <c r="G74" i="1"/>
  <c r="G69" i="1"/>
  <c r="D55" i="9" s="1"/>
  <c r="L55" i="9" s="1"/>
  <c r="O55" i="9" s="1"/>
  <c r="G70" i="1"/>
  <c r="G150" i="1"/>
  <c r="G151" i="1"/>
  <c r="G152" i="1"/>
  <c r="G147" i="1"/>
  <c r="D35" i="9" s="1"/>
  <c r="L35" i="9" s="1"/>
  <c r="O35" i="9" s="1"/>
  <c r="G148" i="1"/>
  <c r="G149" i="1"/>
  <c r="F23" i="1"/>
  <c r="D69" i="9" l="1"/>
  <c r="L69" i="9" s="1"/>
  <c r="O69" i="9" s="1"/>
  <c r="E10" i="9"/>
  <c r="K10" i="9" s="1"/>
  <c r="N10" i="9" s="1"/>
  <c r="D58" i="9"/>
  <c r="L58" i="9" s="1"/>
  <c r="O58" i="9" s="1"/>
  <c r="E6" i="9"/>
  <c r="K6" i="9" s="1"/>
  <c r="N6" i="9" s="1"/>
  <c r="E14" i="9"/>
  <c r="K14" i="9" s="1"/>
  <c r="N14" i="9" s="1"/>
  <c r="L62" i="9"/>
  <c r="O62" i="9" s="1"/>
  <c r="L75" i="9"/>
  <c r="O75" i="9" s="1"/>
  <c r="K9" i="1"/>
  <c r="L9" i="1" s="1"/>
  <c r="Q6" i="1" s="1"/>
  <c r="K69" i="1"/>
  <c r="L69" i="1" s="1"/>
  <c r="E55" i="9"/>
  <c r="K55" i="9" s="1"/>
  <c r="N55" i="9" s="1"/>
  <c r="K40" i="1"/>
  <c r="L40" i="1" s="1"/>
  <c r="E12" i="9"/>
  <c r="K12" i="9" s="1"/>
  <c r="N12" i="9" s="1"/>
  <c r="E35" i="9"/>
  <c r="K35" i="9" s="1"/>
  <c r="N35" i="9" s="1"/>
  <c r="E7" i="9"/>
  <c r="K7" i="9" s="1"/>
  <c r="N7" i="9" s="1"/>
  <c r="E56" i="9"/>
  <c r="K56" i="9" s="1"/>
  <c r="N56" i="9" s="1"/>
  <c r="K106" i="1"/>
  <c r="L106" i="1" s="1"/>
  <c r="K78" i="1"/>
  <c r="L78" i="1" s="1"/>
  <c r="E8" i="9"/>
  <c r="K8" i="9" s="1"/>
  <c r="N8" i="9" s="1"/>
  <c r="K93" i="1"/>
  <c r="L93" i="1" s="1"/>
  <c r="E16" i="9"/>
  <c r="K16" i="9" s="1"/>
  <c r="N16" i="9" s="1"/>
  <c r="K133" i="1"/>
  <c r="L133" i="1" s="1"/>
  <c r="E69" i="9"/>
  <c r="K69" i="9" s="1"/>
  <c r="N69" i="9" s="1"/>
  <c r="K132" i="1"/>
  <c r="L132" i="1" s="1"/>
  <c r="E67" i="9"/>
  <c r="K67" i="9" s="1"/>
  <c r="N67" i="9" s="1"/>
  <c r="D8" i="9"/>
  <c r="L8" i="9" s="1"/>
  <c r="O8" i="9" s="1"/>
  <c r="D7" i="9"/>
  <c r="L7" i="9" s="1"/>
  <c r="O7" i="9" s="1"/>
  <c r="D42" i="9"/>
  <c r="L42" i="9" s="1"/>
  <c r="O42" i="9" s="1"/>
  <c r="K120" i="1"/>
  <c r="L120" i="1" s="1"/>
  <c r="E18" i="9"/>
  <c r="K18" i="9" s="1"/>
  <c r="N18" i="9" s="1"/>
  <c r="D12" i="9"/>
  <c r="L12" i="9" s="1"/>
  <c r="O12" i="9" s="1"/>
  <c r="D13" i="9"/>
  <c r="L13" i="9" s="1"/>
  <c r="O13" i="9" s="1"/>
  <c r="D18" i="9"/>
  <c r="L18" i="9" s="1"/>
  <c r="O18" i="9" s="1"/>
  <c r="D41" i="9"/>
  <c r="L41" i="9" s="1"/>
  <c r="O41" i="9" s="1"/>
  <c r="D22" i="9"/>
  <c r="L22" i="9" s="1"/>
  <c r="O22" i="9" s="1"/>
  <c r="D21" i="9"/>
  <c r="L21" i="9" s="1"/>
  <c r="O21" i="9" s="1"/>
  <c r="D19" i="9"/>
  <c r="L19" i="9" s="1"/>
  <c r="O19" i="9" s="1"/>
  <c r="D10" i="9"/>
  <c r="L10" i="9" s="1"/>
  <c r="O10" i="9" s="1"/>
  <c r="D36" i="9"/>
  <c r="L36" i="9" s="1"/>
  <c r="O36" i="9" s="1"/>
  <c r="D11" i="9"/>
  <c r="L11" i="9" s="1"/>
  <c r="O11" i="9" s="1"/>
  <c r="H27" i="1"/>
  <c r="H30" i="1"/>
  <c r="H28" i="1"/>
  <c r="H26" i="1"/>
  <c r="H31" i="1"/>
  <c r="H25" i="1"/>
  <c r="H24" i="1"/>
  <c r="H29" i="1"/>
  <c r="H23" i="1"/>
  <c r="E42" i="9" l="1"/>
  <c r="K42" i="9" s="1"/>
  <c r="N42" i="9" s="1"/>
  <c r="K27" i="1"/>
  <c r="L27" i="1" s="1"/>
  <c r="E21" i="9"/>
  <c r="K21" i="9" s="1"/>
  <c r="N21" i="9" s="1"/>
  <c r="K30" i="1"/>
  <c r="L30" i="1" s="1"/>
  <c r="E36" i="9"/>
  <c r="K36" i="9" s="1"/>
  <c r="N36" i="9" s="1"/>
  <c r="K28" i="1"/>
  <c r="L28" i="1" s="1"/>
  <c r="E41" i="9"/>
  <c r="K41" i="9" s="1"/>
  <c r="N41" i="9" s="1"/>
  <c r="K26" i="1"/>
  <c r="L26" i="1" s="1"/>
  <c r="E19" i="9"/>
  <c r="K19" i="9" s="1"/>
  <c r="N19" i="9" s="1"/>
  <c r="K31" i="1"/>
  <c r="L31" i="1" s="1"/>
  <c r="E13" i="9"/>
  <c r="K13" i="9" s="1"/>
  <c r="N13" i="9" s="1"/>
  <c r="K25" i="1"/>
  <c r="L25" i="1" s="1"/>
  <c r="E58" i="9"/>
  <c r="K58" i="9" s="1"/>
  <c r="N58" i="9" s="1"/>
  <c r="K24" i="1"/>
  <c r="L24" i="1" s="1"/>
  <c r="E22" i="9"/>
  <c r="K22" i="9" s="1"/>
  <c r="N22" i="9" s="1"/>
  <c r="K29" i="1"/>
  <c r="L29" i="1" s="1"/>
  <c r="K23" i="1"/>
  <c r="L23" i="1" s="1"/>
  <c r="E11" i="9"/>
  <c r="K11" i="9" s="1"/>
  <c r="N11" i="9" s="1"/>
</calcChain>
</file>

<file path=xl/sharedStrings.xml><?xml version="1.0" encoding="utf-8"?>
<sst xmlns="http://schemas.openxmlformats.org/spreadsheetml/2006/main" count="811" uniqueCount="192">
  <si>
    <t>Unit</t>
  </si>
  <si>
    <t xml:space="preserve">    TAHINI MAPLE SAUCE</t>
  </si>
  <si>
    <t xml:space="preserve">  LOMES CREAM SAUCE</t>
  </si>
  <si>
    <t xml:space="preserve">    GREEN YOGURT SAUCE</t>
  </si>
  <si>
    <t>BALSAMIC TOMATO SAUCE</t>
  </si>
  <si>
    <t xml:space="preserve">    MUSHROOM SAUCE</t>
  </si>
  <si>
    <t xml:space="preserve">    PEANUT BUTTER SAUCE</t>
  </si>
  <si>
    <t xml:space="preserve">    HONEY LEMON SAUCE</t>
  </si>
  <si>
    <t xml:space="preserve">  ORANGE VINAIGRETTE</t>
  </si>
  <si>
    <t>KALE SALAD — سلطة الكيل</t>
  </si>
  <si>
    <t>Salad Name - أسم السلطة</t>
  </si>
  <si>
    <t>Ingredients - المكونات</t>
  </si>
  <si>
    <t>Weight - الوزن</t>
  </si>
  <si>
    <t>Quantity after cleaning - إجمالى المطلوب بعد بعد التنظيف</t>
  </si>
  <si>
    <t>Yield</t>
  </si>
  <si>
    <t>HARMONY SAUCE</t>
  </si>
  <si>
    <t>ITALIAN LEMON SAUCE</t>
  </si>
  <si>
    <t xml:space="preserve"> DIJON YOGURT SAUCE</t>
  </si>
  <si>
    <t xml:space="preserve">      DIJON  MUSTARD </t>
  </si>
  <si>
    <t>Quantity needed salad  الكمية المطلوبة من السلطة</t>
  </si>
  <si>
    <t xml:space="preserve"> LEMON DATE ZINGER SAUCE</t>
  </si>
  <si>
    <t>Fruit Salad  — سلطة الفواكه</t>
  </si>
  <si>
    <t>BEETROOT SALAD — سلطة الشمندر</t>
  </si>
  <si>
    <t>ROCKET SALAD — سلطة الجرجير بخل البلسمك</t>
  </si>
  <si>
    <t>MAXICAN SALAD — سلطة مكسيكية</t>
  </si>
  <si>
    <t>VEG &amp; FETA CHEESE SALAD — سلطة الخضار بالفيتا</t>
  </si>
  <si>
    <t>ITALIAN SALAD — سلطة إيطالية</t>
  </si>
  <si>
    <t>SOMBRERO SALAD — سلطة السيمبريرو</t>
  </si>
  <si>
    <t>MASHROOM SALAD — سلطة الجرجير بالمشروم</t>
  </si>
  <si>
    <t>CEASAR SALAD — سلطة السيزر</t>
  </si>
  <si>
    <t>FETA DATE SALAD — سلطة التمر</t>
  </si>
  <si>
    <t>TROPICAL QINOA SALAD — سلطة الكينوا</t>
  </si>
  <si>
    <t>TANGO SALAD — سلطة التانغو</t>
  </si>
  <si>
    <t>gm</t>
  </si>
  <si>
    <t>kg</t>
  </si>
  <si>
    <t>Box</t>
  </si>
  <si>
    <t>Pack</t>
  </si>
  <si>
    <t>سلطة إيطالية</t>
  </si>
  <si>
    <t>سلطة الشمندر</t>
  </si>
  <si>
    <t>سلطة الفواكه</t>
  </si>
  <si>
    <t>تفاح أحمر</t>
  </si>
  <si>
    <t>سلطة الجرجير بالمشروم</t>
  </si>
  <si>
    <t>سلطة السيمبريرو</t>
  </si>
  <si>
    <t>تفاح أخضر</t>
  </si>
  <si>
    <t>سلطة السيزر</t>
  </si>
  <si>
    <t>سلطة التمر</t>
  </si>
  <si>
    <t>سلطة الكينوا</t>
  </si>
  <si>
    <t>سلطة التانغو</t>
  </si>
  <si>
    <t>سلطة الجرجير بخل البلسمك</t>
  </si>
  <si>
    <t>سلطة مكسيكية</t>
  </si>
  <si>
    <t>سلطة الكيل</t>
  </si>
  <si>
    <t>سلطة الخضار بالفيتا</t>
  </si>
  <si>
    <t>موز</t>
  </si>
  <si>
    <t>Day</t>
  </si>
  <si>
    <t>ITEMS</t>
  </si>
  <si>
    <t>Category</t>
  </si>
  <si>
    <t>Daily Weight</t>
  </si>
  <si>
    <t>Weekly Weight</t>
  </si>
  <si>
    <t>Order Base Unit وحدة الطلب الأساسية</t>
  </si>
  <si>
    <t>Order Unit وحدة الطلب</t>
  </si>
  <si>
    <t>Price of ordering unit سعر وحدة الطلب</t>
  </si>
  <si>
    <t>Cost Per KG or L السعر للكيلو او للتر</t>
  </si>
  <si>
    <t>Weekly Order</t>
  </si>
  <si>
    <t>Daily Order</t>
  </si>
  <si>
    <t>Order Unit</t>
  </si>
  <si>
    <t>Weekly Price</t>
  </si>
  <si>
    <t>Daily Price</t>
  </si>
  <si>
    <t>Cheddar Cheese - جبنة شيدر</t>
  </si>
  <si>
    <t>Dry Oregano - أوريجانو مجفف</t>
  </si>
  <si>
    <t>Frozen Green Peas - بازلاء خضراء مجمده</t>
  </si>
  <si>
    <t>Chicken - دجاج</t>
  </si>
  <si>
    <t>Red Kidney Beans - فاصوليا حمراء</t>
  </si>
  <si>
    <t>Mozzarella Cheese - جبنة موتزاريلا</t>
  </si>
  <si>
    <t>Sweet Corn - ذرة حلوة</t>
  </si>
  <si>
    <t>Sugar - سكر</t>
  </si>
  <si>
    <t>Balsamic Vinegar - خل بلسميك</t>
  </si>
  <si>
    <t>Brown Sugar - سكر بني</t>
  </si>
  <si>
    <t>Cooking Cream - كريمة طبخ</t>
  </si>
  <si>
    <t>Mustard - خردل</t>
  </si>
  <si>
    <t>Dry Basil - ريحان مجفف</t>
  </si>
  <si>
    <t>Honey - عسل</t>
  </si>
  <si>
    <t>Lemon Juice - عصير ليمون</t>
  </si>
  <si>
    <t>Mayonnaise - مايونيز</t>
  </si>
  <si>
    <t>Milk - حليب</t>
  </si>
  <si>
    <t>Olive Oil - زيت زيتون</t>
  </si>
  <si>
    <t>Black Pepper Powder - فلفل أسود مطحون</t>
  </si>
  <si>
    <t>Salt - ملح</t>
  </si>
  <si>
    <t>Tomato Ketchup - كاتشب طماطم</t>
  </si>
  <si>
    <t>Water - ماء</t>
  </si>
  <si>
    <t>Yogurt - زبادي</t>
  </si>
  <si>
    <t>ml</t>
  </si>
  <si>
    <t>12,000 KG/Carton</t>
  </si>
  <si>
    <t>10.8 KG/Carton</t>
  </si>
  <si>
    <t>4800 Kg / Carton</t>
  </si>
  <si>
    <t>9600 Kg / Carton</t>
  </si>
  <si>
    <t>KG</t>
  </si>
  <si>
    <t>12.75 Kg / Carton</t>
  </si>
  <si>
    <t>6 L/Carton</t>
  </si>
  <si>
    <t>12 L / Carton</t>
  </si>
  <si>
    <t>15.12 L / Carton</t>
  </si>
  <si>
    <t>12000 ML/Cartoon</t>
  </si>
  <si>
    <t>14800 L/Carton</t>
  </si>
  <si>
    <t>9600 gm/Carton</t>
  </si>
  <si>
    <t>Kg</t>
  </si>
  <si>
    <t>50 Kg</t>
  </si>
  <si>
    <t>16000 KG/Can</t>
  </si>
  <si>
    <t>20 Kg / Carton</t>
  </si>
  <si>
    <t>10 Kg</t>
  </si>
  <si>
    <t>معلبات و مجمدات</t>
  </si>
  <si>
    <t>منتجات ألبان</t>
  </si>
  <si>
    <t>أعشاب مجففة</t>
  </si>
  <si>
    <t>بروتين</t>
  </si>
  <si>
    <t>مكسرات</t>
  </si>
  <si>
    <t>محليات</t>
  </si>
  <si>
    <t>صوصات ومنكهات</t>
  </si>
  <si>
    <t>سوائل ومرق</t>
  </si>
  <si>
    <t>توابل</t>
  </si>
  <si>
    <t>Frozen Green Beans - فاصوليا خضراء مجمدة</t>
  </si>
  <si>
    <t>Sesame Paste - طحينة السمسم</t>
  </si>
  <si>
    <t>Sliced black olives - زيتون أسود شرائح</t>
  </si>
  <si>
    <t>Feta cheese - جبنة فيتا</t>
  </si>
  <si>
    <t>Date Paste - معجون تمر</t>
  </si>
  <si>
    <t>142 g / Pack</t>
  </si>
  <si>
    <t>7200gm / Carton</t>
  </si>
  <si>
    <t>250 g / Box</t>
  </si>
  <si>
    <t>2724 Kg / Carton</t>
  </si>
  <si>
    <t>9.2 Kg / Carton</t>
  </si>
  <si>
    <t>100gm / Pack</t>
  </si>
  <si>
    <t>125gm / Box</t>
  </si>
  <si>
    <t>10 Kg / Carton</t>
  </si>
  <si>
    <t>10,000 KG/Bag</t>
  </si>
  <si>
    <t>8000 KG/Carton</t>
  </si>
  <si>
    <t>15,000 KG/Carton</t>
  </si>
  <si>
    <t>825 g / Pack</t>
  </si>
  <si>
    <t>905 g / Pack</t>
  </si>
  <si>
    <t>Parsley - بقدونس</t>
  </si>
  <si>
    <t>Carrot - جزر</t>
  </si>
  <si>
    <t>Garlic - ثوم مقشر</t>
  </si>
  <si>
    <t>Onion - بصل</t>
  </si>
  <si>
    <t>Orange - برتقال</t>
  </si>
  <si>
    <t>8000 Kg / Carton</t>
  </si>
  <si>
    <t>20 Kg</t>
  </si>
  <si>
    <t xml:space="preserve">Quantity needed salad Weekly </t>
  </si>
  <si>
    <t xml:space="preserve">Quantity needed salad Daily </t>
  </si>
  <si>
    <t>PreCooking Yield</t>
  </si>
  <si>
    <t>Price Per KG or L</t>
  </si>
  <si>
    <t>Ordering quantity (KG or L)</t>
  </si>
  <si>
    <t>Cost</t>
  </si>
  <si>
    <t>Portion</t>
  </si>
  <si>
    <t>Signature</t>
  </si>
  <si>
    <t>Quantity received</t>
  </si>
  <si>
    <t>Dill Leaves - شبت</t>
  </si>
  <si>
    <t>خضروات</t>
  </si>
  <si>
    <t>1000 g /Pack</t>
  </si>
  <si>
    <t>Piece</t>
  </si>
  <si>
    <t>165 g / Piece</t>
  </si>
  <si>
    <t>210 g / Piece</t>
  </si>
  <si>
    <t>Musk Melon - شمام</t>
  </si>
  <si>
    <t>Kale Lettuce - الكيل</t>
  </si>
  <si>
    <t>Cucumber - خيار</t>
  </si>
  <si>
    <t>Cherry Tomato - طماطم شيرى</t>
  </si>
  <si>
    <t>Bell Pepper mix - فلفل رومي ألوان</t>
  </si>
  <si>
    <t>Green Apple - تفاح أخضر</t>
  </si>
  <si>
    <t>Grapefruit - جريب فروت</t>
  </si>
  <si>
    <t>Quinoa - كينوا</t>
  </si>
  <si>
    <t>Peanut Butter - زبدة فول سوداني</t>
  </si>
  <si>
    <t>Parmesan Cheese - جبنة البارميزان</t>
  </si>
  <si>
    <t>Pecan Nuts - مكسرات بيكان</t>
  </si>
  <si>
    <t>Coriander Leaves - كزبرة خضراء</t>
  </si>
  <si>
    <t>Dates - تمر</t>
  </si>
  <si>
    <t>Mushroom - مشروم ابيض</t>
  </si>
  <si>
    <t>Pomegranate - رمان</t>
  </si>
  <si>
    <t>مخبوزات</t>
  </si>
  <si>
    <t>1 Piece</t>
  </si>
  <si>
    <t>Banana - موز</t>
  </si>
  <si>
    <t>Walnuts - عين جمل</t>
  </si>
  <si>
    <t>Whole wheat toast - توست أسمر لوزين</t>
  </si>
  <si>
    <t>Black Grapes - عنب أسود</t>
  </si>
  <si>
    <t>Blueberry - توت أزرق</t>
  </si>
  <si>
    <t>Fresh Oregano - اوريغيانو هولندي</t>
  </si>
  <si>
    <t>Iceberg Lettuce - خس مدور أمريكى</t>
  </si>
  <si>
    <t>Kiwi - كيوي</t>
  </si>
  <si>
    <t>Lemon - ليمون</t>
  </si>
  <si>
    <t>Mango - مانجو</t>
  </si>
  <si>
    <t>Rocket Lettuce - جرجير روكت</t>
  </si>
  <si>
    <t>Strawberry - فراولة</t>
  </si>
  <si>
    <t>Stock</t>
  </si>
  <si>
    <t>Beetroot - بنجر</t>
  </si>
  <si>
    <t>Green Bell Pepper - فلفل أخضر رومى</t>
  </si>
  <si>
    <t>Red Apple - تفاح سكرى</t>
  </si>
  <si>
    <t>Red Apple snack - تفاح سكرى سناك</t>
  </si>
  <si>
    <t>250gm / Box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</si>
</sst>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_ * #,##0_ ;_ * \-#,##0_ ;_ * \-??_ ;_ @_ "/>
    <numFmt numFmtId="166" formatCode="_ * #,##0.00_ ;_ * \-#,##0.00_ ;_ * \-??_ ;_ @_ "/>
  </numFmts>
  <fonts count="18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4"/>
      <color theme="0"/>
      <name val="Arial"/>
      <family val="2"/>
      <scheme val="minor"/>
    </font>
    <font>
      <sz val="14"/>
      <color theme="1"/>
      <name val="Arial"/>
      <family val="2"/>
      <scheme val="minor"/>
    </font>
    <font>
      <b/>
      <sz val="10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8"/>
      <color theme="0"/>
      <name val="Arial"/>
      <family val="2"/>
      <scheme val="minor"/>
    </font>
    <font>
      <b/>
      <sz val="16"/>
      <color theme="1"/>
      <name val="Times New Roman"/>
      <family val="1"/>
      <scheme val="major"/>
    </font>
    <font>
      <b/>
      <sz val="14"/>
      <color theme="1"/>
      <name val="Times New Roman"/>
      <family val="1"/>
      <scheme val="major"/>
    </font>
    <font>
      <b/>
      <sz val="12"/>
      <color theme="1"/>
      <name val="Times New Roman"/>
      <family val="1"/>
      <scheme val="major"/>
    </font>
    <font>
      <sz val="11"/>
      <color theme="1"/>
      <name val="Arial"/>
      <family val="2"/>
      <charset val="178"/>
      <scheme val="minor"/>
    </font>
    <font>
      <sz val="12"/>
      <color theme="1"/>
      <name val="Arial"/>
      <family val="2"/>
      <scheme val="minor"/>
    </font>
    <font>
      <b/>
      <sz val="18"/>
      <color theme="1"/>
      <name val="Times New Roman"/>
      <family val="1"/>
      <scheme val="major"/>
    </font>
    <font>
      <b/>
      <sz val="11"/>
      <color theme="1"/>
      <name val="Times New Roman"/>
      <family val="1"/>
      <scheme val="major"/>
    </font>
    <font>
      <b/>
      <sz val="11"/>
      <color theme="1"/>
      <name val="Arial"/>
      <family val="2"/>
    </font>
    <font>
      <sz val="10"/>
      <color rgb="FF000000"/>
      <name val="Arial"/>
      <family val="2"/>
      <scheme val="minor"/>
    </font>
    <font>
      <b/>
      <sz val="18"/>
      <color theme="0"/>
      <name val="Arial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9695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9CA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E7CFE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7CDE8"/>
        <bgColor indexed="64"/>
      </patternFill>
    </fill>
    <fill>
      <patternFill patternType="solid">
        <fgColor rgb="FFFF9797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theme="2"/>
        <bgColor rgb="FFDEEBF7"/>
      </patternFill>
    </fill>
    <fill>
      <patternFill patternType="solid">
        <fgColor theme="5"/>
        <bgColor rgb="FFDEEBF7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rgb="FFFFF2CC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4BAD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14999847407452621"/>
        <bgColor rgb="FFDEEBF7"/>
      </patternFill>
    </fill>
    <fill>
      <patternFill patternType="solid">
        <fgColor theme="1" tint="0.499984740745262"/>
        <bgColor indexed="64"/>
      </patternFill>
    </fill>
  </fills>
  <borders count="9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medium">
        <color theme="4"/>
      </top>
      <bottom style="medium">
        <color theme="1"/>
      </bottom>
      <diagonal/>
    </border>
    <border>
      <left/>
      <right style="medium">
        <color theme="4"/>
      </right>
      <top style="medium">
        <color theme="4"/>
      </top>
      <bottom style="medium">
        <color theme="1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11" fillId="0" borderId="0"/>
    <xf numFmtId="0" fontId="12" fillId="0" borderId="0"/>
    <xf numFmtId="0" fontId="16" fillId="0" borderId="0"/>
  </cellStyleXfs>
  <cellXfs count="183">
    <xf numFmtId="0" fontId="0" fillId="0" borderId="0" xfId="0"/>
    <xf numFmtId="0" fontId="0" fillId="0" borderId="0" xfId="0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5" fillId="3" borderId="0" xfId="0" applyFont="1" applyFill="1" applyAlignment="1">
      <alignment horizontal="center" vertical="center" wrapText="1"/>
    </xf>
    <xf numFmtId="0" fontId="0" fillId="18" borderId="0" xfId="0" applyFill="1"/>
    <xf numFmtId="0" fontId="3" fillId="19" borderId="0" xfId="0" applyFont="1" applyFill="1" applyAlignment="1">
      <alignment horizontal="left" vertical="center"/>
    </xf>
    <xf numFmtId="0" fontId="2" fillId="19" borderId="0" xfId="0" applyFont="1" applyFill="1" applyAlignment="1">
      <alignment horizontal="right" vertical="center" wrapText="1"/>
    </xf>
    <xf numFmtId="0" fontId="4" fillId="18" borderId="0" xfId="0" applyFont="1" applyFill="1"/>
    <xf numFmtId="0" fontId="4" fillId="13" borderId="2" xfId="0" applyFont="1" applyFill="1" applyBorder="1"/>
    <xf numFmtId="0" fontId="4" fillId="20" borderId="2" xfId="0" applyFont="1" applyFill="1" applyBorder="1"/>
    <xf numFmtId="0" fontId="4" fillId="16" borderId="2" xfId="0" applyFont="1" applyFill="1" applyBorder="1"/>
    <xf numFmtId="0" fontId="4" fillId="21" borderId="2" xfId="0" applyFont="1" applyFill="1" applyBorder="1"/>
    <xf numFmtId="0" fontId="4" fillId="18" borderId="2" xfId="0" applyFont="1" applyFill="1" applyBorder="1"/>
    <xf numFmtId="0" fontId="4" fillId="22" borderId="2" xfId="0" applyFont="1" applyFill="1" applyBorder="1"/>
    <xf numFmtId="0" fontId="4" fillId="10" borderId="2" xfId="0" applyFont="1" applyFill="1" applyBorder="1"/>
    <xf numFmtId="0" fontId="4" fillId="23" borderId="2" xfId="0" applyFont="1" applyFill="1" applyBorder="1"/>
    <xf numFmtId="0" fontId="4" fillId="24" borderId="2" xfId="0" applyFont="1" applyFill="1" applyBorder="1"/>
    <xf numFmtId="0" fontId="4" fillId="25" borderId="2" xfId="0" applyFont="1" applyFill="1" applyBorder="1"/>
    <xf numFmtId="0" fontId="4" fillId="26" borderId="3" xfId="0" applyFont="1" applyFill="1" applyBorder="1"/>
    <xf numFmtId="0" fontId="0" fillId="27" borderId="0" xfId="0" applyFill="1" applyAlignment="1">
      <alignment horizontal="center" vertical="center"/>
    </xf>
    <xf numFmtId="0" fontId="6" fillId="0" borderId="0" xfId="0" applyFont="1"/>
    <xf numFmtId="0" fontId="4" fillId="27" borderId="4" xfId="0" applyFont="1" applyFill="1" applyBorder="1"/>
    <xf numFmtId="0" fontId="0" fillId="28" borderId="4" xfId="0" applyFill="1" applyBorder="1"/>
    <xf numFmtId="0" fontId="0" fillId="26" borderId="4" xfId="0" applyFill="1" applyBorder="1"/>
    <xf numFmtId="0" fontId="0" fillId="29" borderId="4" xfId="0" applyFill="1" applyBorder="1"/>
    <xf numFmtId="0" fontId="0" fillId="28" borderId="0" xfId="0" applyFill="1" applyAlignment="1">
      <alignment horizontal="center" vertical="center"/>
    </xf>
    <xf numFmtId="0" fontId="0" fillId="26" borderId="0" xfId="0" applyFill="1" applyAlignment="1">
      <alignment horizontal="center" vertical="center"/>
    </xf>
    <xf numFmtId="0" fontId="0" fillId="29" borderId="0" xfId="0" applyFill="1" applyAlignment="1">
      <alignment horizontal="center" vertical="center"/>
    </xf>
    <xf numFmtId="0" fontId="4" fillId="4" borderId="2" xfId="0" applyFont="1" applyFill="1" applyBorder="1"/>
    <xf numFmtId="0" fontId="8" fillId="4" borderId="7" xfId="0" applyFont="1" applyFill="1" applyBorder="1" applyAlignment="1">
      <alignment horizontal="center" vertical="center"/>
    </xf>
    <xf numFmtId="0" fontId="9" fillId="4" borderId="7" xfId="0" applyFont="1" applyFill="1" applyBorder="1" applyAlignment="1">
      <alignment horizontal="center" vertical="center"/>
    </xf>
    <xf numFmtId="0" fontId="10" fillId="4" borderId="7" xfId="0" applyFont="1" applyFill="1" applyBorder="1" applyAlignment="1">
      <alignment horizontal="center" vertical="center"/>
    </xf>
    <xf numFmtId="0" fontId="13" fillId="4" borderId="0" xfId="1" applyFont="1" applyFill="1" applyAlignment="1">
      <alignment horizontal="center" vertical="center"/>
    </xf>
    <xf numFmtId="0" fontId="7" fillId="19" borderId="5" xfId="0" applyFont="1" applyFill="1" applyBorder="1" applyAlignment="1">
      <alignment horizontal="left" vertical="center"/>
    </xf>
    <xf numFmtId="0" fontId="7" fillId="19" borderId="6" xfId="0" applyFont="1" applyFill="1" applyBorder="1" applyAlignment="1">
      <alignment horizontal="right" vertical="center" wrapText="1"/>
    </xf>
    <xf numFmtId="0" fontId="7" fillId="19" borderId="6" xfId="0" applyFont="1" applyFill="1" applyBorder="1" applyAlignment="1">
      <alignment horizontal="center" vertical="center" wrapText="1"/>
    </xf>
    <xf numFmtId="0" fontId="6" fillId="18" borderId="0" xfId="0" applyFont="1" applyFill="1" applyAlignment="1">
      <alignment horizontal="center" vertical="center"/>
    </xf>
    <xf numFmtId="0" fontId="14" fillId="18" borderId="0" xfId="0" applyFont="1" applyFill="1"/>
    <xf numFmtId="0" fontId="15" fillId="30" borderId="0" xfId="0" applyFont="1" applyFill="1" applyAlignment="1">
      <alignment horizontal="left" vertical="center"/>
    </xf>
    <xf numFmtId="0" fontId="15" fillId="30" borderId="0" xfId="0" applyFont="1" applyFill="1" applyAlignment="1">
      <alignment horizontal="center" vertical="center"/>
    </xf>
    <xf numFmtId="0" fontId="15" fillId="30" borderId="0" xfId="0" applyFont="1" applyFill="1" applyAlignment="1">
      <alignment horizontal="center" vertical="center" wrapText="1"/>
    </xf>
    <xf numFmtId="0" fontId="15" fillId="31" borderId="0" xfId="0" applyFont="1" applyFill="1" applyAlignment="1">
      <alignment horizontal="center" vertical="center" wrapText="1"/>
    </xf>
    <xf numFmtId="0" fontId="15" fillId="31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 vertical="center"/>
    </xf>
    <xf numFmtId="0" fontId="0" fillId="4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6" borderId="0" xfId="0" applyFill="1" applyAlignment="1">
      <alignment horizontal="left"/>
    </xf>
    <xf numFmtId="0" fontId="0" fillId="8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12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0" fillId="14" borderId="0" xfId="0" applyFill="1" applyAlignment="1">
      <alignment horizontal="left"/>
    </xf>
    <xf numFmtId="0" fontId="0" fillId="15" borderId="0" xfId="0" applyFill="1" applyAlignment="1">
      <alignment horizontal="left"/>
    </xf>
    <xf numFmtId="0" fontId="0" fillId="27" borderId="0" xfId="0" applyFill="1" applyAlignment="1">
      <alignment horizontal="left"/>
    </xf>
    <xf numFmtId="0" fontId="0" fillId="28" borderId="0" xfId="0" applyFill="1" applyAlignment="1">
      <alignment horizontal="left"/>
    </xf>
    <xf numFmtId="0" fontId="0" fillId="26" borderId="0" xfId="0" applyFill="1" applyAlignment="1">
      <alignment horizontal="left"/>
    </xf>
    <xf numFmtId="0" fontId="0" fillId="29" borderId="0" xfId="0" applyFill="1" applyAlignment="1">
      <alignment horizontal="left"/>
    </xf>
    <xf numFmtId="165" fontId="15" fillId="33" borderId="0" xfId="0" applyNumberFormat="1" applyFont="1" applyFill="1" applyAlignment="1">
      <alignment horizontal="center" vertical="center"/>
    </xf>
    <xf numFmtId="166" fontId="15" fillId="33" borderId="0" xfId="0" applyNumberFormat="1" applyFont="1" applyFill="1"/>
    <xf numFmtId="165" fontId="15" fillId="34" borderId="0" xfId="0" applyNumberFormat="1" applyFont="1" applyFill="1" applyAlignment="1">
      <alignment horizontal="center" vertical="center"/>
    </xf>
    <xf numFmtId="166" fontId="15" fillId="34" borderId="0" xfId="0" applyNumberFormat="1" applyFont="1" applyFill="1"/>
    <xf numFmtId="0" fontId="0" fillId="4" borderId="0" xfId="0" applyFill="1" applyAlignment="1">
      <alignment horizontal="left" vertical="center"/>
    </xf>
    <xf numFmtId="0" fontId="0" fillId="5" borderId="0" xfId="0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0" fillId="17" borderId="0" xfId="0" applyFill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0" fillId="11" borderId="0" xfId="0" applyFill="1" applyAlignment="1">
      <alignment horizontal="left" vertical="center"/>
    </xf>
    <xf numFmtId="0" fontId="0" fillId="12" borderId="0" xfId="0" applyFill="1" applyAlignment="1">
      <alignment horizontal="left" vertical="center"/>
    </xf>
    <xf numFmtId="0" fontId="0" fillId="10" borderId="0" xfId="0" applyFill="1" applyAlignment="1">
      <alignment horizontal="left" vertical="center"/>
    </xf>
    <xf numFmtId="0" fontId="0" fillId="13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15" borderId="0" xfId="0" applyFill="1" applyAlignment="1">
      <alignment horizontal="left" vertical="center"/>
    </xf>
    <xf numFmtId="0" fontId="4" fillId="27" borderId="0" xfId="0" applyFont="1" applyFill="1" applyAlignment="1">
      <alignment horizontal="left"/>
    </xf>
    <xf numFmtId="0" fontId="15" fillId="40" borderId="0" xfId="0" applyFont="1" applyFill="1" applyAlignment="1">
      <alignment horizontal="center" vertical="center" wrapText="1"/>
    </xf>
    <xf numFmtId="166" fontId="15" fillId="33" borderId="0" xfId="0" applyNumberFormat="1" applyFont="1" applyFill="1" applyAlignment="1">
      <alignment horizontal="center"/>
    </xf>
    <xf numFmtId="166" fontId="15" fillId="34" borderId="0" xfId="0" applyNumberFormat="1" applyFont="1" applyFill="1" applyAlignment="1">
      <alignment horizontal="center"/>
    </xf>
    <xf numFmtId="165" fontId="15" fillId="34" borderId="0" xfId="0" applyNumberFormat="1" applyFont="1" applyFill="1" applyAlignment="1">
      <alignment horizontal="center"/>
    </xf>
    <xf numFmtId="0" fontId="6" fillId="35" borderId="0" xfId="0" applyFont="1" applyFill="1" applyAlignment="1">
      <alignment horizontal="left"/>
    </xf>
    <xf numFmtId="0" fontId="6" fillId="35" borderId="0" xfId="0" applyFont="1" applyFill="1" applyAlignment="1">
      <alignment horizontal="center"/>
    </xf>
    <xf numFmtId="164" fontId="6" fillId="35" borderId="0" xfId="0" applyNumberFormat="1" applyFont="1" applyFill="1" applyAlignment="1">
      <alignment horizontal="center"/>
    </xf>
    <xf numFmtId="0" fontId="6" fillId="32" borderId="0" xfId="0" applyFont="1" applyFill="1" applyAlignment="1">
      <alignment horizontal="left"/>
    </xf>
    <xf numFmtId="0" fontId="6" fillId="32" borderId="0" xfId="0" applyFont="1" applyFill="1" applyAlignment="1">
      <alignment horizontal="center"/>
    </xf>
    <xf numFmtId="164" fontId="6" fillId="32" borderId="0" xfId="0" applyNumberFormat="1" applyFont="1" applyFill="1" applyAlignment="1">
      <alignment horizontal="center"/>
    </xf>
    <xf numFmtId="0" fontId="6" fillId="7" borderId="0" xfId="0" applyFont="1" applyFill="1" applyAlignment="1">
      <alignment horizontal="left"/>
    </xf>
    <xf numFmtId="0" fontId="6" fillId="7" borderId="0" xfId="0" applyFont="1" applyFill="1" applyAlignment="1">
      <alignment horizontal="center"/>
    </xf>
    <xf numFmtId="164" fontId="6" fillId="7" borderId="0" xfId="0" applyNumberFormat="1" applyFont="1" applyFill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164" fontId="6" fillId="0" borderId="0" xfId="0" applyNumberFormat="1" applyFont="1" applyAlignment="1">
      <alignment horizontal="center"/>
    </xf>
    <xf numFmtId="0" fontId="6" fillId="29" borderId="0" xfId="0" applyFont="1" applyFill="1" applyAlignment="1">
      <alignment horizontal="left"/>
    </xf>
    <xf numFmtId="0" fontId="6" fillId="29" borderId="0" xfId="0" applyFont="1" applyFill="1" applyAlignment="1">
      <alignment horizontal="center"/>
    </xf>
    <xf numFmtId="164" fontId="6" fillId="29" borderId="0" xfId="0" applyNumberFormat="1" applyFont="1" applyFill="1" applyAlignment="1">
      <alignment horizontal="center"/>
    </xf>
    <xf numFmtId="0" fontId="6" fillId="36" borderId="0" xfId="0" applyFont="1" applyFill="1" applyAlignment="1">
      <alignment horizontal="left"/>
    </xf>
    <xf numFmtId="0" fontId="6" fillId="36" borderId="0" xfId="0" applyFont="1" applyFill="1" applyAlignment="1">
      <alignment horizontal="center"/>
    </xf>
    <xf numFmtId="164" fontId="6" fillId="36" borderId="0" xfId="0" applyNumberFormat="1" applyFont="1" applyFill="1" applyAlignment="1">
      <alignment horizontal="center"/>
    </xf>
    <xf numFmtId="0" fontId="6" fillId="12" borderId="0" xfId="0" applyFont="1" applyFill="1" applyAlignment="1">
      <alignment horizontal="left"/>
    </xf>
    <xf numFmtId="0" fontId="6" fillId="12" borderId="0" xfId="0" applyFont="1" applyFill="1" applyAlignment="1">
      <alignment horizontal="center"/>
    </xf>
    <xf numFmtId="1" fontId="6" fillId="12" borderId="0" xfId="0" applyNumberFormat="1" applyFont="1" applyFill="1" applyAlignment="1">
      <alignment horizontal="center"/>
    </xf>
    <xf numFmtId="164" fontId="6" fillId="12" borderId="0" xfId="0" applyNumberFormat="1" applyFont="1" applyFill="1" applyAlignment="1">
      <alignment horizontal="center"/>
    </xf>
    <xf numFmtId="1" fontId="6" fillId="32" borderId="0" xfId="0" applyNumberFormat="1" applyFont="1" applyFill="1" applyAlignment="1">
      <alignment horizontal="center"/>
    </xf>
    <xf numFmtId="0" fontId="6" fillId="27" borderId="0" xfId="0" applyFont="1" applyFill="1" applyAlignment="1">
      <alignment horizontal="left"/>
    </xf>
    <xf numFmtId="0" fontId="6" fillId="27" borderId="0" xfId="0" applyFont="1" applyFill="1" applyAlignment="1">
      <alignment horizontal="center"/>
    </xf>
    <xf numFmtId="1" fontId="6" fillId="0" borderId="0" xfId="0" applyNumberFormat="1" applyFont="1" applyAlignment="1">
      <alignment horizontal="center"/>
    </xf>
    <xf numFmtId="0" fontId="6" fillId="37" borderId="0" xfId="0" applyFont="1" applyFill="1" applyAlignment="1">
      <alignment horizontal="left"/>
    </xf>
    <xf numFmtId="0" fontId="6" fillId="37" borderId="0" xfId="0" applyFont="1" applyFill="1" applyAlignment="1">
      <alignment horizontal="center"/>
    </xf>
    <xf numFmtId="1" fontId="6" fillId="37" borderId="0" xfId="0" applyNumberFormat="1" applyFont="1" applyFill="1" applyAlignment="1">
      <alignment horizontal="center"/>
    </xf>
    <xf numFmtId="164" fontId="6" fillId="37" borderId="0" xfId="0" applyNumberFormat="1" applyFont="1" applyFill="1" applyAlignment="1">
      <alignment horizontal="center"/>
    </xf>
    <xf numFmtId="0" fontId="6" fillId="38" borderId="0" xfId="0" applyFont="1" applyFill="1" applyAlignment="1">
      <alignment horizontal="left"/>
    </xf>
    <xf numFmtId="0" fontId="6" fillId="38" borderId="0" xfId="0" applyFont="1" applyFill="1" applyAlignment="1">
      <alignment horizontal="center"/>
    </xf>
    <xf numFmtId="164" fontId="6" fillId="38" borderId="0" xfId="0" applyNumberFormat="1" applyFont="1" applyFill="1" applyAlignment="1">
      <alignment horizontal="center"/>
    </xf>
    <xf numFmtId="0" fontId="6" fillId="39" borderId="0" xfId="0" applyFont="1" applyFill="1" applyAlignment="1">
      <alignment horizontal="left"/>
    </xf>
    <xf numFmtId="0" fontId="6" fillId="39" borderId="0" xfId="0" applyFont="1" applyFill="1" applyAlignment="1">
      <alignment horizontal="center"/>
    </xf>
    <xf numFmtId="164" fontId="6" fillId="39" borderId="0" xfId="0" applyNumberFormat="1" applyFont="1" applyFill="1" applyAlignment="1">
      <alignment horizontal="center"/>
    </xf>
    <xf numFmtId="0" fontId="6" fillId="32" borderId="0" xfId="0" applyFont="1" applyFill="1"/>
    <xf numFmtId="1" fontId="6" fillId="32" borderId="0" xfId="0" applyNumberFormat="1" applyFont="1" applyFill="1" applyAlignment="1">
      <alignment horizontal="center" vertical="center"/>
    </xf>
    <xf numFmtId="0" fontId="6" fillId="22" borderId="0" xfId="0" applyFont="1" applyFill="1" applyAlignment="1">
      <alignment horizontal="left"/>
    </xf>
    <xf numFmtId="0" fontId="6" fillId="22" borderId="0" xfId="0" applyFont="1" applyFill="1"/>
    <xf numFmtId="1" fontId="6" fillId="22" borderId="0" xfId="0" applyNumberFormat="1" applyFont="1" applyFill="1" applyAlignment="1">
      <alignment horizontal="center" vertical="center"/>
    </xf>
    <xf numFmtId="0" fontId="6" fillId="22" borderId="0" xfId="0" applyFont="1" applyFill="1" applyAlignment="1">
      <alignment horizontal="center"/>
    </xf>
    <xf numFmtId="1" fontId="6" fillId="0" borderId="0" xfId="0" applyNumberFormat="1" applyFont="1" applyAlignment="1">
      <alignment horizontal="center" vertical="center"/>
    </xf>
    <xf numFmtId="0" fontId="6" fillId="21" borderId="0" xfId="0" applyFont="1" applyFill="1"/>
    <xf numFmtId="0" fontId="0" fillId="2" borderId="0" xfId="0" applyFill="1"/>
    <xf numFmtId="164" fontId="0" fillId="4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5" borderId="0" xfId="0" applyNumberFormat="1" applyFill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7" borderId="0" xfId="0" applyNumberFormat="1" applyFill="1" applyAlignment="1">
      <alignment horizontal="center" vertical="center"/>
    </xf>
    <xf numFmtId="164" fontId="0" fillId="6" borderId="0" xfId="0" applyNumberFormat="1" applyFill="1" applyAlignment="1">
      <alignment horizontal="center" vertical="center"/>
    </xf>
    <xf numFmtId="164" fontId="0" fillId="8" borderId="0" xfId="0" applyNumberFormat="1" applyFill="1" applyAlignment="1">
      <alignment horizontal="center" vertical="center"/>
    </xf>
    <xf numFmtId="164" fontId="0" fillId="17" borderId="0" xfId="0" applyNumberFormat="1" applyFill="1" applyAlignment="1">
      <alignment horizontal="center" vertical="center"/>
    </xf>
    <xf numFmtId="164" fontId="0" fillId="9" borderId="0" xfId="0" applyNumberFormat="1" applyFill="1" applyAlignment="1">
      <alignment horizontal="center" vertical="center"/>
    </xf>
    <xf numFmtId="164" fontId="0" fillId="11" borderId="0" xfId="0" applyNumberFormat="1" applyFill="1" applyAlignment="1">
      <alignment horizontal="center" vertical="center"/>
    </xf>
    <xf numFmtId="164" fontId="0" fillId="12" borderId="0" xfId="0" applyNumberFormat="1" applyFill="1" applyAlignment="1">
      <alignment horizontal="center" vertical="center"/>
    </xf>
    <xf numFmtId="164" fontId="0" fillId="10" borderId="0" xfId="0" applyNumberFormat="1" applyFill="1" applyAlignment="1">
      <alignment horizontal="center" vertical="center"/>
    </xf>
    <xf numFmtId="164" fontId="0" fillId="13" borderId="0" xfId="0" applyNumberFormat="1" applyFill="1" applyAlignment="1">
      <alignment horizontal="center" vertical="center"/>
    </xf>
    <xf numFmtId="164" fontId="0" fillId="14" borderId="0" xfId="0" applyNumberFormat="1" applyFill="1" applyAlignment="1">
      <alignment horizontal="center" vertical="center"/>
    </xf>
    <xf numFmtId="164" fontId="0" fillId="15" borderId="0" xfId="0" applyNumberFormat="1" applyFill="1" applyAlignment="1">
      <alignment horizontal="center" vertical="center"/>
    </xf>
    <xf numFmtId="164" fontId="0" fillId="27" borderId="0" xfId="0" applyNumberFormat="1" applyFill="1" applyAlignment="1">
      <alignment horizontal="center" vertical="center"/>
    </xf>
    <xf numFmtId="164" fontId="0" fillId="28" borderId="0" xfId="0" applyNumberFormat="1" applyFill="1" applyAlignment="1">
      <alignment horizontal="center" vertical="center"/>
    </xf>
    <xf numFmtId="164" fontId="0" fillId="26" borderId="0" xfId="0" applyNumberFormat="1" applyFill="1" applyAlignment="1">
      <alignment horizontal="center" vertical="center"/>
    </xf>
    <xf numFmtId="164" fontId="0" fillId="29" borderId="0" xfId="0" applyNumberFormat="1" applyFill="1" applyAlignment="1">
      <alignment horizontal="center" vertical="center"/>
    </xf>
    <xf numFmtId="0" fontId="15" fillId="30" borderId="4" xfId="0" applyFont="1" applyFill="1" applyBorder="1" applyAlignment="1">
      <alignment horizontal="left" vertical="center"/>
    </xf>
    <xf numFmtId="0" fontId="15" fillId="30" borderId="4" xfId="0" applyFont="1" applyFill="1" applyBorder="1" applyAlignment="1">
      <alignment horizontal="center" vertical="center"/>
    </xf>
    <xf numFmtId="0" fontId="15" fillId="40" borderId="4" xfId="0" applyFont="1" applyFill="1" applyBorder="1" applyAlignment="1">
      <alignment horizontal="center" vertical="center" wrapText="1"/>
    </xf>
    <xf numFmtId="0" fontId="6" fillId="22" borderId="4" xfId="0" applyFont="1" applyFill="1" applyBorder="1" applyAlignment="1">
      <alignment horizontal="left"/>
    </xf>
    <xf numFmtId="0" fontId="6" fillId="22" borderId="4" xfId="0" applyFont="1" applyFill="1" applyBorder="1"/>
    <xf numFmtId="166" fontId="15" fillId="34" borderId="4" xfId="0" applyNumberFormat="1" applyFont="1" applyFill="1" applyBorder="1" applyAlignment="1">
      <alignment horizontal="center"/>
    </xf>
    <xf numFmtId="0" fontId="0" fillId="22" borderId="4" xfId="0" applyFill="1" applyBorder="1"/>
    <xf numFmtId="0" fontId="15" fillId="33" borderId="0" xfId="0" applyFont="1" applyFill="1"/>
    <xf numFmtId="0" fontId="15" fillId="33" borderId="0" xfId="0" applyFont="1" applyFill="1" applyAlignment="1">
      <alignment horizontal="center"/>
    </xf>
    <xf numFmtId="165" fontId="15" fillId="33" borderId="0" xfId="0" applyNumberFormat="1" applyFont="1" applyFill="1"/>
    <xf numFmtId="0" fontId="6" fillId="32" borderId="0" xfId="0" applyFont="1" applyFill="1" applyAlignment="1">
      <alignment horizontal="left" vertical="center"/>
    </xf>
    <xf numFmtId="0" fontId="0" fillId="32" borderId="0" xfId="0" applyFill="1" applyAlignment="1">
      <alignment horizontal="left"/>
    </xf>
    <xf numFmtId="0" fontId="0" fillId="32" borderId="0" xfId="0" applyFill="1" applyAlignment="1">
      <alignment horizontal="left" vertical="center"/>
    </xf>
    <xf numFmtId="0" fontId="0" fillId="32" borderId="0" xfId="0" applyFill="1"/>
    <xf numFmtId="0" fontId="0" fillId="29" borderId="4" xfId="0" applyFill="1" applyBorder="1" applyAlignment="1">
      <alignment horizontal="left"/>
    </xf>
    <xf numFmtId="0" fontId="6" fillId="2" borderId="0" xfId="0" applyFont="1" applyFill="1"/>
    <xf numFmtId="1" fontId="6" fillId="35" borderId="0" xfId="0" applyNumberFormat="1" applyFont="1" applyFill="1" applyAlignment="1">
      <alignment horizontal="center"/>
    </xf>
    <xf numFmtId="14" fontId="17" fillId="41" borderId="8" xfId="0" applyNumberFormat="1" applyFont="1" applyFill="1" applyBorder="1" applyAlignment="1">
      <alignment horizontal="center"/>
    </xf>
    <xf numFmtId="0" fontId="17" fillId="41" borderId="8" xfId="0" applyFont="1" applyFill="1" applyBorder="1" applyAlignment="1">
      <alignment horizontal="center"/>
    </xf>
  </cellXfs>
  <cellStyles count="4">
    <cellStyle name="Normal" xfId="0" builtinId="0"/>
    <cellStyle name="Normal 2" xfId="2" xr:uid="{444E5098-8158-4954-87C9-A4AB62D539EF}"/>
    <cellStyle name="Normal 2 2 2" xfId="3" xr:uid="{BAF073DD-028B-49AF-ABD6-1F45D6D8DCC0}"/>
    <cellStyle name="Normal 3" xfId="1" xr:uid="{0BD9120E-F3AE-4D11-B05C-D52578E11074}"/>
  </cellStyles>
  <dxfs count="6"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theme="4"/>
        </left>
        <right style="medium">
          <color theme="4"/>
        </right>
        <top style="medium">
          <color theme="4"/>
        </top>
        <bottom style="medium">
          <color theme="4"/>
        </bottom>
      </border>
    </dxf>
    <dxf>
      <numFmt numFmtId="0" formatCode="General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theme="4"/>
        </left>
        <right style="medium">
          <color theme="4"/>
        </right>
        <top style="medium">
          <color theme="4"/>
        </top>
        <bottom style="medium">
          <color theme="4"/>
        </bottom>
      </border>
    </dxf>
  </dxfs>
  <tableStyles count="0" defaultTableStyle="TableStyleMedium2" defaultPivotStyle="PivotStyleLight16"/>
  <colors>
    <mruColors>
      <color rgb="FFFFFFD5"/>
      <color rgb="FFE4BAD9"/>
      <color rgb="FFF7CDE8"/>
      <color rgb="FFF96955"/>
      <color rgb="FF47FF9A"/>
      <color rgb="FFFF9797"/>
      <color rgb="FFF3BB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314739</xdr:colOff>
      <xdr:row>3</xdr:row>
      <xdr:rowOff>171434</xdr:rowOff>
    </xdr:from>
    <xdr:to>
      <xdr:col>6</xdr:col>
      <xdr:colOff>1060174</xdr:colOff>
      <xdr:row>8</xdr:row>
      <xdr:rowOff>32872</xdr:rowOff>
    </xdr:to>
    <xdr:pic macro="[0]!RefreshReceivingOrder">
      <xdr:nvPicPr>
        <xdr:cNvPr id="3" name="Graphic 2" descr="Fruit bowl outline">
          <a:extLst>
            <a:ext uri="{FF2B5EF4-FFF2-40B4-BE49-F238E27FC236}">
              <a16:creationId xmlns:a16="http://schemas.microsoft.com/office/drawing/2014/main" id="{90A17CB8-50AD-E8B3-AAF4-534FD5D438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56939" y="1142984"/>
          <a:ext cx="745435" cy="75043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AFCCFD-62D8-4A23-8F30-E636035F40E2}" name="Table3" displayName="Table3" ref="G3:H19" totalsRowShown="0" tableBorderDxfId="5">
  <autoFilter ref="G3:H19" xr:uid="{89AFCCFD-62D8-4A23-8F30-E636035F40E2}">
    <filterColumn colId="0" hiddenButton="1"/>
    <filterColumn colId="1" hiddenButton="1"/>
  </autoFilter>
  <tableColumns count="2">
    <tableColumn id="1" xr3:uid="{6F84B919-8356-4FBF-B3E4-55B222A71556}" name="Salad Name - أسم السلطة" dataDxfId="4"/>
    <tableColumn id="2" xr3:uid="{77A3DDA4-76DC-4DD0-BC9C-46CEE7A10DA4}" name="Quantity needed salad  الكمية المطلوبة من السلطة" dataDxfId="3">
      <calculatedColumnFormula>#REF!+$I$4</calculatedColumnFormula>
    </tableColumn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A1F559-A05A-487A-92F4-812B7181095D}" name="Table32" displayName="Table32" ref="G55:H71" totalsRowShown="0" tableBorderDxfId="2">
  <autoFilter ref="G55:H71" xr:uid="{0AA1F559-A05A-487A-92F4-812B7181095D}"/>
  <tableColumns count="2">
    <tableColumn id="1" xr3:uid="{53B64BBD-E5F0-4D86-B63C-9F46916C19C5}" name="Salad Name - أسم السلطة" dataDxfId="1"/>
    <tableColumn id="2" xr3:uid="{6758D909-ACD0-4414-B1C4-46587949A07D}" name="Quantity needed salad  الكمية المطلوبة من السلطة" dataDxfId="0">
      <calculatedColumnFormula>#REF!+$I$4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525" row="2">
    <wetp:webextensionref xmlns:r="http://schemas.openxmlformats.org/officeDocument/2006/relationships" r:id="rId1"/>
  </wetp:taskpane>
  <wetp:taskpane dockstate="right" visibility="0" width="788" row="4">
    <wetp:webextensionref xmlns:r="http://schemas.openxmlformats.org/officeDocument/2006/relationships" r:id="rId2"/>
  </wetp:taskpane>
  <wetp:taskpane dockstate="right" visibility="0" width="525" row="9">
    <wetp:webextensionref xmlns:r="http://schemas.openxmlformats.org/officeDocument/2006/relationships" r:id="rId3"/>
  </wetp:taskpane>
  <wetp:taskpane dockstate="right" visibility="0" width="788" row="5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0F5965D9-477B-4DC1-B0D0-61F84FDC8857}">
  <we:reference id="wa200005271" version="2.6.1.0" store="en-US" storeType="OMEX"/>
  <we:alternateReferences>
    <we:reference id="wa200005271" version="2.6.1.0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E255850A-3876-4EBB-942B-A1C0809A95ED}">
  <we:reference id="wa200010725" version="1.0.0.1" store="en-US" storeType="OMEX"/>
  <we:alternateReferences>
    <we:reference id="WA200010725" version="1.0.0.1" store="WA200010725" storeType="OMEX"/>
  </we:alternateReferences>
  <we:properties>
    <we:property name="claude.fileId" value="&quot;a9d5b5ae-c668-454a-9c4f-7196c7fe9e4b&quot;"/>
  </we:properties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692563A7-6F19-4095-83B7-DA36521873BA}">
  <we:reference id="wa200009404" version="1.0.0.8" store="en-US" storeType="OMEX"/>
  <we:alternateReferences>
    <we:reference id="WA200009404" version="1.0.0.8" store="" storeType="OMEX"/>
  </we:alternateReferences>
  <we:properties>
    <we:property name="claude.fileId" value="&quot;c6506dd6-742d-4b8e-aca8-23091e74c205&quot;"/>
  </we:properties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DFCF1C1F-9D6D-43BC-BD45-5617C87E64BD}">
  <we:reference id="wa200010215" version="2.0.0.0" store="en-US" storeType="OMEX"/>
  <we:alternateReferences>
    <we:reference id="WA200010215" version="2.0.0.0" store="WA20001021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ECD33-D0F8-4719-837F-787CE21B7ADA}">
  <sheetPr codeName="Sheet2"/>
  <dimension ref="A1:H198"/>
  <sheetViews>
    <sheetView tabSelected="1" zoomScale="85" zoomScaleNormal="85" workbookViewId="0">
      <selection activeCell="K6" sqref="K6"/>
    </sheetView>
  </sheetViews>
  <sheetFormatPr defaultRowHeight="14" x14ac:dyDescent="0.3"/>
  <cols>
    <col min="1" max="1" width="33" customWidth="1"/>
    <col min="2" max="2" width="10.6640625" customWidth="1"/>
    <col min="3" max="3" width="14.5" customWidth="1"/>
    <col min="5" max="5" width="12.6640625" customWidth="1"/>
    <col min="6" max="6" width="15.5" customWidth="1"/>
    <col min="7" max="7" width="21.75" customWidth="1"/>
    <col min="8" max="8" width="35.6640625" style="175" bestFit="1" customWidth="1"/>
  </cols>
  <sheetData>
    <row r="1" spans="1:8" ht="29.5" customHeight="1" x14ac:dyDescent="0.5">
      <c r="A1" s="181">
        <f ca="1">TODAY()+1</f>
        <v>46225</v>
      </c>
      <c r="B1" s="182"/>
      <c r="C1" s="182"/>
      <c r="D1" s="182"/>
      <c r="E1" s="182"/>
      <c r="F1" s="182"/>
      <c r="H1" s="174"/>
    </row>
    <row r="2" spans="1:8" ht="28" x14ac:dyDescent="0.3">
      <c r="A2" s="164" t="s">
        <v>54</v>
      </c>
      <c r="B2" s="165" t="s">
        <v>55</v>
      </c>
      <c r="C2" s="166" t="s">
        <v>63</v>
      </c>
      <c r="D2" s="166" t="s">
        <v>64</v>
      </c>
      <c r="E2" s="166" t="s">
        <v>150</v>
      </c>
      <c r="F2" s="166" t="s">
        <v>149</v>
      </c>
    </row>
    <row r="3" spans="1:8" ht="19" customHeight="1" x14ac:dyDescent="0.3">
      <c r="A3" s="167" t="s">
        <v>174</v>
      </c>
      <c r="B3" s="168" t="s">
        <v>152</v>
      </c>
      <c r="C3" s="169">
        <v>7.2947368421052632</v>
      </c>
      <c r="D3" s="169" t="s">
        <v>95</v>
      </c>
      <c r="E3" s="169"/>
      <c r="F3" s="170"/>
    </row>
    <row r="4" spans="1:8" x14ac:dyDescent="0.3">
      <c r="A4" s="167" t="s">
        <v>161</v>
      </c>
      <c r="B4" s="168" t="s">
        <v>152</v>
      </c>
      <c r="C4" s="169">
        <v>6.7777777777777786</v>
      </c>
      <c r="D4" s="169" t="s">
        <v>95</v>
      </c>
      <c r="E4" s="169"/>
      <c r="F4" s="170"/>
    </row>
    <row r="5" spans="1:8" x14ac:dyDescent="0.3">
      <c r="A5" s="167" t="s">
        <v>177</v>
      </c>
      <c r="B5" s="168" t="s">
        <v>152</v>
      </c>
      <c r="C5" s="169">
        <v>1.2903225806451613</v>
      </c>
      <c r="D5" s="169" t="s">
        <v>95</v>
      </c>
      <c r="E5" s="169"/>
      <c r="F5" s="170"/>
    </row>
    <row r="6" spans="1:8" x14ac:dyDescent="0.3">
      <c r="A6" s="167" t="s">
        <v>178</v>
      </c>
      <c r="B6" s="168" t="s">
        <v>152</v>
      </c>
      <c r="C6" s="169">
        <v>11.88</v>
      </c>
      <c r="D6" s="169" t="s">
        <v>35</v>
      </c>
      <c r="E6" s="169"/>
      <c r="F6" s="170"/>
    </row>
    <row r="7" spans="1:8" x14ac:dyDescent="0.3">
      <c r="A7" s="167" t="s">
        <v>136</v>
      </c>
      <c r="B7" s="168" t="s">
        <v>152</v>
      </c>
      <c r="C7" s="169">
        <v>6.2403697996918339</v>
      </c>
      <c r="D7" s="169" t="s">
        <v>95</v>
      </c>
      <c r="E7" s="169"/>
      <c r="F7" s="170"/>
    </row>
    <row r="8" spans="1:8" x14ac:dyDescent="0.3">
      <c r="A8" s="167" t="s">
        <v>160</v>
      </c>
      <c r="B8" s="168" t="s">
        <v>152</v>
      </c>
      <c r="C8" s="169">
        <v>21.6</v>
      </c>
      <c r="D8" s="169" t="s">
        <v>35</v>
      </c>
      <c r="E8" s="169"/>
      <c r="F8" s="170"/>
    </row>
    <row r="9" spans="1:8" x14ac:dyDescent="0.3">
      <c r="A9" s="167" t="s">
        <v>159</v>
      </c>
      <c r="B9" s="168" t="s">
        <v>152</v>
      </c>
      <c r="C9" s="169">
        <v>18.506172839506174</v>
      </c>
      <c r="D9" s="169" t="s">
        <v>95</v>
      </c>
      <c r="E9" s="169"/>
      <c r="F9" s="170"/>
      <c r="H9" s="176"/>
    </row>
    <row r="10" spans="1:8" x14ac:dyDescent="0.3">
      <c r="A10" s="167" t="s">
        <v>162</v>
      </c>
      <c r="B10" s="168" t="s">
        <v>152</v>
      </c>
      <c r="C10" s="169">
        <v>2.4315789473684211</v>
      </c>
      <c r="D10" s="169" t="s">
        <v>95</v>
      </c>
      <c r="E10" s="169"/>
      <c r="F10" s="170"/>
      <c r="H10" s="176"/>
    </row>
    <row r="11" spans="1:8" x14ac:dyDescent="0.3">
      <c r="A11" s="167" t="s">
        <v>188</v>
      </c>
      <c r="B11" s="168" t="s">
        <v>152</v>
      </c>
      <c r="C11" s="169">
        <v>3.5362318840579716</v>
      </c>
      <c r="D11" s="169" t="s">
        <v>95</v>
      </c>
      <c r="E11" s="169"/>
      <c r="F11" s="170"/>
      <c r="H11" s="176"/>
    </row>
    <row r="12" spans="1:8" x14ac:dyDescent="0.3">
      <c r="A12" s="167" t="s">
        <v>158</v>
      </c>
      <c r="B12" s="168" t="s">
        <v>152</v>
      </c>
      <c r="C12" s="169">
        <v>6.1363636363636358</v>
      </c>
      <c r="D12" s="169" t="s">
        <v>95</v>
      </c>
      <c r="E12" s="169"/>
      <c r="F12" s="170"/>
      <c r="H12" s="176"/>
    </row>
    <row r="13" spans="1:8" x14ac:dyDescent="0.3">
      <c r="A13" s="167" t="s">
        <v>181</v>
      </c>
      <c r="B13" s="168" t="s">
        <v>152</v>
      </c>
      <c r="C13" s="169">
        <v>3.8961038961038961</v>
      </c>
      <c r="D13" s="169" t="s">
        <v>95</v>
      </c>
      <c r="E13" s="169"/>
      <c r="F13" s="170"/>
      <c r="H13" s="176"/>
    </row>
    <row r="14" spans="1:8" x14ac:dyDescent="0.3">
      <c r="A14" s="167" t="s">
        <v>182</v>
      </c>
      <c r="B14" s="168" t="s">
        <v>152</v>
      </c>
      <c r="C14" s="169">
        <v>0.33333333333333331</v>
      </c>
      <c r="D14" s="169" t="s">
        <v>95</v>
      </c>
      <c r="E14" s="169"/>
      <c r="F14" s="170"/>
      <c r="H14" s="176"/>
    </row>
    <row r="15" spans="1:8" x14ac:dyDescent="0.3">
      <c r="A15" s="167" t="s">
        <v>157</v>
      </c>
      <c r="B15" s="168" t="s">
        <v>152</v>
      </c>
      <c r="C15" s="169">
        <v>7.5</v>
      </c>
      <c r="D15" s="169" t="s">
        <v>95</v>
      </c>
      <c r="E15" s="169"/>
      <c r="F15" s="170"/>
      <c r="H15" s="176"/>
    </row>
    <row r="16" spans="1:8" x14ac:dyDescent="0.3">
      <c r="A16" s="167" t="s">
        <v>139</v>
      </c>
      <c r="B16" s="168" t="s">
        <v>152</v>
      </c>
      <c r="C16" s="169">
        <v>14.1</v>
      </c>
      <c r="D16" s="169" t="s">
        <v>95</v>
      </c>
      <c r="E16" s="169"/>
      <c r="F16" s="170"/>
    </row>
    <row r="17" spans="1:8" x14ac:dyDescent="0.3">
      <c r="A17" s="167" t="s">
        <v>189</v>
      </c>
      <c r="B17" s="168" t="s">
        <v>152</v>
      </c>
      <c r="C17" s="169">
        <v>5.6</v>
      </c>
      <c r="D17" s="169" t="s">
        <v>95</v>
      </c>
      <c r="E17" s="169"/>
      <c r="F17" s="170"/>
    </row>
    <row r="18" spans="1:8" x14ac:dyDescent="0.3">
      <c r="A18" s="167"/>
      <c r="B18" s="168"/>
      <c r="C18" s="169"/>
      <c r="D18" s="169"/>
      <c r="E18" s="169"/>
      <c r="F18" s="170"/>
    </row>
    <row r="19" spans="1:8" x14ac:dyDescent="0.3">
      <c r="A19" s="167"/>
      <c r="B19" s="168"/>
      <c r="C19" s="169"/>
      <c r="D19" s="169"/>
      <c r="E19" s="169"/>
      <c r="F19" s="170"/>
    </row>
    <row r="20" spans="1:8" x14ac:dyDescent="0.3">
      <c r="A20" s="167"/>
      <c r="B20" s="168"/>
      <c r="C20" s="169"/>
      <c r="D20" s="169"/>
      <c r="E20" s="169"/>
      <c r="F20" s="170"/>
      <c r="H20" s="176"/>
    </row>
    <row r="21" spans="1:8" x14ac:dyDescent="0.3">
      <c r="A21" s="167"/>
      <c r="B21" s="168"/>
      <c r="C21" s="169"/>
      <c r="D21" s="169"/>
      <c r="E21" s="169"/>
      <c r="F21" s="170"/>
      <c r="H21" s="176"/>
    </row>
    <row r="22" spans="1:8" x14ac:dyDescent="0.3">
      <c r="H22" s="176"/>
    </row>
    <row r="23" spans="1:8" x14ac:dyDescent="0.3">
      <c r="H23" s="176"/>
    </row>
    <row r="28" spans="1:8" x14ac:dyDescent="0.3">
      <c r="H28" s="176"/>
    </row>
    <row r="32" spans="1:8" x14ac:dyDescent="0.3">
      <c r="H32" s="176"/>
    </row>
    <row r="35" spans="8:8" x14ac:dyDescent="0.3">
      <c r="H35" s="176"/>
    </row>
    <row r="36" spans="8:8" x14ac:dyDescent="0.3">
      <c r="H36" s="176"/>
    </row>
    <row r="37" spans="8:8" x14ac:dyDescent="0.3">
      <c r="H37" s="176"/>
    </row>
    <row r="38" spans="8:8" x14ac:dyDescent="0.3">
      <c r="H38" s="176"/>
    </row>
    <row r="39" spans="8:8" x14ac:dyDescent="0.3">
      <c r="H39" s="176"/>
    </row>
    <row r="41" spans="8:8" x14ac:dyDescent="0.3">
      <c r="H41" s="176"/>
    </row>
    <row r="42" spans="8:8" x14ac:dyDescent="0.3">
      <c r="H42" s="176"/>
    </row>
    <row r="43" spans="8:8" x14ac:dyDescent="0.3">
      <c r="H43" s="176"/>
    </row>
    <row r="44" spans="8:8" x14ac:dyDescent="0.3">
      <c r="H44" s="176"/>
    </row>
    <row r="51" spans="8:8" x14ac:dyDescent="0.3">
      <c r="H51" s="176"/>
    </row>
    <row r="54" spans="8:8" x14ac:dyDescent="0.3">
      <c r="H54" s="176"/>
    </row>
    <row r="57" spans="8:8" x14ac:dyDescent="0.3">
      <c r="H57" s="176"/>
    </row>
    <row r="67" spans="8:8" x14ac:dyDescent="0.3">
      <c r="H67" s="177"/>
    </row>
    <row r="68" spans="8:8" x14ac:dyDescent="0.3">
      <c r="H68" s="177"/>
    </row>
    <row r="69" spans="8:8" x14ac:dyDescent="0.3">
      <c r="H69" s="177"/>
    </row>
    <row r="70" spans="8:8" x14ac:dyDescent="0.3">
      <c r="H70" s="177"/>
    </row>
    <row r="71" spans="8:8" x14ac:dyDescent="0.3">
      <c r="H71" s="177"/>
    </row>
    <row r="72" spans="8:8" x14ac:dyDescent="0.3">
      <c r="H72" s="177"/>
    </row>
    <row r="73" spans="8:8" x14ac:dyDescent="0.3">
      <c r="H73" s="177"/>
    </row>
    <row r="74" spans="8:8" x14ac:dyDescent="0.3">
      <c r="H74" s="177"/>
    </row>
    <row r="75" spans="8:8" x14ac:dyDescent="0.3">
      <c r="H75" s="177"/>
    </row>
    <row r="76" spans="8:8" x14ac:dyDescent="0.3">
      <c r="H76" s="177"/>
    </row>
    <row r="77" spans="8:8" x14ac:dyDescent="0.3">
      <c r="H77" s="177"/>
    </row>
    <row r="78" spans="8:8" x14ac:dyDescent="0.3">
      <c r="H78" s="177"/>
    </row>
    <row r="79" spans="8:8" x14ac:dyDescent="0.3">
      <c r="H79" s="177"/>
    </row>
    <row r="80" spans="8:8" x14ac:dyDescent="0.3">
      <c r="H80" s="177"/>
    </row>
    <row r="81" spans="8:8" x14ac:dyDescent="0.3">
      <c r="H81" s="177"/>
    </row>
    <row r="82" spans="8:8" x14ac:dyDescent="0.3">
      <c r="H82" s="177"/>
    </row>
    <row r="83" spans="8:8" x14ac:dyDescent="0.3">
      <c r="H83" s="177"/>
    </row>
    <row r="84" spans="8:8" x14ac:dyDescent="0.3">
      <c r="H84" s="177"/>
    </row>
    <row r="85" spans="8:8" x14ac:dyDescent="0.3">
      <c r="H85" s="177"/>
    </row>
    <row r="86" spans="8:8" x14ac:dyDescent="0.3">
      <c r="H86" s="177"/>
    </row>
    <row r="87" spans="8:8" x14ac:dyDescent="0.3">
      <c r="H87" s="177"/>
    </row>
    <row r="88" spans="8:8" x14ac:dyDescent="0.3">
      <c r="H88" s="177"/>
    </row>
    <row r="89" spans="8:8" x14ac:dyDescent="0.3">
      <c r="H89" s="177"/>
    </row>
    <row r="90" spans="8:8" x14ac:dyDescent="0.3">
      <c r="H90" s="177"/>
    </row>
    <row r="91" spans="8:8" x14ac:dyDescent="0.3">
      <c r="H91" s="177"/>
    </row>
    <row r="92" spans="8:8" x14ac:dyDescent="0.3">
      <c r="H92" s="177"/>
    </row>
    <row r="93" spans="8:8" x14ac:dyDescent="0.3">
      <c r="H93" s="177"/>
    </row>
    <row r="94" spans="8:8" x14ac:dyDescent="0.3">
      <c r="H94" s="177"/>
    </row>
    <row r="95" spans="8:8" x14ac:dyDescent="0.3">
      <c r="H95" s="177"/>
    </row>
    <row r="96" spans="8:8" x14ac:dyDescent="0.3">
      <c r="H96" s="177"/>
    </row>
    <row r="97" spans="8:8" x14ac:dyDescent="0.3">
      <c r="H97" s="177"/>
    </row>
    <row r="98" spans="8:8" x14ac:dyDescent="0.3">
      <c r="H98" s="177"/>
    </row>
    <row r="99" spans="8:8" x14ac:dyDescent="0.3">
      <c r="H99" s="177"/>
    </row>
    <row r="100" spans="8:8" x14ac:dyDescent="0.3">
      <c r="H100" s="177"/>
    </row>
    <row r="101" spans="8:8" x14ac:dyDescent="0.3">
      <c r="H101" s="177"/>
    </row>
    <row r="102" spans="8:8" x14ac:dyDescent="0.3">
      <c r="H102" s="177"/>
    </row>
    <row r="103" spans="8:8" x14ac:dyDescent="0.3">
      <c r="H103" s="177"/>
    </row>
    <row r="104" spans="8:8" x14ac:dyDescent="0.3">
      <c r="H104" s="177"/>
    </row>
    <row r="105" spans="8:8" x14ac:dyDescent="0.3">
      <c r="H105" s="177"/>
    </row>
    <row r="106" spans="8:8" x14ac:dyDescent="0.3">
      <c r="H106" s="177"/>
    </row>
    <row r="107" spans="8:8" x14ac:dyDescent="0.3">
      <c r="H107" s="177"/>
    </row>
    <row r="108" spans="8:8" x14ac:dyDescent="0.3">
      <c r="H108" s="177"/>
    </row>
    <row r="109" spans="8:8" x14ac:dyDescent="0.3">
      <c r="H109" s="177"/>
    </row>
    <row r="110" spans="8:8" x14ac:dyDescent="0.3">
      <c r="H110" s="177"/>
    </row>
    <row r="111" spans="8:8" x14ac:dyDescent="0.3">
      <c r="H111" s="177"/>
    </row>
    <row r="112" spans="8:8" x14ac:dyDescent="0.3">
      <c r="H112" s="177"/>
    </row>
    <row r="113" spans="8:8" x14ac:dyDescent="0.3">
      <c r="H113" s="177"/>
    </row>
    <row r="114" spans="8:8" x14ac:dyDescent="0.3">
      <c r="H114" s="177"/>
    </row>
    <row r="115" spans="8:8" x14ac:dyDescent="0.3">
      <c r="H115" s="177"/>
    </row>
    <row r="116" spans="8:8" x14ac:dyDescent="0.3">
      <c r="H116" s="177"/>
    </row>
    <row r="117" spans="8:8" x14ac:dyDescent="0.3">
      <c r="H117" s="177"/>
    </row>
    <row r="118" spans="8:8" x14ac:dyDescent="0.3">
      <c r="H118" s="177"/>
    </row>
    <row r="119" spans="8:8" x14ac:dyDescent="0.3">
      <c r="H119" s="177"/>
    </row>
    <row r="120" spans="8:8" x14ac:dyDescent="0.3">
      <c r="H120" s="177"/>
    </row>
    <row r="121" spans="8:8" x14ac:dyDescent="0.3">
      <c r="H121" s="177"/>
    </row>
    <row r="122" spans="8:8" x14ac:dyDescent="0.3">
      <c r="H122" s="177"/>
    </row>
    <row r="123" spans="8:8" x14ac:dyDescent="0.3">
      <c r="H123" s="177"/>
    </row>
    <row r="124" spans="8:8" x14ac:dyDescent="0.3">
      <c r="H124" s="177"/>
    </row>
    <row r="125" spans="8:8" x14ac:dyDescent="0.3">
      <c r="H125" s="177"/>
    </row>
    <row r="126" spans="8:8" x14ac:dyDescent="0.3">
      <c r="H126" s="177"/>
    </row>
    <row r="127" spans="8:8" x14ac:dyDescent="0.3">
      <c r="H127" s="177"/>
    </row>
    <row r="128" spans="8:8" x14ac:dyDescent="0.3">
      <c r="H128" s="177"/>
    </row>
    <row r="129" spans="8:8" x14ac:dyDescent="0.3">
      <c r="H129" s="177"/>
    </row>
    <row r="130" spans="8:8" x14ac:dyDescent="0.3">
      <c r="H130" s="177"/>
    </row>
    <row r="131" spans="8:8" x14ac:dyDescent="0.3">
      <c r="H131" s="177"/>
    </row>
    <row r="132" spans="8:8" x14ac:dyDescent="0.3">
      <c r="H132" s="177"/>
    </row>
    <row r="133" spans="8:8" x14ac:dyDescent="0.3">
      <c r="H133" s="177"/>
    </row>
    <row r="134" spans="8:8" x14ac:dyDescent="0.3">
      <c r="H134" s="177"/>
    </row>
    <row r="135" spans="8:8" x14ac:dyDescent="0.3">
      <c r="H135" s="177"/>
    </row>
    <row r="136" spans="8:8" x14ac:dyDescent="0.3">
      <c r="H136" s="177"/>
    </row>
    <row r="137" spans="8:8" x14ac:dyDescent="0.3">
      <c r="H137" s="177"/>
    </row>
    <row r="138" spans="8:8" x14ac:dyDescent="0.3">
      <c r="H138" s="177"/>
    </row>
    <row r="139" spans="8:8" x14ac:dyDescent="0.3">
      <c r="H139" s="177"/>
    </row>
    <row r="140" spans="8:8" x14ac:dyDescent="0.3">
      <c r="H140" s="177"/>
    </row>
    <row r="141" spans="8:8" x14ac:dyDescent="0.3">
      <c r="H141" s="177"/>
    </row>
    <row r="142" spans="8:8" x14ac:dyDescent="0.3">
      <c r="H142" s="177"/>
    </row>
    <row r="143" spans="8:8" x14ac:dyDescent="0.3">
      <c r="H143" s="177"/>
    </row>
    <row r="144" spans="8:8" x14ac:dyDescent="0.3">
      <c r="H144" s="177"/>
    </row>
    <row r="145" spans="8:8" x14ac:dyDescent="0.3">
      <c r="H145" s="177"/>
    </row>
    <row r="146" spans="8:8" x14ac:dyDescent="0.3">
      <c r="H146" s="177"/>
    </row>
    <row r="147" spans="8:8" x14ac:dyDescent="0.3">
      <c r="H147" s="177"/>
    </row>
    <row r="148" spans="8:8" x14ac:dyDescent="0.3">
      <c r="H148" s="177"/>
    </row>
    <row r="149" spans="8:8" x14ac:dyDescent="0.3">
      <c r="H149" s="177"/>
    </row>
    <row r="150" spans="8:8" x14ac:dyDescent="0.3">
      <c r="H150" s="177"/>
    </row>
    <row r="151" spans="8:8" x14ac:dyDescent="0.3">
      <c r="H151" s="177"/>
    </row>
    <row r="152" spans="8:8" x14ac:dyDescent="0.3">
      <c r="H152" s="177"/>
    </row>
    <row r="153" spans="8:8" x14ac:dyDescent="0.3">
      <c r="H153" s="177"/>
    </row>
    <row r="154" spans="8:8" x14ac:dyDescent="0.3">
      <c r="H154" s="177"/>
    </row>
    <row r="155" spans="8:8" x14ac:dyDescent="0.3">
      <c r="H155" s="177"/>
    </row>
    <row r="156" spans="8:8" x14ac:dyDescent="0.3">
      <c r="H156" s="177"/>
    </row>
    <row r="157" spans="8:8" x14ac:dyDescent="0.3">
      <c r="H157" s="177"/>
    </row>
    <row r="158" spans="8:8" x14ac:dyDescent="0.3">
      <c r="H158" s="177"/>
    </row>
    <row r="159" spans="8:8" x14ac:dyDescent="0.3">
      <c r="H159" s="177"/>
    </row>
    <row r="160" spans="8:8" x14ac:dyDescent="0.3">
      <c r="H160" s="177"/>
    </row>
    <row r="161" spans="8:8" x14ac:dyDescent="0.3">
      <c r="H161" s="177"/>
    </row>
    <row r="162" spans="8:8" x14ac:dyDescent="0.3">
      <c r="H162" s="177"/>
    </row>
    <row r="163" spans="8:8" x14ac:dyDescent="0.3">
      <c r="H163" s="177"/>
    </row>
    <row r="164" spans="8:8" x14ac:dyDescent="0.3">
      <c r="H164" s="177"/>
    </row>
    <row r="165" spans="8:8" x14ac:dyDescent="0.3">
      <c r="H165" s="177"/>
    </row>
    <row r="166" spans="8:8" x14ac:dyDescent="0.3">
      <c r="H166" s="177"/>
    </row>
    <row r="167" spans="8:8" x14ac:dyDescent="0.3">
      <c r="H167" s="177"/>
    </row>
    <row r="168" spans="8:8" x14ac:dyDescent="0.3">
      <c r="H168" s="177"/>
    </row>
    <row r="169" spans="8:8" x14ac:dyDescent="0.3">
      <c r="H169" s="177"/>
    </row>
    <row r="170" spans="8:8" x14ac:dyDescent="0.3">
      <c r="H170" s="177"/>
    </row>
    <row r="171" spans="8:8" x14ac:dyDescent="0.3">
      <c r="H171" s="177"/>
    </row>
    <row r="172" spans="8:8" x14ac:dyDescent="0.3">
      <c r="H172" s="177"/>
    </row>
    <row r="173" spans="8:8" x14ac:dyDescent="0.3">
      <c r="H173" s="177"/>
    </row>
    <row r="174" spans="8:8" x14ac:dyDescent="0.3">
      <c r="H174" s="177"/>
    </row>
    <row r="175" spans="8:8" x14ac:dyDescent="0.3">
      <c r="H175" s="177"/>
    </row>
    <row r="176" spans="8:8" x14ac:dyDescent="0.3">
      <c r="H176" s="177"/>
    </row>
    <row r="177" spans="8:8" x14ac:dyDescent="0.3">
      <c r="H177" s="177"/>
    </row>
    <row r="178" spans="8:8" x14ac:dyDescent="0.3">
      <c r="H178" s="177"/>
    </row>
    <row r="179" spans="8:8" x14ac:dyDescent="0.3">
      <c r="H179" s="177"/>
    </row>
    <row r="180" spans="8:8" x14ac:dyDescent="0.3">
      <c r="H180" s="177"/>
    </row>
    <row r="181" spans="8:8" x14ac:dyDescent="0.3">
      <c r="H181" s="177"/>
    </row>
    <row r="182" spans="8:8" x14ac:dyDescent="0.3">
      <c r="H182" s="177"/>
    </row>
    <row r="183" spans="8:8" x14ac:dyDescent="0.3">
      <c r="H183" s="177"/>
    </row>
    <row r="184" spans="8:8" x14ac:dyDescent="0.3">
      <c r="H184" s="177"/>
    </row>
    <row r="185" spans="8:8" x14ac:dyDescent="0.3">
      <c r="H185" s="177"/>
    </row>
    <row r="186" spans="8:8" x14ac:dyDescent="0.3">
      <c r="H186" s="177"/>
    </row>
    <row r="187" spans="8:8" x14ac:dyDescent="0.3">
      <c r="H187" s="177"/>
    </row>
    <row r="188" spans="8:8" x14ac:dyDescent="0.3">
      <c r="H188" s="177"/>
    </row>
    <row r="189" spans="8:8" x14ac:dyDescent="0.3">
      <c r="H189" s="177"/>
    </row>
    <row r="190" spans="8:8" x14ac:dyDescent="0.3">
      <c r="H190" s="177"/>
    </row>
    <row r="191" spans="8:8" x14ac:dyDescent="0.3">
      <c r="H191" s="177"/>
    </row>
    <row r="192" spans="8:8" x14ac:dyDescent="0.3">
      <c r="H192" s="177"/>
    </row>
    <row r="193" spans="8:8" x14ac:dyDescent="0.3">
      <c r="H193" s="177"/>
    </row>
    <row r="194" spans="8:8" x14ac:dyDescent="0.3">
      <c r="H194" s="177"/>
    </row>
    <row r="195" spans="8:8" x14ac:dyDescent="0.3">
      <c r="H195" s="177"/>
    </row>
    <row r="196" spans="8:8" x14ac:dyDescent="0.3">
      <c r="H196" s="177"/>
    </row>
    <row r="197" spans="8:8" x14ac:dyDescent="0.3">
      <c r="H197" s="177"/>
    </row>
    <row r="198" spans="8:8" x14ac:dyDescent="0.3">
      <c r="H198" s="177"/>
    </row>
  </sheetData>
  <mergeCells count="1">
    <mergeCell ref="A1:F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9D741-79B5-4328-B44F-A56F7E728DB6}">
  <sheetPr codeName="Sheet4"/>
  <dimension ref="A2:K71"/>
  <sheetViews>
    <sheetView showGridLines="0" zoomScale="70" zoomScaleNormal="70" workbookViewId="0">
      <selection activeCell="K5" sqref="K5"/>
    </sheetView>
  </sheetViews>
  <sheetFormatPr defaultColWidth="8.6640625" defaultRowHeight="17.5" x14ac:dyDescent="0.35"/>
  <cols>
    <col min="1" max="1" width="28.83203125" style="21" customWidth="1"/>
    <col min="2" max="2" width="14.1640625" style="21" customWidth="1"/>
    <col min="3" max="3" width="8.6640625" style="21"/>
    <col min="4" max="6" width="1.83203125" style="21" customWidth="1"/>
    <col min="7" max="7" width="58.83203125" style="24" customWidth="1"/>
    <col min="8" max="8" width="21.33203125" style="21" customWidth="1"/>
    <col min="9" max="10" width="3.6640625" style="21" customWidth="1"/>
    <col min="11" max="16384" width="8.6640625" style="21"/>
  </cols>
  <sheetData>
    <row r="2" spans="6:11" ht="18" thickBot="1" x14ac:dyDescent="0.4"/>
    <row r="3" spans="6:11" ht="64" customHeight="1" thickBot="1" x14ac:dyDescent="0.35">
      <c r="G3" s="22" t="s">
        <v>10</v>
      </c>
      <c r="H3" s="23" t="s">
        <v>19</v>
      </c>
      <c r="K3" s="52" t="s">
        <v>53</v>
      </c>
    </row>
    <row r="4" spans="6:11" x14ac:dyDescent="0.35">
      <c r="F4" s="24"/>
      <c r="G4" s="26" t="s">
        <v>22</v>
      </c>
      <c r="H4" s="26">
        <f>IF($C23=$K$4,$B23+3,0)</f>
        <v>0</v>
      </c>
      <c r="K4" s="53">
        <v>6</v>
      </c>
    </row>
    <row r="5" spans="6:11" x14ac:dyDescent="0.35">
      <c r="F5" s="24"/>
      <c r="G5" s="33" t="s">
        <v>26</v>
      </c>
      <c r="H5" s="33">
        <f>IF($C22=$K$4,$B22+3,0)</f>
        <v>0</v>
      </c>
    </row>
    <row r="6" spans="6:11" x14ac:dyDescent="0.35">
      <c r="F6" s="24"/>
      <c r="G6" s="31" t="s">
        <v>28</v>
      </c>
      <c r="H6" s="31">
        <f>IF($C27=$K$4,$B22+3,0)</f>
        <v>0</v>
      </c>
    </row>
    <row r="7" spans="6:11" x14ac:dyDescent="0.35">
      <c r="F7" s="24"/>
      <c r="G7" s="32" t="s">
        <v>27</v>
      </c>
      <c r="H7" s="32">
        <f>IF($C28=$K$4,$B28+3,0)</f>
        <v>0</v>
      </c>
    </row>
    <row r="8" spans="6:11" x14ac:dyDescent="0.35">
      <c r="F8" s="24"/>
      <c r="G8" s="28" t="s">
        <v>29</v>
      </c>
      <c r="H8" s="28">
        <f>IF($C32=$K$4,$B32+3,0)</f>
        <v>0</v>
      </c>
    </row>
    <row r="9" spans="6:11" x14ac:dyDescent="0.35">
      <c r="F9" s="24"/>
      <c r="G9" s="25" t="s">
        <v>30</v>
      </c>
      <c r="H9" s="25">
        <f>IF($C33=$K$4,$B33+3,0)</f>
        <v>0</v>
      </c>
    </row>
    <row r="10" spans="6:11" x14ac:dyDescent="0.35">
      <c r="F10" s="24"/>
      <c r="G10" s="45" t="s">
        <v>31</v>
      </c>
      <c r="H10" s="45">
        <f>IF($C37=$K$4,$B37+3,0)</f>
        <v>0</v>
      </c>
    </row>
    <row r="11" spans="6:11" x14ac:dyDescent="0.35">
      <c r="F11" s="24"/>
      <c r="G11" s="27" t="s">
        <v>32</v>
      </c>
      <c r="H11" s="27">
        <f>IF($C38=$K$4,$B38+3,0)</f>
        <v>0</v>
      </c>
    </row>
    <row r="12" spans="6:11" x14ac:dyDescent="0.35">
      <c r="F12" s="24"/>
      <c r="G12" s="29" t="s">
        <v>24</v>
      </c>
      <c r="H12" s="29">
        <f>IF($C43=$K$4,$B43+3,0)</f>
        <v>0</v>
      </c>
    </row>
    <row r="13" spans="6:11" x14ac:dyDescent="0.35">
      <c r="F13" s="24"/>
      <c r="G13" s="30" t="s">
        <v>23</v>
      </c>
      <c r="H13" s="30">
        <f>IF($C42=$K$4,$B42+3,0)</f>
        <v>0</v>
      </c>
    </row>
    <row r="14" spans="6:11" x14ac:dyDescent="0.35">
      <c r="F14" s="24"/>
      <c r="G14" s="34" t="s">
        <v>9</v>
      </c>
      <c r="H14" s="34">
        <f>IF($C47=$K$4,$B47+3,0)</f>
        <v>135</v>
      </c>
    </row>
    <row r="15" spans="6:11" x14ac:dyDescent="0.35">
      <c r="F15" s="24"/>
      <c r="G15" s="35" t="s">
        <v>25</v>
      </c>
      <c r="H15" s="35">
        <f>IF($C48=$K$4,$B48+3,0)</f>
        <v>244</v>
      </c>
    </row>
    <row r="16" spans="6:11" x14ac:dyDescent="0.35">
      <c r="G16" s="38" t="s">
        <v>21</v>
      </c>
      <c r="H16" s="38">
        <f>SUMIFS($B$22:$B$51,$A$22:$A$51,"سلطة الفواكه",$C$22:$C$51,$K$4)+IF(SUMIFS($B$22:$B$51,$A$22:$A$51,"سلطة الفواكه",$C$22:$C$51,$K$4)&gt;0,3,0)</f>
        <v>100</v>
      </c>
    </row>
    <row r="17" spans="1:8" ht="14" x14ac:dyDescent="0.3">
      <c r="G17" s="39" t="s">
        <v>190</v>
      </c>
      <c r="H17" s="39">
        <f>SUMIFS($B$22:$B$51,$A$22:$A$51,"تفاح أحمر",$C$22:$C$51,$K$4)+IF(SUMIFS($B$22:$B$51,$A$22:$A$51,"تفاح أحمر",$C$22:$C$51,$K$4)&gt;0,3,0)</f>
        <v>0</v>
      </c>
    </row>
    <row r="18" spans="1:8" ht="14" x14ac:dyDescent="0.3">
      <c r="G18" s="40" t="s">
        <v>162</v>
      </c>
      <c r="H18" s="40">
        <f>SUMIFS($B$22:$B$51,$A$22:$A$51,"تفاح أخضر",$C$22:$C$51,$K$4)+IF(SUMIFS($B$22:$B$51,$A$22:$A$51,"تفاح أخضر",$C$22:$C$51,$K$4)&gt;0,3,0)</f>
        <v>14</v>
      </c>
    </row>
    <row r="19" spans="1:8" ht="14" x14ac:dyDescent="0.3">
      <c r="G19" s="178" t="s">
        <v>174</v>
      </c>
      <c r="H19" s="41">
        <f>IF($C51=$K$4,$B51+3,0)</f>
        <v>33</v>
      </c>
    </row>
    <row r="20" spans="1:8" ht="18" thickBot="1" x14ac:dyDescent="0.4"/>
    <row r="21" spans="1:8" ht="32" thickBot="1" x14ac:dyDescent="0.4">
      <c r="A21" s="50" t="s">
        <v>10</v>
      </c>
      <c r="B21" s="51" t="s">
        <v>19</v>
      </c>
      <c r="C21" s="52" t="s">
        <v>53</v>
      </c>
    </row>
    <row r="22" spans="1:8" ht="20" x14ac:dyDescent="0.35">
      <c r="A22" s="46" t="s">
        <v>37</v>
      </c>
      <c r="B22" s="46">
        <v>134</v>
      </c>
      <c r="C22" s="53">
        <v>1</v>
      </c>
    </row>
    <row r="23" spans="1:8" ht="20" x14ac:dyDescent="0.35">
      <c r="A23" s="46" t="s">
        <v>38</v>
      </c>
      <c r="B23" s="46">
        <v>120</v>
      </c>
      <c r="C23" s="53">
        <v>1</v>
      </c>
    </row>
    <row r="24" spans="1:8" ht="20" x14ac:dyDescent="0.35">
      <c r="A24" s="46" t="s">
        <v>39</v>
      </c>
      <c r="B24" s="46">
        <v>72</v>
      </c>
      <c r="C24" s="53">
        <v>1</v>
      </c>
    </row>
    <row r="25" spans="1:8" ht="20" x14ac:dyDescent="0.35">
      <c r="A25" s="46" t="s">
        <v>40</v>
      </c>
      <c r="B25" s="46">
        <v>24</v>
      </c>
      <c r="C25" s="53">
        <v>1</v>
      </c>
    </row>
    <row r="26" spans="1:8" x14ac:dyDescent="0.35">
      <c r="A26" s="54"/>
      <c r="B26" s="54"/>
    </row>
    <row r="27" spans="1:8" x14ac:dyDescent="0.35">
      <c r="A27" s="47" t="s">
        <v>41</v>
      </c>
      <c r="B27" s="47">
        <v>89</v>
      </c>
      <c r="C27" s="53">
        <v>2</v>
      </c>
    </row>
    <row r="28" spans="1:8" x14ac:dyDescent="0.35">
      <c r="A28" s="47" t="s">
        <v>42</v>
      </c>
      <c r="B28" s="47">
        <v>425</v>
      </c>
      <c r="C28" s="53">
        <v>2</v>
      </c>
    </row>
    <row r="29" spans="1:8" x14ac:dyDescent="0.35">
      <c r="A29" s="47" t="s">
        <v>39</v>
      </c>
      <c r="B29" s="47">
        <v>52</v>
      </c>
      <c r="C29" s="53">
        <v>2</v>
      </c>
    </row>
    <row r="30" spans="1:8" x14ac:dyDescent="0.35">
      <c r="A30" s="47" t="s">
        <v>43</v>
      </c>
      <c r="B30" s="47">
        <v>21</v>
      </c>
      <c r="C30" s="53">
        <v>2</v>
      </c>
    </row>
    <row r="31" spans="1:8" x14ac:dyDescent="0.35">
      <c r="A31" s="54"/>
      <c r="B31" s="54"/>
    </row>
    <row r="32" spans="1:8" ht="20" x14ac:dyDescent="0.35">
      <c r="A32" s="46" t="s">
        <v>44</v>
      </c>
      <c r="B32" s="48">
        <v>380</v>
      </c>
      <c r="C32" s="53">
        <v>3</v>
      </c>
    </row>
    <row r="33" spans="1:3" ht="20" x14ac:dyDescent="0.35">
      <c r="A33" s="46" t="s">
        <v>45</v>
      </c>
      <c r="B33" s="48">
        <v>142</v>
      </c>
      <c r="C33" s="53">
        <v>3</v>
      </c>
    </row>
    <row r="34" spans="1:3" ht="20" x14ac:dyDescent="0.35">
      <c r="A34" s="46" t="s">
        <v>40</v>
      </c>
      <c r="B34" s="48">
        <v>7</v>
      </c>
      <c r="C34" s="53">
        <v>3</v>
      </c>
    </row>
    <row r="35" spans="1:3" ht="20" x14ac:dyDescent="0.35">
      <c r="A35" s="46" t="s">
        <v>39</v>
      </c>
      <c r="B35" s="48">
        <v>90</v>
      </c>
      <c r="C35" s="53">
        <v>3</v>
      </c>
    </row>
    <row r="36" spans="1:3" x14ac:dyDescent="0.35">
      <c r="A36" s="54"/>
      <c r="B36" s="54"/>
    </row>
    <row r="37" spans="1:3" ht="22.5" x14ac:dyDescent="0.35">
      <c r="A37" s="49" t="s">
        <v>46</v>
      </c>
      <c r="B37" s="48">
        <v>189</v>
      </c>
      <c r="C37" s="53">
        <v>4</v>
      </c>
    </row>
    <row r="38" spans="1:3" ht="22.5" x14ac:dyDescent="0.35">
      <c r="A38" s="49" t="s">
        <v>47</v>
      </c>
      <c r="B38" s="48">
        <v>193</v>
      </c>
      <c r="C38" s="53">
        <v>4</v>
      </c>
    </row>
    <row r="39" spans="1:3" ht="22.5" x14ac:dyDescent="0.35">
      <c r="A39" s="49" t="s">
        <v>39</v>
      </c>
      <c r="B39" s="48">
        <v>101</v>
      </c>
      <c r="C39" s="53">
        <v>4</v>
      </c>
    </row>
    <row r="40" spans="1:3" ht="22.5" x14ac:dyDescent="0.35">
      <c r="A40" s="49" t="s">
        <v>43</v>
      </c>
      <c r="B40" s="48">
        <v>30</v>
      </c>
      <c r="C40" s="53">
        <v>4</v>
      </c>
    </row>
    <row r="41" spans="1:3" x14ac:dyDescent="0.35">
      <c r="A41" s="54"/>
      <c r="B41" s="54"/>
    </row>
    <row r="42" spans="1:3" ht="20" x14ac:dyDescent="0.35">
      <c r="A42" s="46" t="s">
        <v>48</v>
      </c>
      <c r="B42" s="48">
        <v>178</v>
      </c>
      <c r="C42" s="53">
        <v>5</v>
      </c>
    </row>
    <row r="43" spans="1:3" ht="20" x14ac:dyDescent="0.35">
      <c r="A43" s="46" t="s">
        <v>49</v>
      </c>
      <c r="B43" s="48">
        <v>229</v>
      </c>
      <c r="C43" s="53">
        <v>5</v>
      </c>
    </row>
    <row r="44" spans="1:3" ht="20" x14ac:dyDescent="0.35">
      <c r="A44" s="46" t="s">
        <v>39</v>
      </c>
      <c r="B44" s="48">
        <v>96</v>
      </c>
      <c r="C44" s="53">
        <v>5</v>
      </c>
    </row>
    <row r="45" spans="1:3" ht="20" x14ac:dyDescent="0.35">
      <c r="A45" s="46" t="s">
        <v>40</v>
      </c>
      <c r="B45" s="48">
        <v>26</v>
      </c>
      <c r="C45" s="53">
        <v>5</v>
      </c>
    </row>
    <row r="46" spans="1:3" x14ac:dyDescent="0.35">
      <c r="A46" s="54"/>
      <c r="B46" s="54"/>
    </row>
    <row r="47" spans="1:3" ht="20" x14ac:dyDescent="0.35">
      <c r="A47" s="46" t="s">
        <v>50</v>
      </c>
      <c r="B47" s="47">
        <v>132</v>
      </c>
      <c r="C47" s="53">
        <v>6</v>
      </c>
    </row>
    <row r="48" spans="1:3" ht="20" x14ac:dyDescent="0.35">
      <c r="A48" s="46" t="s">
        <v>51</v>
      </c>
      <c r="B48" s="47">
        <v>241</v>
      </c>
      <c r="C48" s="53">
        <v>6</v>
      </c>
    </row>
    <row r="49" spans="1:8" ht="20" x14ac:dyDescent="0.35">
      <c r="A49" s="46" t="s">
        <v>39</v>
      </c>
      <c r="B49" s="47">
        <v>97</v>
      </c>
      <c r="C49" s="53">
        <v>6</v>
      </c>
    </row>
    <row r="50" spans="1:8" ht="20" x14ac:dyDescent="0.35">
      <c r="A50" s="46" t="s">
        <v>43</v>
      </c>
      <c r="B50" s="47">
        <v>11</v>
      </c>
      <c r="C50" s="53">
        <v>6</v>
      </c>
    </row>
    <row r="51" spans="1:8" ht="20" x14ac:dyDescent="0.35">
      <c r="A51" s="46" t="s">
        <v>52</v>
      </c>
      <c r="B51" s="47">
        <v>30</v>
      </c>
      <c r="C51" s="53">
        <v>6</v>
      </c>
    </row>
    <row r="55" spans="1:8" ht="28" x14ac:dyDescent="0.3">
      <c r="G55" s="22" t="s">
        <v>10</v>
      </c>
      <c r="H55" s="23" t="s">
        <v>19</v>
      </c>
    </row>
    <row r="56" spans="1:8" x14ac:dyDescent="0.35">
      <c r="G56" s="26" t="s">
        <v>22</v>
      </c>
      <c r="H56" s="26">
        <f>B23+3</f>
        <v>123</v>
      </c>
    </row>
    <row r="57" spans="1:8" x14ac:dyDescent="0.35">
      <c r="G57" s="33" t="s">
        <v>26</v>
      </c>
      <c r="H57" s="33">
        <f>B22+3</f>
        <v>137</v>
      </c>
    </row>
    <row r="58" spans="1:8" x14ac:dyDescent="0.35">
      <c r="G58" s="31" t="s">
        <v>28</v>
      </c>
      <c r="H58" s="31">
        <f>B27+3</f>
        <v>92</v>
      </c>
    </row>
    <row r="59" spans="1:8" x14ac:dyDescent="0.35">
      <c r="G59" s="32" t="s">
        <v>27</v>
      </c>
      <c r="H59" s="32">
        <f>B28+3</f>
        <v>428</v>
      </c>
    </row>
    <row r="60" spans="1:8" x14ac:dyDescent="0.35">
      <c r="G60" s="28" t="s">
        <v>29</v>
      </c>
      <c r="H60" s="28">
        <f>B32+3</f>
        <v>383</v>
      </c>
    </row>
    <row r="61" spans="1:8" x14ac:dyDescent="0.35">
      <c r="G61" s="25" t="s">
        <v>30</v>
      </c>
      <c r="H61" s="25">
        <f>B33+3</f>
        <v>145</v>
      </c>
    </row>
    <row r="62" spans="1:8" x14ac:dyDescent="0.35">
      <c r="G62" s="45" t="s">
        <v>31</v>
      </c>
      <c r="H62" s="45">
        <f>B37+3</f>
        <v>192</v>
      </c>
    </row>
    <row r="63" spans="1:8" x14ac:dyDescent="0.35">
      <c r="G63" s="27" t="s">
        <v>32</v>
      </c>
      <c r="H63" s="27">
        <f>B38+3</f>
        <v>196</v>
      </c>
    </row>
    <row r="64" spans="1:8" x14ac:dyDescent="0.35">
      <c r="G64" s="29" t="s">
        <v>24</v>
      </c>
      <c r="H64" s="29">
        <f>B43+3</f>
        <v>232</v>
      </c>
    </row>
    <row r="65" spans="7:8" x14ac:dyDescent="0.35">
      <c r="G65" s="30" t="s">
        <v>23</v>
      </c>
      <c r="H65" s="30">
        <f>B42+3</f>
        <v>181</v>
      </c>
    </row>
    <row r="66" spans="7:8" x14ac:dyDescent="0.35">
      <c r="G66" s="34" t="s">
        <v>9</v>
      </c>
      <c r="H66" s="34">
        <f>B47+3</f>
        <v>135</v>
      </c>
    </row>
    <row r="67" spans="7:8" x14ac:dyDescent="0.35">
      <c r="G67" s="35" t="s">
        <v>25</v>
      </c>
      <c r="H67" s="35">
        <f>B48+3</f>
        <v>244</v>
      </c>
    </row>
    <row r="68" spans="7:8" x14ac:dyDescent="0.35">
      <c r="G68" s="38" t="s">
        <v>21</v>
      </c>
      <c r="H68" s="38">
        <f>SUMIFS($B$22:$B$51,$A$22:$A$51,"سلطة الفواكه")+IF(SUMIFS($B$22:$B$51,$A$22:$A$51,"سلطة الفواكه")&gt;0,3,0)</f>
        <v>511</v>
      </c>
    </row>
    <row r="69" spans="7:8" ht="14" x14ac:dyDescent="0.3">
      <c r="G69" s="39" t="s">
        <v>190</v>
      </c>
      <c r="H69" s="39">
        <f>SUMIFS($B$22:$B$51,$A$22:$A$51,"تفاح أحمر")+IF(SUMIFS($B$22:$B$51,$A$22:$A$51,"تفاح أحمر")&gt;0,3,0)</f>
        <v>60</v>
      </c>
    </row>
    <row r="70" spans="7:8" ht="14" x14ac:dyDescent="0.3">
      <c r="G70" s="40" t="s">
        <v>162</v>
      </c>
      <c r="H70" s="40">
        <f>SUMIFS($B$22:$B$51,$A$22:$A$51,"تفاح أخضر")+IF(SUMIFS($B$22:$B$51,$A$22:$A$51,"تفاح أخضر")&gt;0,3,0)</f>
        <v>65</v>
      </c>
    </row>
    <row r="71" spans="7:8" ht="14" x14ac:dyDescent="0.3">
      <c r="G71" s="178" t="s">
        <v>174</v>
      </c>
      <c r="H71" s="41">
        <f>B51+3</f>
        <v>33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6D39C-BF42-49E7-A52A-4FB1413F7C04}">
  <sheetPr codeName="Sheet6"/>
  <dimension ref="A1:R76"/>
  <sheetViews>
    <sheetView showGridLines="0" zoomScale="85" zoomScaleNormal="85" workbookViewId="0">
      <pane ySplit="1" topLeftCell="A3" activePane="bottomLeft" state="frozen"/>
      <selection pane="bottomLeft" activeCell="H81" sqref="H80:H81"/>
    </sheetView>
  </sheetViews>
  <sheetFormatPr defaultColWidth="8.83203125" defaultRowHeight="14" x14ac:dyDescent="0.3"/>
  <cols>
    <col min="1" max="1" width="29.08203125" style="109" customWidth="1"/>
    <col min="2" max="2" width="11.1640625" style="37" customWidth="1"/>
    <col min="3" max="3" width="8.6640625" style="142" customWidth="1"/>
    <col min="4" max="4" width="10.25" style="142" customWidth="1"/>
    <col min="5" max="5" width="10.5" style="142" customWidth="1"/>
    <col min="6" max="6" width="7.6640625" style="37" customWidth="1"/>
    <col min="7" max="7" width="19.83203125" style="37" customWidth="1"/>
    <col min="8" max="8" width="15.75" style="37" customWidth="1"/>
    <col min="9" max="9" width="12.58203125" style="37" customWidth="1"/>
    <col min="10" max="10" width="15.25" style="37" customWidth="1"/>
    <col min="11" max="11" width="13.33203125" style="37" customWidth="1"/>
    <col min="12" max="12" width="11.25" style="37" bestFit="1" customWidth="1"/>
    <col min="13" max="13" width="10.6640625" style="110" bestFit="1" customWidth="1"/>
    <col min="14" max="14" width="12.6640625" style="37" customWidth="1"/>
    <col min="15" max="15" width="11.83203125" style="37" customWidth="1"/>
    <col min="16" max="16384" width="8.83203125" style="37"/>
  </cols>
  <sheetData>
    <row r="1" spans="1:18" ht="27.5" customHeight="1" x14ac:dyDescent="0.3">
      <c r="A1" s="55" t="s">
        <v>54</v>
      </c>
      <c r="B1" s="56" t="s">
        <v>55</v>
      </c>
      <c r="C1" s="56" t="s">
        <v>0</v>
      </c>
      <c r="D1" s="56" t="s">
        <v>56</v>
      </c>
      <c r="E1" s="56" t="s">
        <v>57</v>
      </c>
      <c r="F1" s="57" t="s">
        <v>14</v>
      </c>
      <c r="G1" s="58" t="s">
        <v>58</v>
      </c>
      <c r="H1" s="59" t="s">
        <v>59</v>
      </c>
      <c r="I1" s="58" t="s">
        <v>60</v>
      </c>
      <c r="J1" s="58" t="s">
        <v>61</v>
      </c>
      <c r="K1" s="96" t="s">
        <v>62</v>
      </c>
      <c r="L1" s="96" t="s">
        <v>63</v>
      </c>
      <c r="M1" s="96" t="s">
        <v>64</v>
      </c>
      <c r="N1" s="96" t="s">
        <v>65</v>
      </c>
      <c r="O1" s="96" t="s">
        <v>66</v>
      </c>
      <c r="Q1" s="37" t="s">
        <v>53</v>
      </c>
      <c r="R1" s="179">
        <f>User!K4</f>
        <v>6</v>
      </c>
    </row>
    <row r="2" spans="1:18" x14ac:dyDescent="0.3">
      <c r="A2" s="100" t="s">
        <v>67</v>
      </c>
      <c r="B2" s="101" t="s">
        <v>109</v>
      </c>
      <c r="C2" s="101" t="s">
        <v>33</v>
      </c>
      <c r="D2" s="101">
        <f>SUMIF(Usage!C:C,Ordering!A2,Usage!G:G)</f>
        <v>0</v>
      </c>
      <c r="E2" s="101">
        <f>SUMIF(Usage!C:C,Ordering!A2,Usage!H:H)</f>
        <v>3960</v>
      </c>
      <c r="F2" s="101">
        <v>1</v>
      </c>
      <c r="G2" s="101">
        <v>10800</v>
      </c>
      <c r="H2" s="101" t="s">
        <v>92</v>
      </c>
      <c r="I2" s="101">
        <v>162</v>
      </c>
      <c r="J2" s="102">
        <f>I2/(G2/1000)</f>
        <v>14.999999999999998</v>
      </c>
      <c r="K2" s="102">
        <f>(E2/F2)/G2</f>
        <v>0.36666666666666664</v>
      </c>
      <c r="L2" s="180">
        <f>(D2/F2)/G2</f>
        <v>0</v>
      </c>
      <c r="M2" s="102" t="s">
        <v>95</v>
      </c>
      <c r="N2" s="102">
        <f>K2*I2</f>
        <v>59.4</v>
      </c>
      <c r="O2" s="102">
        <f>L2*I2</f>
        <v>0</v>
      </c>
    </row>
    <row r="3" spans="1:18" x14ac:dyDescent="0.3">
      <c r="A3" s="100" t="s">
        <v>120</v>
      </c>
      <c r="B3" s="101" t="s">
        <v>109</v>
      </c>
      <c r="C3" s="101" t="s">
        <v>33</v>
      </c>
      <c r="D3" s="101">
        <f>SUMIF(Usage!C:C,Ordering!A3,Usage!G:G)</f>
        <v>2684</v>
      </c>
      <c r="E3" s="101">
        <f>SUMIF(Usage!C:C,Ordering!A3,Usage!H:H)</f>
        <v>5632</v>
      </c>
      <c r="F3" s="101">
        <v>1</v>
      </c>
      <c r="G3" s="102">
        <v>7200</v>
      </c>
      <c r="H3" s="102" t="s">
        <v>123</v>
      </c>
      <c r="I3" s="102">
        <v>155</v>
      </c>
      <c r="J3" s="102">
        <v>21.527777777777779</v>
      </c>
      <c r="K3" s="102">
        <f t="shared" ref="K3:K68" si="0">(E3/F3)/G3</f>
        <v>0.78222222222222226</v>
      </c>
      <c r="L3" s="102">
        <f t="shared" ref="L3:L68" si="1">(D3/F3)/G3</f>
        <v>0.37277777777777776</v>
      </c>
      <c r="M3" s="102" t="s">
        <v>95</v>
      </c>
      <c r="N3" s="102">
        <f t="shared" ref="N3:N68" si="2">K3*I3</f>
        <v>121.24444444444445</v>
      </c>
      <c r="O3" s="102">
        <f t="shared" ref="O3:O68" si="3">L3*I3</f>
        <v>57.780555555555551</v>
      </c>
    </row>
    <row r="4" spans="1:18" x14ac:dyDescent="0.3">
      <c r="A4" s="100" t="s">
        <v>72</v>
      </c>
      <c r="B4" s="101" t="s">
        <v>109</v>
      </c>
      <c r="C4" s="101" t="s">
        <v>33</v>
      </c>
      <c r="D4" s="101">
        <f>SUMIF(Usage!C:C,Ordering!A4,Usage!G:G)</f>
        <v>0</v>
      </c>
      <c r="E4" s="101">
        <f>SUMIF(Usage!C:C,Ordering!A4,Usage!H:H)</f>
        <v>1096</v>
      </c>
      <c r="F4" s="101">
        <v>1</v>
      </c>
      <c r="G4" s="101">
        <v>9200</v>
      </c>
      <c r="H4" s="101" t="s">
        <v>126</v>
      </c>
      <c r="I4" s="101">
        <v>165</v>
      </c>
      <c r="J4" s="102">
        <f>I4/(G4/1000)</f>
        <v>17.934782608695652</v>
      </c>
      <c r="K4" s="102">
        <f t="shared" si="0"/>
        <v>0.11913043478260869</v>
      </c>
      <c r="L4" s="102">
        <f t="shared" si="1"/>
        <v>0</v>
      </c>
      <c r="M4" s="102" t="s">
        <v>95</v>
      </c>
      <c r="N4" s="102">
        <f t="shared" si="2"/>
        <v>19.656521739130433</v>
      </c>
      <c r="O4" s="102">
        <f t="shared" si="3"/>
        <v>0</v>
      </c>
    </row>
    <row r="5" spans="1:18" x14ac:dyDescent="0.3">
      <c r="A5" s="100" t="s">
        <v>166</v>
      </c>
      <c r="B5" s="101" t="s">
        <v>109</v>
      </c>
      <c r="C5" s="101" t="s">
        <v>33</v>
      </c>
      <c r="D5" s="101">
        <f>SUMIF(Usage!C:C,Ordering!A5,Usage!G:G)</f>
        <v>0</v>
      </c>
      <c r="E5" s="101">
        <f>SUMIF(Usage!C:C,Ordering!A5,Usage!H:H)</f>
        <v>1149</v>
      </c>
      <c r="F5" s="101">
        <v>1</v>
      </c>
      <c r="G5" s="102">
        <v>2724</v>
      </c>
      <c r="H5" s="102" t="s">
        <v>125</v>
      </c>
      <c r="I5" s="102">
        <v>185</v>
      </c>
      <c r="J5" s="102">
        <f>I5/(G5/1000)</f>
        <v>67.91483113069016</v>
      </c>
      <c r="K5" s="102">
        <f t="shared" si="0"/>
        <v>0.42180616740088106</v>
      </c>
      <c r="L5" s="102">
        <f t="shared" si="1"/>
        <v>0</v>
      </c>
      <c r="M5" s="102" t="s">
        <v>95</v>
      </c>
      <c r="N5" s="102">
        <f t="shared" si="2"/>
        <v>78.034140969162991</v>
      </c>
      <c r="O5" s="102">
        <f t="shared" si="3"/>
        <v>0</v>
      </c>
    </row>
    <row r="6" spans="1:18" x14ac:dyDescent="0.3">
      <c r="A6" s="100" t="s">
        <v>77</v>
      </c>
      <c r="B6" s="101" t="s">
        <v>109</v>
      </c>
      <c r="C6" s="101" t="s">
        <v>90</v>
      </c>
      <c r="D6" s="101">
        <f>SUMIF(Usage!C:C,Ordering!A6,Usage!G:G)</f>
        <v>0</v>
      </c>
      <c r="E6" s="101">
        <f>SUMIF(Usage!C:C,Ordering!A6,Usage!H:H)</f>
        <v>460</v>
      </c>
      <c r="F6" s="101">
        <v>1</v>
      </c>
      <c r="G6" s="101">
        <v>12000</v>
      </c>
      <c r="H6" s="101" t="s">
        <v>98</v>
      </c>
      <c r="I6" s="101">
        <v>152</v>
      </c>
      <c r="J6" s="102">
        <f>I6/(G6/1000)</f>
        <v>12.666666666666666</v>
      </c>
      <c r="K6" s="102">
        <f t="shared" si="0"/>
        <v>3.833333333333333E-2</v>
      </c>
      <c r="L6" s="102">
        <f t="shared" si="1"/>
        <v>0</v>
      </c>
      <c r="M6" s="102" t="s">
        <v>95</v>
      </c>
      <c r="N6" s="102">
        <f t="shared" si="2"/>
        <v>5.8266666666666662</v>
      </c>
      <c r="O6" s="102">
        <f t="shared" si="3"/>
        <v>0</v>
      </c>
    </row>
    <row r="7" spans="1:18" x14ac:dyDescent="0.3">
      <c r="A7" s="100" t="s">
        <v>83</v>
      </c>
      <c r="B7" s="101" t="s">
        <v>109</v>
      </c>
      <c r="C7" s="101" t="s">
        <v>90</v>
      </c>
      <c r="D7" s="101">
        <f>SUMIF(Usage!C:C,Ordering!A7,Usage!G:G)</f>
        <v>0</v>
      </c>
      <c r="E7" s="101">
        <f>SUMIF(Usage!C:C,Ordering!A7,Usage!H:H)</f>
        <v>3248</v>
      </c>
      <c r="F7" s="101">
        <v>1</v>
      </c>
      <c r="G7" s="102">
        <v>12000</v>
      </c>
      <c r="H7" s="102" t="s">
        <v>98</v>
      </c>
      <c r="I7" s="102">
        <v>50.44</v>
      </c>
      <c r="J7" s="102">
        <f t="shared" ref="J7" si="4">I7/(G7/1000)</f>
        <v>4.2033333333333331</v>
      </c>
      <c r="K7" s="102">
        <f t="shared" si="0"/>
        <v>0.27066666666666667</v>
      </c>
      <c r="L7" s="102">
        <f t="shared" si="1"/>
        <v>0</v>
      </c>
      <c r="M7" s="102" t="s">
        <v>95</v>
      </c>
      <c r="N7" s="102">
        <f t="shared" si="2"/>
        <v>13.652426666666667</v>
      </c>
      <c r="O7" s="102">
        <f t="shared" si="3"/>
        <v>0</v>
      </c>
    </row>
    <row r="8" spans="1:18" x14ac:dyDescent="0.3">
      <c r="A8" s="100" t="s">
        <v>89</v>
      </c>
      <c r="B8" s="101" t="s">
        <v>109</v>
      </c>
      <c r="C8" s="101" t="s">
        <v>33</v>
      </c>
      <c r="D8" s="101">
        <f>SUMIF(Usage!C:C,Ordering!A8,Usage!G:G)</f>
        <v>0</v>
      </c>
      <c r="E8" s="101">
        <f>SUMIF(Usage!C:C,Ordering!A8,Usage!H:H)</f>
        <v>3016</v>
      </c>
      <c r="F8" s="101">
        <v>1</v>
      </c>
      <c r="G8" s="101">
        <v>10000</v>
      </c>
      <c r="H8" s="101" t="s">
        <v>107</v>
      </c>
      <c r="I8" s="101">
        <v>66.959999999999994</v>
      </c>
      <c r="J8" s="102">
        <f>I8/(G8/1000)</f>
        <v>6.6959999999999997</v>
      </c>
      <c r="K8" s="102">
        <f t="shared" si="0"/>
        <v>0.30159999999999998</v>
      </c>
      <c r="L8" s="102">
        <f t="shared" si="1"/>
        <v>0</v>
      </c>
      <c r="M8" s="102" t="s">
        <v>95</v>
      </c>
      <c r="N8" s="102">
        <f t="shared" si="2"/>
        <v>20.195135999999998</v>
      </c>
      <c r="O8" s="102">
        <f t="shared" si="3"/>
        <v>0</v>
      </c>
    </row>
    <row r="9" spans="1:18" x14ac:dyDescent="0.3">
      <c r="A9" s="103"/>
      <c r="B9" s="104"/>
      <c r="C9" s="104"/>
      <c r="D9" s="104"/>
      <c r="E9" s="104"/>
      <c r="F9" s="104"/>
      <c r="G9" s="105"/>
      <c r="H9" s="105"/>
      <c r="I9" s="105"/>
      <c r="J9" s="105"/>
      <c r="K9" s="105"/>
      <c r="L9" s="105"/>
      <c r="M9" s="105"/>
      <c r="N9" s="105"/>
      <c r="O9" s="105"/>
    </row>
    <row r="10" spans="1:18" x14ac:dyDescent="0.3">
      <c r="A10" s="106" t="s">
        <v>75</v>
      </c>
      <c r="B10" s="107" t="s">
        <v>114</v>
      </c>
      <c r="C10" s="107" t="s">
        <v>90</v>
      </c>
      <c r="D10" s="107">
        <f>SUMIF(Usage!C:C,Ordering!A10,Usage!G:G)</f>
        <v>0</v>
      </c>
      <c r="E10" s="107">
        <f>SUMIF(Usage!C:C,Ordering!A10,Usage!H:H)</f>
        <v>3785</v>
      </c>
      <c r="F10" s="107">
        <v>1</v>
      </c>
      <c r="G10" s="107">
        <f>500*12</f>
        <v>6000</v>
      </c>
      <c r="H10" s="107" t="s">
        <v>97</v>
      </c>
      <c r="I10" s="107">
        <v>170.44</v>
      </c>
      <c r="J10" s="108">
        <f t="shared" ref="J10:J16" si="5">I10/(G10/1000)</f>
        <v>28.406666666666666</v>
      </c>
      <c r="K10" s="108">
        <f t="shared" si="0"/>
        <v>0.63083333333333336</v>
      </c>
      <c r="L10" s="108">
        <f t="shared" si="1"/>
        <v>0</v>
      </c>
      <c r="M10" s="108" t="s">
        <v>95</v>
      </c>
      <c r="N10" s="108">
        <f t="shared" si="2"/>
        <v>107.51923333333333</v>
      </c>
      <c r="O10" s="108">
        <f t="shared" si="3"/>
        <v>0</v>
      </c>
    </row>
    <row r="11" spans="1:18" x14ac:dyDescent="0.3">
      <c r="A11" s="106" t="s">
        <v>81</v>
      </c>
      <c r="B11" s="107" t="s">
        <v>114</v>
      </c>
      <c r="C11" s="107" t="s">
        <v>90</v>
      </c>
      <c r="D11" s="107">
        <f>SUMIF(Usage!C:C,Ordering!A11,Usage!G:G)</f>
        <v>3058</v>
      </c>
      <c r="E11" s="107">
        <f>SUMIF(Usage!C:C,Ordering!A11,Usage!H:H)</f>
        <v>8505</v>
      </c>
      <c r="F11" s="107">
        <v>1</v>
      </c>
      <c r="G11" s="108">
        <v>12000</v>
      </c>
      <c r="H11" s="108" t="s">
        <v>100</v>
      </c>
      <c r="I11" s="108">
        <v>60</v>
      </c>
      <c r="J11" s="108">
        <f t="shared" si="5"/>
        <v>5</v>
      </c>
      <c r="K11" s="108">
        <f t="shared" si="0"/>
        <v>0.70874999999999999</v>
      </c>
      <c r="L11" s="108">
        <f t="shared" si="1"/>
        <v>0.25483333333333336</v>
      </c>
      <c r="M11" s="108" t="s">
        <v>95</v>
      </c>
      <c r="N11" s="108">
        <f t="shared" si="2"/>
        <v>42.524999999999999</v>
      </c>
      <c r="O11" s="108">
        <f t="shared" si="3"/>
        <v>15.290000000000001</v>
      </c>
    </row>
    <row r="12" spans="1:18" x14ac:dyDescent="0.3">
      <c r="A12" s="106" t="s">
        <v>82</v>
      </c>
      <c r="B12" s="107" t="s">
        <v>114</v>
      </c>
      <c r="C12" s="107" t="s">
        <v>33</v>
      </c>
      <c r="D12" s="107">
        <f>SUMIF(Usage!C:C,Ordering!A12,Usage!G:G)</f>
        <v>0</v>
      </c>
      <c r="E12" s="107">
        <f>SUMIF(Usage!C:C,Ordering!A12,Usage!H:H)</f>
        <v>5204</v>
      </c>
      <c r="F12" s="107">
        <v>1</v>
      </c>
      <c r="G12" s="107">
        <f>4*3700</f>
        <v>14800</v>
      </c>
      <c r="H12" s="107" t="s">
        <v>101</v>
      </c>
      <c r="I12" s="107">
        <v>95</v>
      </c>
      <c r="J12" s="108">
        <f t="shared" si="5"/>
        <v>6.4189189189189184</v>
      </c>
      <c r="K12" s="108">
        <f t="shared" si="0"/>
        <v>0.35162162162162164</v>
      </c>
      <c r="L12" s="108">
        <f t="shared" si="1"/>
        <v>0</v>
      </c>
      <c r="M12" s="108" t="s">
        <v>95</v>
      </c>
      <c r="N12" s="108">
        <f t="shared" si="2"/>
        <v>33.404054054054058</v>
      </c>
      <c r="O12" s="108">
        <f t="shared" si="3"/>
        <v>0</v>
      </c>
    </row>
    <row r="13" spans="1:18" x14ac:dyDescent="0.3">
      <c r="A13" s="106" t="s">
        <v>78</v>
      </c>
      <c r="B13" s="107" t="s">
        <v>114</v>
      </c>
      <c r="C13" s="107" t="s">
        <v>33</v>
      </c>
      <c r="D13" s="107">
        <f>SUMIF(Usage!C:C,Ordering!A13,Usage!G:G)</f>
        <v>1381</v>
      </c>
      <c r="E13" s="107">
        <f>SUMIF(Usage!C:C,Ordering!A13,Usage!H:H)</f>
        <v>4952</v>
      </c>
      <c r="F13" s="107">
        <v>1</v>
      </c>
      <c r="G13" s="108">
        <f>3780*4</f>
        <v>15120</v>
      </c>
      <c r="H13" s="108" t="s">
        <v>99</v>
      </c>
      <c r="I13" s="108">
        <v>170</v>
      </c>
      <c r="J13" s="108">
        <f t="shared" si="5"/>
        <v>11.243386243386244</v>
      </c>
      <c r="K13" s="108">
        <f t="shared" si="0"/>
        <v>0.32751322751322753</v>
      </c>
      <c r="L13" s="108">
        <f t="shared" si="1"/>
        <v>9.133597883597884E-2</v>
      </c>
      <c r="M13" s="108" t="s">
        <v>95</v>
      </c>
      <c r="N13" s="108">
        <f t="shared" si="2"/>
        <v>55.677248677248684</v>
      </c>
      <c r="O13" s="108">
        <f t="shared" si="3"/>
        <v>15.527116402116404</v>
      </c>
    </row>
    <row r="14" spans="1:18" x14ac:dyDescent="0.3">
      <c r="A14" s="106" t="s">
        <v>165</v>
      </c>
      <c r="B14" s="107" t="s">
        <v>114</v>
      </c>
      <c r="C14" s="107" t="s">
        <v>33</v>
      </c>
      <c r="D14" s="107">
        <f>SUMIF(Usage!C:C,Ordering!A14,Usage!G:G)</f>
        <v>0</v>
      </c>
      <c r="E14" s="107">
        <f>SUMIF(Usage!C:C,Ordering!A14,Usage!H:H)</f>
        <v>2568</v>
      </c>
      <c r="F14" s="107">
        <v>1</v>
      </c>
      <c r="G14" s="107">
        <f>12*800</f>
        <v>9600</v>
      </c>
      <c r="H14" s="107" t="s">
        <v>102</v>
      </c>
      <c r="I14" s="107">
        <v>245</v>
      </c>
      <c r="J14" s="108">
        <f t="shared" si="5"/>
        <v>25.520833333333336</v>
      </c>
      <c r="K14" s="108">
        <f t="shared" si="0"/>
        <v>0.26750000000000002</v>
      </c>
      <c r="L14" s="108">
        <f t="shared" si="1"/>
        <v>0</v>
      </c>
      <c r="M14" s="108" t="s">
        <v>95</v>
      </c>
      <c r="N14" s="108">
        <f t="shared" si="2"/>
        <v>65.537500000000009</v>
      </c>
      <c r="O14" s="108">
        <f t="shared" si="3"/>
        <v>0</v>
      </c>
    </row>
    <row r="15" spans="1:18" x14ac:dyDescent="0.3">
      <c r="A15" s="106" t="s">
        <v>118</v>
      </c>
      <c r="B15" s="107" t="s">
        <v>114</v>
      </c>
      <c r="C15" s="107" t="s">
        <v>33</v>
      </c>
      <c r="D15" s="107">
        <f>SUMIF(Usage!C:C,Ordering!A15,Usage!G:G)</f>
        <v>0</v>
      </c>
      <c r="E15" s="107">
        <f>SUMIF(Usage!C:C,Ordering!A15,Usage!H:H)</f>
        <v>2352</v>
      </c>
      <c r="F15" s="107">
        <v>1</v>
      </c>
      <c r="G15" s="108">
        <v>16000</v>
      </c>
      <c r="H15" s="108" t="s">
        <v>105</v>
      </c>
      <c r="I15" s="108">
        <v>160</v>
      </c>
      <c r="J15" s="108">
        <f t="shared" si="5"/>
        <v>10</v>
      </c>
      <c r="K15" s="108">
        <f t="shared" si="0"/>
        <v>0.14699999999999999</v>
      </c>
      <c r="L15" s="108">
        <f t="shared" si="1"/>
        <v>0</v>
      </c>
      <c r="M15" s="108" t="s">
        <v>95</v>
      </c>
      <c r="N15" s="108">
        <f t="shared" si="2"/>
        <v>23.52</v>
      </c>
      <c r="O15" s="108">
        <f t="shared" si="3"/>
        <v>0</v>
      </c>
    </row>
    <row r="16" spans="1:18" x14ac:dyDescent="0.3">
      <c r="A16" s="106" t="s">
        <v>87</v>
      </c>
      <c r="B16" s="107" t="s">
        <v>114</v>
      </c>
      <c r="C16" s="107" t="s">
        <v>90</v>
      </c>
      <c r="D16" s="107">
        <f>SUMIF(Usage!C:C,Ordering!A16,Usage!G:G)</f>
        <v>0</v>
      </c>
      <c r="E16" s="107">
        <f>SUMIF(Usage!C:C,Ordering!A16,Usage!H:H)</f>
        <v>543</v>
      </c>
      <c r="F16" s="107">
        <v>1</v>
      </c>
      <c r="G16" s="107">
        <f>4*5000</f>
        <v>20000</v>
      </c>
      <c r="H16" s="107" t="s">
        <v>106</v>
      </c>
      <c r="I16" s="107">
        <v>65</v>
      </c>
      <c r="J16" s="108">
        <f t="shared" si="5"/>
        <v>3.25</v>
      </c>
      <c r="K16" s="108">
        <f t="shared" si="0"/>
        <v>2.7150000000000001E-2</v>
      </c>
      <c r="L16" s="108">
        <f t="shared" si="1"/>
        <v>0</v>
      </c>
      <c r="M16" s="108" t="s">
        <v>95</v>
      </c>
      <c r="N16" s="108">
        <f t="shared" si="2"/>
        <v>1.76475</v>
      </c>
      <c r="O16" s="108">
        <f t="shared" si="3"/>
        <v>0</v>
      </c>
    </row>
    <row r="17" spans="1:15" x14ac:dyDescent="0.3">
      <c r="B17" s="110"/>
      <c r="C17" s="110"/>
      <c r="D17" s="110"/>
      <c r="E17" s="110"/>
      <c r="F17" s="110"/>
      <c r="G17" s="111"/>
      <c r="H17" s="111"/>
      <c r="I17" s="111"/>
      <c r="J17" s="111"/>
      <c r="K17" s="111"/>
      <c r="L17" s="111"/>
      <c r="M17" s="111"/>
      <c r="N17" s="111"/>
      <c r="O17" s="111"/>
    </row>
    <row r="18" spans="1:15" x14ac:dyDescent="0.3">
      <c r="A18" s="112" t="s">
        <v>84</v>
      </c>
      <c r="B18" s="113" t="s">
        <v>115</v>
      </c>
      <c r="C18" s="113" t="s">
        <v>90</v>
      </c>
      <c r="D18" s="113">
        <f>SUMIF(Usage!C:C,Ordering!A18,Usage!G:G)</f>
        <v>1137</v>
      </c>
      <c r="E18" s="113">
        <f>SUMIF(Usage!C:C,Ordering!A18,Usage!H:H)</f>
        <v>4242</v>
      </c>
      <c r="F18" s="113">
        <v>1</v>
      </c>
      <c r="G18" s="113">
        <f>4*5000</f>
        <v>20000</v>
      </c>
      <c r="H18" s="113" t="s">
        <v>106</v>
      </c>
      <c r="I18" s="113">
        <v>65</v>
      </c>
      <c r="J18" s="114">
        <f>I18/(G18/1000)</f>
        <v>3.25</v>
      </c>
      <c r="K18" s="114">
        <f t="shared" si="0"/>
        <v>0.21210000000000001</v>
      </c>
      <c r="L18" s="114">
        <f t="shared" si="1"/>
        <v>5.6849999999999998E-2</v>
      </c>
      <c r="M18" s="114" t="s">
        <v>95</v>
      </c>
      <c r="N18" s="114">
        <f t="shared" si="2"/>
        <v>13.7865</v>
      </c>
      <c r="O18" s="114">
        <f t="shared" si="3"/>
        <v>3.6952499999999997</v>
      </c>
    </row>
    <row r="19" spans="1:15" x14ac:dyDescent="0.3">
      <c r="A19" s="112" t="s">
        <v>88</v>
      </c>
      <c r="B19" s="113" t="s">
        <v>115</v>
      </c>
      <c r="C19" s="113" t="s">
        <v>90</v>
      </c>
      <c r="D19" s="113">
        <f>SUMIF(Usage!C:C,Ordering!A19,Usage!G:G)</f>
        <v>1220</v>
      </c>
      <c r="E19" s="113">
        <f>SUMIF(Usage!C:C,Ordering!A19,Usage!H:H)</f>
        <v>10348</v>
      </c>
      <c r="F19" s="113">
        <v>1</v>
      </c>
      <c r="G19" s="114">
        <v>1000</v>
      </c>
      <c r="H19" s="114" t="s">
        <v>95</v>
      </c>
      <c r="I19" s="114">
        <v>0</v>
      </c>
      <c r="J19" s="114">
        <f t="shared" ref="J19" si="6">I19/(G19/1000)</f>
        <v>0</v>
      </c>
      <c r="K19" s="114">
        <f t="shared" si="0"/>
        <v>10.348000000000001</v>
      </c>
      <c r="L19" s="114">
        <f t="shared" si="1"/>
        <v>1.22</v>
      </c>
      <c r="M19" s="114" t="s">
        <v>95</v>
      </c>
      <c r="N19" s="114">
        <f t="shared" si="2"/>
        <v>0</v>
      </c>
      <c r="O19" s="114">
        <f t="shared" si="3"/>
        <v>0</v>
      </c>
    </row>
    <row r="20" spans="1:15" ht="14.5" customHeight="1" x14ac:dyDescent="0.3">
      <c r="B20" s="110"/>
      <c r="C20" s="110"/>
      <c r="D20" s="110"/>
      <c r="E20" s="110"/>
      <c r="F20" s="110"/>
      <c r="G20" s="110"/>
      <c r="H20" s="110"/>
      <c r="I20" s="110"/>
      <c r="J20" s="111"/>
      <c r="K20" s="111"/>
      <c r="L20" s="111"/>
      <c r="M20" s="111"/>
      <c r="N20" s="111"/>
      <c r="O20" s="111"/>
    </row>
    <row r="21" spans="1:15" x14ac:dyDescent="0.3">
      <c r="A21" s="115" t="s">
        <v>85</v>
      </c>
      <c r="B21" s="116" t="s">
        <v>116</v>
      </c>
      <c r="C21" s="116" t="s">
        <v>33</v>
      </c>
      <c r="D21" s="116">
        <f>SUMIF(Usage!C:C,Ordering!A21,Usage!G:G)</f>
        <v>568.5</v>
      </c>
      <c r="E21" s="116">
        <f>SUMIF(Usage!C:C,Ordering!A21,Usage!H:H)</f>
        <v>3232.5</v>
      </c>
      <c r="F21" s="116">
        <v>1</v>
      </c>
      <c r="G21" s="117">
        <v>1000</v>
      </c>
      <c r="H21" s="117" t="s">
        <v>103</v>
      </c>
      <c r="I21" s="117">
        <v>31</v>
      </c>
      <c r="J21" s="117">
        <f>I21/(G21/1000)</f>
        <v>31</v>
      </c>
      <c r="K21" s="117">
        <f t="shared" si="0"/>
        <v>3.2324999999999999</v>
      </c>
      <c r="L21" s="117">
        <f t="shared" si="1"/>
        <v>0.56850000000000001</v>
      </c>
      <c r="M21" s="117" t="s">
        <v>95</v>
      </c>
      <c r="N21" s="117">
        <f t="shared" si="2"/>
        <v>100.2075</v>
      </c>
      <c r="O21" s="117">
        <f t="shared" si="3"/>
        <v>17.6235</v>
      </c>
    </row>
    <row r="22" spans="1:15" ht="17" customHeight="1" x14ac:dyDescent="0.3">
      <c r="A22" s="115" t="s">
        <v>86</v>
      </c>
      <c r="B22" s="116" t="s">
        <v>116</v>
      </c>
      <c r="C22" s="116" t="s">
        <v>33</v>
      </c>
      <c r="D22" s="116">
        <f>SUMIF(Usage!C:C,Ordering!A22,Usage!G:G)</f>
        <v>379</v>
      </c>
      <c r="E22" s="116">
        <f>SUMIF(Usage!C:C,Ordering!A22,Usage!H:H)</f>
        <v>2155</v>
      </c>
      <c r="F22" s="116">
        <v>1</v>
      </c>
      <c r="G22" s="116">
        <v>50000</v>
      </c>
      <c r="H22" s="116" t="s">
        <v>104</v>
      </c>
      <c r="I22" s="116">
        <v>37</v>
      </c>
      <c r="J22" s="117">
        <f>I22/(G22/1000)</f>
        <v>0.74</v>
      </c>
      <c r="K22" s="117">
        <f t="shared" si="0"/>
        <v>4.3099999999999999E-2</v>
      </c>
      <c r="L22" s="117">
        <f t="shared" si="1"/>
        <v>7.5799999999999999E-3</v>
      </c>
      <c r="M22" s="117" t="s">
        <v>95</v>
      </c>
      <c r="N22" s="117">
        <f t="shared" si="2"/>
        <v>1.5947</v>
      </c>
      <c r="O22" s="117">
        <f t="shared" si="3"/>
        <v>0.28045999999999999</v>
      </c>
    </row>
    <row r="23" spans="1:15" ht="13.5" customHeight="1" x14ac:dyDescent="0.3">
      <c r="A23" s="103"/>
      <c r="B23" s="104"/>
      <c r="C23" s="104"/>
      <c r="D23" s="104"/>
      <c r="E23" s="104"/>
      <c r="F23" s="104"/>
      <c r="G23" s="105"/>
      <c r="H23" s="105"/>
      <c r="I23" s="105"/>
      <c r="J23" s="105"/>
      <c r="K23" s="105"/>
      <c r="L23" s="105"/>
      <c r="M23" s="105"/>
      <c r="N23" s="105"/>
      <c r="O23" s="105"/>
    </row>
    <row r="24" spans="1:15" x14ac:dyDescent="0.3">
      <c r="A24" s="118" t="s">
        <v>117</v>
      </c>
      <c r="B24" s="119" t="s">
        <v>108</v>
      </c>
      <c r="C24" s="119" t="s">
        <v>33</v>
      </c>
      <c r="D24" s="119">
        <f>SUMIF(Usage!C:C,Ordering!A24,Usage!G:G)</f>
        <v>7320</v>
      </c>
      <c r="E24" s="119">
        <f>SUMIF(Usage!C:C,Ordering!A24,Usage!H:H)</f>
        <v>7320</v>
      </c>
      <c r="F24" s="119">
        <v>1</v>
      </c>
      <c r="G24" s="120">
        <f>20*400</f>
        <v>8000</v>
      </c>
      <c r="H24" s="119" t="s">
        <v>140</v>
      </c>
      <c r="I24" s="119">
        <f>39</f>
        <v>39</v>
      </c>
      <c r="J24" s="121">
        <f>I24/(G24/1000)</f>
        <v>4.875</v>
      </c>
      <c r="K24" s="121">
        <f t="shared" si="0"/>
        <v>0.91500000000000004</v>
      </c>
      <c r="L24" s="121">
        <f t="shared" si="1"/>
        <v>0.91500000000000004</v>
      </c>
      <c r="M24" s="121" t="s">
        <v>95</v>
      </c>
      <c r="N24" s="121">
        <f t="shared" si="2"/>
        <v>35.685000000000002</v>
      </c>
      <c r="O24" s="121">
        <f t="shared" si="3"/>
        <v>35.685000000000002</v>
      </c>
    </row>
    <row r="25" spans="1:15" x14ac:dyDescent="0.3">
      <c r="A25" s="118" t="s">
        <v>69</v>
      </c>
      <c r="B25" s="119" t="s">
        <v>108</v>
      </c>
      <c r="C25" s="119" t="s">
        <v>33</v>
      </c>
      <c r="D25" s="119">
        <f>SUMIF(Usage!C:C,Ordering!A25,Usage!G:G)</f>
        <v>4880</v>
      </c>
      <c r="E25" s="119">
        <f>SUMIF(Usage!C:C,Ordering!A25,Usage!H:H)</f>
        <v>4880</v>
      </c>
      <c r="F25" s="119">
        <v>1</v>
      </c>
      <c r="G25" s="119">
        <f>12*400</f>
        <v>4800</v>
      </c>
      <c r="H25" s="119" t="s">
        <v>93</v>
      </c>
      <c r="I25" s="119">
        <v>80</v>
      </c>
      <c r="J25" s="121">
        <f>I25/(G25/1000)</f>
        <v>16.666666666666668</v>
      </c>
      <c r="K25" s="121">
        <f t="shared" si="0"/>
        <v>1.0166666666666666</v>
      </c>
      <c r="L25" s="121">
        <f t="shared" si="1"/>
        <v>1.0166666666666666</v>
      </c>
      <c r="M25" s="121" t="s">
        <v>95</v>
      </c>
      <c r="N25" s="121">
        <f t="shared" si="2"/>
        <v>81.333333333333329</v>
      </c>
      <c r="O25" s="121">
        <f t="shared" si="3"/>
        <v>81.333333333333329</v>
      </c>
    </row>
    <row r="26" spans="1:15" x14ac:dyDescent="0.3">
      <c r="A26" s="118" t="s">
        <v>164</v>
      </c>
      <c r="B26" s="119" t="s">
        <v>108</v>
      </c>
      <c r="C26" s="119" t="s">
        <v>33</v>
      </c>
      <c r="D26" s="119">
        <f>SUMIF(Usage!C:C,Ordering!A26,Usage!G:G)</f>
        <v>0</v>
      </c>
      <c r="E26" s="119">
        <f>SUMIF(Usage!C:C,Ordering!A26,Usage!H:H)</f>
        <v>19200</v>
      </c>
      <c r="F26" s="119">
        <v>1</v>
      </c>
      <c r="G26" s="121">
        <v>1000</v>
      </c>
      <c r="H26" s="121" t="s">
        <v>95</v>
      </c>
      <c r="I26" s="121">
        <v>19</v>
      </c>
      <c r="J26" s="121">
        <v>19</v>
      </c>
      <c r="K26" s="121">
        <f t="shared" si="0"/>
        <v>19.2</v>
      </c>
      <c r="L26" s="121">
        <f t="shared" si="1"/>
        <v>0</v>
      </c>
      <c r="M26" s="121" t="s">
        <v>95</v>
      </c>
      <c r="N26" s="121">
        <f t="shared" si="2"/>
        <v>364.8</v>
      </c>
      <c r="O26" s="121">
        <f t="shared" si="3"/>
        <v>0</v>
      </c>
    </row>
    <row r="27" spans="1:15" x14ac:dyDescent="0.3">
      <c r="A27" s="118" t="s">
        <v>71</v>
      </c>
      <c r="B27" s="119" t="s">
        <v>108</v>
      </c>
      <c r="C27" s="119" t="s">
        <v>33</v>
      </c>
      <c r="D27" s="119">
        <f>SUMIF(Usage!C:C,Ordering!A27,Usage!G:G)</f>
        <v>0</v>
      </c>
      <c r="E27" s="119">
        <f>SUMIF(Usage!C:C,Ordering!A27,Usage!H:H)</f>
        <v>18640</v>
      </c>
      <c r="F27" s="119">
        <v>1</v>
      </c>
      <c r="G27" s="119">
        <f>24*400</f>
        <v>9600</v>
      </c>
      <c r="H27" s="119" t="s">
        <v>94</v>
      </c>
      <c r="I27" s="119">
        <v>80</v>
      </c>
      <c r="J27" s="121">
        <f>I27/(G27/1000)</f>
        <v>8.3333333333333339</v>
      </c>
      <c r="K27" s="121">
        <f t="shared" si="0"/>
        <v>1.9416666666666667</v>
      </c>
      <c r="L27" s="121">
        <f t="shared" si="1"/>
        <v>0</v>
      </c>
      <c r="M27" s="121" t="s">
        <v>95</v>
      </c>
      <c r="N27" s="121">
        <f t="shared" si="2"/>
        <v>155.33333333333334</v>
      </c>
      <c r="O27" s="121">
        <f t="shared" si="3"/>
        <v>0</v>
      </c>
    </row>
    <row r="28" spans="1:15" x14ac:dyDescent="0.3">
      <c r="A28" s="118" t="s">
        <v>119</v>
      </c>
      <c r="B28" s="119" t="s">
        <v>108</v>
      </c>
      <c r="C28" s="119" t="s">
        <v>33</v>
      </c>
      <c r="D28" s="119">
        <f>SUMIF(Usage!C:C,Ordering!A28,Usage!G:G)</f>
        <v>0</v>
      </c>
      <c r="E28" s="119">
        <f>SUMIF(Usage!C:C,Ordering!A28,Usage!H:H)</f>
        <v>2740</v>
      </c>
      <c r="F28" s="119">
        <v>1</v>
      </c>
      <c r="G28" s="121">
        <f>6*2000</f>
        <v>12000</v>
      </c>
      <c r="H28" s="121" t="s">
        <v>91</v>
      </c>
      <c r="I28" s="121">
        <v>125</v>
      </c>
      <c r="J28" s="121">
        <f>I28/(G28/1000)</f>
        <v>10.416666666666666</v>
      </c>
      <c r="K28" s="121">
        <f t="shared" si="0"/>
        <v>0.22833333333333333</v>
      </c>
      <c r="L28" s="121">
        <f t="shared" si="1"/>
        <v>0</v>
      </c>
      <c r="M28" s="121" t="s">
        <v>95</v>
      </c>
      <c r="N28" s="121">
        <f t="shared" si="2"/>
        <v>28.541666666666668</v>
      </c>
      <c r="O28" s="121">
        <f t="shared" si="3"/>
        <v>0</v>
      </c>
    </row>
    <row r="29" spans="1:15" x14ac:dyDescent="0.3">
      <c r="A29" s="118" t="s">
        <v>73</v>
      </c>
      <c r="B29" s="119" t="s">
        <v>108</v>
      </c>
      <c r="C29" s="119" t="s">
        <v>33</v>
      </c>
      <c r="D29" s="119">
        <f>SUMIF(Usage!C:C,Ordering!A29,Usage!G:G)</f>
        <v>0</v>
      </c>
      <c r="E29" s="119">
        <f>SUMIF(Usage!C:C,Ordering!A29,Usage!H:H)</f>
        <v>18640</v>
      </c>
      <c r="F29" s="119">
        <v>1</v>
      </c>
      <c r="G29" s="119">
        <f>2125*6</f>
        <v>12750</v>
      </c>
      <c r="H29" s="119" t="s">
        <v>96</v>
      </c>
      <c r="I29" s="119">
        <v>130</v>
      </c>
      <c r="J29" s="120">
        <f>I29/(G29/1000)</f>
        <v>10.196078431372548</v>
      </c>
      <c r="K29" s="120">
        <f t="shared" si="0"/>
        <v>1.4619607843137254</v>
      </c>
      <c r="L29" s="120">
        <f t="shared" si="1"/>
        <v>0</v>
      </c>
      <c r="M29" s="120" t="s">
        <v>95</v>
      </c>
      <c r="N29" s="120">
        <f t="shared" si="2"/>
        <v>190.05490196078432</v>
      </c>
      <c r="O29" s="120">
        <f t="shared" si="3"/>
        <v>0</v>
      </c>
    </row>
    <row r="30" spans="1:15" x14ac:dyDescent="0.3">
      <c r="A30" s="103"/>
      <c r="B30" s="104"/>
      <c r="C30" s="104"/>
      <c r="D30" s="104"/>
      <c r="E30" s="104"/>
      <c r="F30" s="104"/>
      <c r="G30" s="105"/>
      <c r="H30" s="105"/>
      <c r="I30" s="105"/>
      <c r="J30" s="122"/>
      <c r="K30" s="122"/>
      <c r="L30" s="122"/>
      <c r="M30" s="122"/>
      <c r="N30" s="122"/>
      <c r="O30" s="122"/>
    </row>
    <row r="31" spans="1:15" x14ac:dyDescent="0.3">
      <c r="A31" s="123" t="s">
        <v>167</v>
      </c>
      <c r="B31" s="124" t="s">
        <v>112</v>
      </c>
      <c r="C31" s="124" t="s">
        <v>33</v>
      </c>
      <c r="D31" s="124">
        <f>SUMIF(Usage!C:C,Ordering!A31,Usage!G:G)</f>
        <v>0</v>
      </c>
      <c r="E31" s="124">
        <f>SUMIF(Usage!C:C,Ordering!A31,Usage!H:H)</f>
        <v>435</v>
      </c>
      <c r="F31" s="124">
        <v>1</v>
      </c>
      <c r="G31" s="124">
        <v>1000</v>
      </c>
      <c r="H31" s="124" t="s">
        <v>103</v>
      </c>
      <c r="I31" s="124">
        <v>70</v>
      </c>
      <c r="J31" s="124">
        <f>I31/(G31/1000)</f>
        <v>70</v>
      </c>
      <c r="K31" s="124">
        <f t="shared" si="0"/>
        <v>0.435</v>
      </c>
      <c r="L31" s="124">
        <f t="shared" si="1"/>
        <v>0</v>
      </c>
      <c r="M31" s="124" t="s">
        <v>95</v>
      </c>
      <c r="N31" s="124">
        <f t="shared" si="2"/>
        <v>30.45</v>
      </c>
      <c r="O31" s="124">
        <f t="shared" si="3"/>
        <v>0</v>
      </c>
    </row>
    <row r="32" spans="1:15" x14ac:dyDescent="0.3">
      <c r="A32" s="123" t="s">
        <v>175</v>
      </c>
      <c r="B32" s="124" t="s">
        <v>112</v>
      </c>
      <c r="C32" s="124" t="s">
        <v>33</v>
      </c>
      <c r="D32" s="124">
        <f>SUMIF(Usage!C:C,Ordering!A32,Usage!G:G)</f>
        <v>1137</v>
      </c>
      <c r="E32" s="124">
        <f>SUMIF(Usage!C:C,Ordering!A32,Usage!H:H)</f>
        <v>2268</v>
      </c>
      <c r="F32" s="124">
        <v>1</v>
      </c>
      <c r="G32" s="124">
        <v>1000</v>
      </c>
      <c r="H32" s="124" t="s">
        <v>103</v>
      </c>
      <c r="I32" s="124">
        <v>39</v>
      </c>
      <c r="J32" s="124">
        <f>I32/(G32/1000)</f>
        <v>39</v>
      </c>
      <c r="K32" s="124">
        <f t="shared" si="0"/>
        <v>2.2679999999999998</v>
      </c>
      <c r="L32" s="124">
        <f t="shared" si="1"/>
        <v>1.137</v>
      </c>
      <c r="M32" s="124" t="s">
        <v>95</v>
      </c>
      <c r="N32" s="124">
        <f t="shared" si="2"/>
        <v>88.451999999999998</v>
      </c>
      <c r="O32" s="124">
        <f t="shared" si="3"/>
        <v>44.343000000000004</v>
      </c>
    </row>
    <row r="33" spans="1:16" x14ac:dyDescent="0.3">
      <c r="B33" s="110"/>
      <c r="C33" s="110"/>
      <c r="D33" s="110"/>
      <c r="E33" s="110"/>
      <c r="F33" s="110"/>
      <c r="G33" s="110"/>
      <c r="H33" s="110"/>
      <c r="I33" s="110"/>
      <c r="J33" s="125"/>
      <c r="K33" s="125"/>
      <c r="L33" s="125"/>
      <c r="M33" s="125"/>
      <c r="N33" s="125"/>
      <c r="O33" s="125"/>
    </row>
    <row r="34" spans="1:16" x14ac:dyDescent="0.3">
      <c r="A34" s="126" t="s">
        <v>76</v>
      </c>
      <c r="B34" s="127" t="s">
        <v>113</v>
      </c>
      <c r="C34" s="127" t="s">
        <v>33</v>
      </c>
      <c r="D34" s="127">
        <f>SUMIF(Usage!C:C,Ordering!A34,Usage!G:G)</f>
        <v>0</v>
      </c>
      <c r="E34" s="127">
        <f>SUMIF(Usage!C:C,Ordering!A34,Usage!H:H)</f>
        <v>1712</v>
      </c>
      <c r="F34" s="127">
        <v>1</v>
      </c>
      <c r="G34" s="127">
        <v>20000</v>
      </c>
      <c r="H34" s="127" t="s">
        <v>141</v>
      </c>
      <c r="I34" s="127">
        <v>130</v>
      </c>
      <c r="J34" s="128">
        <f>I34/20</f>
        <v>6.5</v>
      </c>
      <c r="K34" s="128">
        <f t="shared" si="0"/>
        <v>8.5599999999999996E-2</v>
      </c>
      <c r="L34" s="128">
        <f t="shared" si="1"/>
        <v>0</v>
      </c>
      <c r="M34" s="128" t="s">
        <v>95</v>
      </c>
      <c r="N34" s="128">
        <f t="shared" si="2"/>
        <v>11.128</v>
      </c>
      <c r="O34" s="128">
        <f t="shared" si="3"/>
        <v>0</v>
      </c>
    </row>
    <row r="35" spans="1:16" x14ac:dyDescent="0.3">
      <c r="A35" s="126" t="s">
        <v>121</v>
      </c>
      <c r="B35" s="127" t="s">
        <v>113</v>
      </c>
      <c r="C35" s="127" t="s">
        <v>33</v>
      </c>
      <c r="D35" s="127">
        <f>SUMIF(Usage!C:C,Ordering!A35,Usage!G:G)</f>
        <v>0</v>
      </c>
      <c r="E35" s="127">
        <f>SUMIF(Usage!C:C,Ordering!A35,Usage!H:H)</f>
        <v>1450</v>
      </c>
      <c r="F35" s="127">
        <v>1</v>
      </c>
      <c r="G35" s="127">
        <v>15000</v>
      </c>
      <c r="H35" s="127" t="s">
        <v>132</v>
      </c>
      <c r="I35" s="127">
        <v>65</v>
      </c>
      <c r="J35" s="128">
        <f>I35/(G35/1000)</f>
        <v>4.333333333333333</v>
      </c>
      <c r="K35" s="128">
        <f t="shared" si="0"/>
        <v>9.6666666666666665E-2</v>
      </c>
      <c r="L35" s="128">
        <f t="shared" si="1"/>
        <v>0</v>
      </c>
      <c r="M35" s="128" t="s">
        <v>95</v>
      </c>
      <c r="N35" s="128">
        <f t="shared" si="2"/>
        <v>6.2833333333333332</v>
      </c>
      <c r="O35" s="128">
        <f t="shared" si="3"/>
        <v>0</v>
      </c>
    </row>
    <row r="36" spans="1:16" x14ac:dyDescent="0.3">
      <c r="A36" s="126" t="s">
        <v>80</v>
      </c>
      <c r="B36" s="127" t="s">
        <v>113</v>
      </c>
      <c r="C36" s="127" t="s">
        <v>33</v>
      </c>
      <c r="D36" s="127">
        <f>SUMIF(Usage!C:C,Ordering!A36,Usage!G:G)</f>
        <v>1895</v>
      </c>
      <c r="E36" s="127">
        <f>SUMIF(Usage!C:C,Ordering!A36,Usage!H:H)</f>
        <v>8169</v>
      </c>
      <c r="F36" s="127">
        <v>1</v>
      </c>
      <c r="G36" s="129">
        <f>4*2000</f>
        <v>8000</v>
      </c>
      <c r="H36" s="129" t="s">
        <v>131</v>
      </c>
      <c r="I36" s="129">
        <v>136</v>
      </c>
      <c r="J36" s="129">
        <f>I36/(G36/1000)</f>
        <v>17</v>
      </c>
      <c r="K36" s="129">
        <f t="shared" si="0"/>
        <v>1.0211250000000001</v>
      </c>
      <c r="L36" s="129">
        <f t="shared" si="1"/>
        <v>0.236875</v>
      </c>
      <c r="M36" s="129" t="s">
        <v>95</v>
      </c>
      <c r="N36" s="129">
        <f t="shared" si="2"/>
        <v>138.87300000000002</v>
      </c>
      <c r="O36" s="129">
        <f t="shared" si="3"/>
        <v>32.215000000000003</v>
      </c>
    </row>
    <row r="37" spans="1:16" x14ac:dyDescent="0.3">
      <c r="A37" s="126" t="s">
        <v>74</v>
      </c>
      <c r="B37" s="127" t="s">
        <v>113</v>
      </c>
      <c r="C37" s="127" t="s">
        <v>33</v>
      </c>
      <c r="D37" s="127">
        <f>SUMIF(Usage!C:C,Ordering!A37,Usage!G:G)</f>
        <v>875</v>
      </c>
      <c r="E37" s="127">
        <f>SUMIF(Usage!C:C,Ordering!A37,Usage!H:H)</f>
        <v>1697</v>
      </c>
      <c r="F37" s="127">
        <v>1</v>
      </c>
      <c r="G37" s="127">
        <v>10000</v>
      </c>
      <c r="H37" s="127" t="s">
        <v>130</v>
      </c>
      <c r="I37" s="127">
        <v>27</v>
      </c>
      <c r="J37" s="127">
        <f>I37/(G37/1000)</f>
        <v>2.7</v>
      </c>
      <c r="K37" s="127">
        <f t="shared" si="0"/>
        <v>0.16969999999999999</v>
      </c>
      <c r="L37" s="127">
        <f t="shared" si="1"/>
        <v>8.7499999999999994E-2</v>
      </c>
      <c r="M37" s="127" t="s">
        <v>95</v>
      </c>
      <c r="N37" s="127">
        <f t="shared" si="2"/>
        <v>4.5819000000000001</v>
      </c>
      <c r="O37" s="127">
        <f t="shared" si="3"/>
        <v>2.3624999999999998</v>
      </c>
    </row>
    <row r="38" spans="1:16" x14ac:dyDescent="0.3">
      <c r="A38" s="103"/>
      <c r="B38" s="104"/>
      <c r="C38" s="104"/>
      <c r="D38" s="104"/>
      <c r="E38" s="104"/>
      <c r="F38" s="104"/>
      <c r="G38" s="105"/>
      <c r="H38" s="105"/>
      <c r="I38" s="105"/>
      <c r="J38" s="105"/>
      <c r="K38" s="105"/>
      <c r="L38" s="105"/>
      <c r="M38" s="105"/>
      <c r="N38" s="105"/>
      <c r="O38" s="105"/>
    </row>
    <row r="39" spans="1:16" customFormat="1" ht="18" customHeight="1" x14ac:dyDescent="0.3">
      <c r="A39" s="112" t="s">
        <v>176</v>
      </c>
      <c r="B39" s="113" t="s">
        <v>172</v>
      </c>
      <c r="C39" s="113" t="s">
        <v>33</v>
      </c>
      <c r="D39" s="113">
        <f>SUMIF(Usage!C:C,Ordering!A39,Usage!G:G)</f>
        <v>0</v>
      </c>
      <c r="E39" s="113">
        <f>SUMIF(Usage!C:C,Ordering!A39,Usage!H:H)</f>
        <v>1149</v>
      </c>
      <c r="F39" s="113">
        <v>1</v>
      </c>
      <c r="G39" s="114">
        <v>1</v>
      </c>
      <c r="H39" s="114" t="s">
        <v>173</v>
      </c>
      <c r="I39" s="114">
        <v>0.5</v>
      </c>
      <c r="J39" s="114">
        <f t="shared" ref="J39" si="7">I39/(G39)</f>
        <v>0.5</v>
      </c>
      <c r="K39" s="114">
        <f t="shared" ref="K39" si="8">(E39/F39)/G39</f>
        <v>1149</v>
      </c>
      <c r="L39" s="114">
        <f t="shared" ref="L39" si="9">(D39/F39)/G39</f>
        <v>0</v>
      </c>
      <c r="M39" s="114" t="s">
        <v>154</v>
      </c>
      <c r="N39" s="114">
        <f t="shared" ref="N39" si="10">K39*I39</f>
        <v>574.5</v>
      </c>
      <c r="O39" s="114">
        <f t="shared" ref="O39" si="11">L39*I39</f>
        <v>0</v>
      </c>
    </row>
    <row r="40" spans="1:16" x14ac:dyDescent="0.3">
      <c r="A40" s="103"/>
      <c r="B40" s="104"/>
      <c r="C40" s="104"/>
      <c r="D40" s="104"/>
      <c r="E40" s="104"/>
      <c r="F40" s="104"/>
      <c r="G40" s="105"/>
      <c r="H40" s="105"/>
      <c r="I40" s="105"/>
      <c r="J40" s="105"/>
      <c r="K40" s="105"/>
      <c r="L40" s="105"/>
      <c r="M40" s="105"/>
      <c r="N40" s="105"/>
      <c r="O40" s="105"/>
    </row>
    <row r="41" spans="1:16" x14ac:dyDescent="0.3">
      <c r="A41" s="130" t="s">
        <v>79</v>
      </c>
      <c r="B41" s="131" t="s">
        <v>110</v>
      </c>
      <c r="C41" s="131" t="s">
        <v>33</v>
      </c>
      <c r="D41" s="131">
        <f>SUMIF(Usage!C:C,Ordering!A41,Usage!G:G)</f>
        <v>379</v>
      </c>
      <c r="E41" s="131">
        <f>SUMIF(Usage!C:C,Ordering!A41,Usage!H:H)</f>
        <v>379</v>
      </c>
      <c r="F41" s="131">
        <v>1</v>
      </c>
      <c r="G41" s="132">
        <v>142</v>
      </c>
      <c r="H41" s="132" t="s">
        <v>122</v>
      </c>
      <c r="I41" s="132">
        <v>21</v>
      </c>
      <c r="J41" s="132">
        <v>147.88732394366198</v>
      </c>
      <c r="K41" s="132">
        <f t="shared" si="0"/>
        <v>2.6690140845070425</v>
      </c>
      <c r="L41" s="132">
        <f t="shared" si="1"/>
        <v>2.6690140845070425</v>
      </c>
      <c r="M41" s="132" t="s">
        <v>95</v>
      </c>
      <c r="N41" s="132">
        <f t="shared" si="2"/>
        <v>56.049295774647895</v>
      </c>
      <c r="O41" s="132">
        <f t="shared" si="3"/>
        <v>56.049295774647895</v>
      </c>
    </row>
    <row r="42" spans="1:16" x14ac:dyDescent="0.3">
      <c r="A42" s="130" t="s">
        <v>68</v>
      </c>
      <c r="B42" s="131" t="s">
        <v>110</v>
      </c>
      <c r="C42" s="131" t="s">
        <v>33</v>
      </c>
      <c r="D42" s="131">
        <f>SUMIF(Usage!C:C,Ordering!A42,Usage!G:G)</f>
        <v>0</v>
      </c>
      <c r="E42" s="131">
        <f>SUMIF(Usage!C:C,Ordering!A42,Usage!H:H)</f>
        <v>246</v>
      </c>
      <c r="F42" s="131">
        <v>1</v>
      </c>
      <c r="G42" s="131">
        <v>142</v>
      </c>
      <c r="H42" s="131" t="s">
        <v>122</v>
      </c>
      <c r="I42" s="131">
        <v>21</v>
      </c>
      <c r="J42" s="132">
        <f>I42/(G42/1000)</f>
        <v>147.88732394366198</v>
      </c>
      <c r="K42" s="132">
        <f t="shared" si="0"/>
        <v>1.732394366197183</v>
      </c>
      <c r="L42" s="132">
        <f t="shared" si="1"/>
        <v>0</v>
      </c>
      <c r="M42" s="132" t="s">
        <v>95</v>
      </c>
      <c r="N42" s="132">
        <f t="shared" si="2"/>
        <v>36.380281690140841</v>
      </c>
      <c r="O42" s="132">
        <f t="shared" si="3"/>
        <v>0</v>
      </c>
    </row>
    <row r="43" spans="1:16" x14ac:dyDescent="0.3">
      <c r="B43" s="110"/>
      <c r="C43" s="110"/>
      <c r="D43" s="110"/>
      <c r="E43" s="110"/>
      <c r="F43" s="110"/>
      <c r="G43" s="110"/>
      <c r="H43" s="110"/>
      <c r="I43" s="110"/>
      <c r="J43" s="110"/>
      <c r="K43" s="110"/>
      <c r="L43" s="110"/>
      <c r="N43" s="110"/>
      <c r="O43" s="110"/>
    </row>
    <row r="44" spans="1:16" x14ac:dyDescent="0.3">
      <c r="A44" s="133" t="s">
        <v>70</v>
      </c>
      <c r="B44" s="134" t="s">
        <v>111</v>
      </c>
      <c r="C44" s="134" t="s">
        <v>33</v>
      </c>
      <c r="D44" s="134">
        <f>SUMIF(Usage!C:C,Ordering!A44,Usage!G:G)</f>
        <v>0</v>
      </c>
      <c r="E44" s="134">
        <f>SUMIF(Usage!C:C,Ordering!A44,Usage!H:H)</f>
        <v>7660</v>
      </c>
      <c r="F44" s="134">
        <v>0.86</v>
      </c>
      <c r="G44" s="135">
        <v>10000</v>
      </c>
      <c r="H44" s="135" t="s">
        <v>129</v>
      </c>
      <c r="I44" s="135">
        <v>171</v>
      </c>
      <c r="J44" s="135">
        <f>I44/10</f>
        <v>17.100000000000001</v>
      </c>
      <c r="K44" s="135">
        <f t="shared" si="0"/>
        <v>0.89069767441860459</v>
      </c>
      <c r="L44" s="135">
        <f t="shared" si="1"/>
        <v>0</v>
      </c>
      <c r="M44" s="135" t="s">
        <v>95</v>
      </c>
      <c r="N44" s="135">
        <f t="shared" si="2"/>
        <v>152.3093023255814</v>
      </c>
      <c r="O44" s="135">
        <f t="shared" si="3"/>
        <v>0</v>
      </c>
    </row>
    <row r="45" spans="1:16" s="136" customFormat="1" x14ac:dyDescent="0.3">
      <c r="A45" s="103"/>
      <c r="C45" s="137"/>
      <c r="D45" s="104"/>
      <c r="E45" s="104"/>
      <c r="M45" s="104"/>
      <c r="P45" s="179" t="s">
        <v>186</v>
      </c>
    </row>
    <row r="46" spans="1:16" x14ac:dyDescent="0.3">
      <c r="A46" s="138" t="s">
        <v>174</v>
      </c>
      <c r="B46" s="139" t="s">
        <v>152</v>
      </c>
      <c r="C46" s="140" t="s">
        <v>154</v>
      </c>
      <c r="D46" s="141">
        <f>(SUMIF(Usage!C:C,Ordering!A46,Usage!G:G))-P46</f>
        <v>33</v>
      </c>
      <c r="E46" s="141">
        <f>SUMIF(Usage!C:C,Ordering!A46,Usage!H:H)</f>
        <v>33</v>
      </c>
      <c r="F46" s="139">
        <v>0.95</v>
      </c>
      <c r="G46" s="99">
        <v>210</v>
      </c>
      <c r="H46" s="80" t="s">
        <v>156</v>
      </c>
      <c r="I46" s="98">
        <v>4</v>
      </c>
      <c r="J46" s="98">
        <f>I46/(G46/1000)</f>
        <v>19.047619047619047</v>
      </c>
      <c r="K46" s="98">
        <f>(E46/F46)*165</f>
        <v>5731.5789473684208</v>
      </c>
      <c r="L46" s="98">
        <f>((D46/F46)*G46)/1000</f>
        <v>7.2947368421052632</v>
      </c>
      <c r="M46" s="98" t="s">
        <v>95</v>
      </c>
      <c r="N46" s="98">
        <f>K46*I46</f>
        <v>22926.315789473683</v>
      </c>
      <c r="O46" s="98">
        <f t="shared" ref="O46" si="12">L46*I46</f>
        <v>29.178947368421053</v>
      </c>
      <c r="P46" s="139"/>
    </row>
    <row r="47" spans="1:16" x14ac:dyDescent="0.3">
      <c r="A47" s="138" t="s">
        <v>187</v>
      </c>
      <c r="B47" s="139" t="s">
        <v>152</v>
      </c>
      <c r="C47" s="140" t="s">
        <v>33</v>
      </c>
      <c r="D47" s="141">
        <f>(SUMIF(Usage!C:C,Ordering!A47,Usage!G:G))-P47</f>
        <v>0</v>
      </c>
      <c r="E47" s="141">
        <f>SUMIF(Usage!C:C,Ordering!A47,Usage!H:H)</f>
        <v>8610</v>
      </c>
      <c r="F47" s="139">
        <v>0.7</v>
      </c>
      <c r="G47" s="99">
        <v>1000</v>
      </c>
      <c r="H47" s="80" t="s">
        <v>34</v>
      </c>
      <c r="I47" s="98">
        <v>3</v>
      </c>
      <c r="J47" s="98">
        <f t="shared" ref="J47:J63" si="13">I47/(G47/1000)</f>
        <v>3</v>
      </c>
      <c r="K47" s="98">
        <f t="shared" si="0"/>
        <v>12.3</v>
      </c>
      <c r="L47" s="98">
        <f t="shared" si="1"/>
        <v>0</v>
      </c>
      <c r="M47" s="98" t="s">
        <v>95</v>
      </c>
      <c r="N47" s="98">
        <f t="shared" si="2"/>
        <v>36.900000000000006</v>
      </c>
      <c r="O47" s="98">
        <f t="shared" si="3"/>
        <v>0</v>
      </c>
      <c r="P47" s="139"/>
    </row>
    <row r="48" spans="1:16" x14ac:dyDescent="0.3">
      <c r="A48" s="138" t="s">
        <v>161</v>
      </c>
      <c r="B48" s="139" t="s">
        <v>152</v>
      </c>
      <c r="C48" s="140" t="s">
        <v>33</v>
      </c>
      <c r="D48" s="141">
        <f>(SUMIF(Usage!C:C,Ordering!A48,Usage!G:G))-P48</f>
        <v>4880</v>
      </c>
      <c r="E48" s="141">
        <f>SUMIF(Usage!C:C,Ordering!A48,Usage!H:H)</f>
        <v>4880</v>
      </c>
      <c r="F48" s="139">
        <v>0.72</v>
      </c>
      <c r="G48" s="99">
        <v>1000</v>
      </c>
      <c r="H48" s="80" t="s">
        <v>34</v>
      </c>
      <c r="I48" s="98">
        <v>8.5</v>
      </c>
      <c r="J48" s="98">
        <f t="shared" si="13"/>
        <v>8.5</v>
      </c>
      <c r="K48" s="98">
        <f t="shared" si="0"/>
        <v>6.7777777777777786</v>
      </c>
      <c r="L48" s="98">
        <f t="shared" si="1"/>
        <v>6.7777777777777786</v>
      </c>
      <c r="M48" s="98" t="s">
        <v>95</v>
      </c>
      <c r="N48" s="98">
        <f t="shared" si="2"/>
        <v>57.611111111111114</v>
      </c>
      <c r="O48" s="98">
        <f t="shared" si="3"/>
        <v>57.611111111111114</v>
      </c>
      <c r="P48" s="139"/>
    </row>
    <row r="49" spans="1:16" x14ac:dyDescent="0.3">
      <c r="A49" s="138" t="s">
        <v>177</v>
      </c>
      <c r="B49" s="139" t="s">
        <v>152</v>
      </c>
      <c r="C49" s="140" t="s">
        <v>33</v>
      </c>
      <c r="D49" s="141">
        <f>(SUMIF(Usage!C:C,Ordering!A49,Usage!G:G))-P49</f>
        <v>800</v>
      </c>
      <c r="E49" s="141">
        <f>SUMIF(Usage!C:C,Ordering!A49,Usage!H:H)</f>
        <v>4088</v>
      </c>
      <c r="F49" s="139">
        <v>0.62</v>
      </c>
      <c r="G49" s="99">
        <v>1000</v>
      </c>
      <c r="H49" s="80" t="s">
        <v>34</v>
      </c>
      <c r="I49" s="98">
        <v>10</v>
      </c>
      <c r="J49" s="98">
        <f t="shared" si="13"/>
        <v>10</v>
      </c>
      <c r="K49" s="98">
        <f t="shared" si="0"/>
        <v>6.5935483870967744</v>
      </c>
      <c r="L49" s="98">
        <f t="shared" si="1"/>
        <v>1.2903225806451613</v>
      </c>
      <c r="M49" s="98" t="s">
        <v>95</v>
      </c>
      <c r="N49" s="98">
        <f t="shared" si="2"/>
        <v>65.935483870967744</v>
      </c>
      <c r="O49" s="98">
        <f t="shared" si="3"/>
        <v>12.903225806451612</v>
      </c>
      <c r="P49" s="139"/>
    </row>
    <row r="50" spans="1:16" x14ac:dyDescent="0.3">
      <c r="A50" s="138" t="s">
        <v>178</v>
      </c>
      <c r="B50" s="139" t="s">
        <v>152</v>
      </c>
      <c r="C50" s="140" t="s">
        <v>33</v>
      </c>
      <c r="D50" s="141">
        <f>(SUMIF(Usage!C:C,Ordering!A50,Usage!G:G))-P50</f>
        <v>1485</v>
      </c>
      <c r="E50" s="141">
        <f>SUMIF(Usage!C:C,Ordering!A50,Usage!H:H)</f>
        <v>1485</v>
      </c>
      <c r="F50" s="139">
        <v>1</v>
      </c>
      <c r="G50" s="99">
        <v>125</v>
      </c>
      <c r="H50" s="80" t="s">
        <v>128</v>
      </c>
      <c r="I50" s="98">
        <v>17</v>
      </c>
      <c r="J50" s="98">
        <f t="shared" si="13"/>
        <v>136</v>
      </c>
      <c r="K50" s="98">
        <f t="shared" si="0"/>
        <v>11.88</v>
      </c>
      <c r="L50" s="98">
        <f>(D50/F50)/G50</f>
        <v>11.88</v>
      </c>
      <c r="M50" s="98" t="s">
        <v>35</v>
      </c>
      <c r="N50" s="98">
        <f t="shared" si="2"/>
        <v>201.96</v>
      </c>
      <c r="O50" s="98">
        <f t="shared" si="3"/>
        <v>201.96</v>
      </c>
      <c r="P50" s="139"/>
    </row>
    <row r="51" spans="1:16" x14ac:dyDescent="0.3">
      <c r="A51" s="138" t="s">
        <v>136</v>
      </c>
      <c r="B51" s="139" t="s">
        <v>152</v>
      </c>
      <c r="C51" s="140" t="s">
        <v>33</v>
      </c>
      <c r="D51" s="141">
        <f>(SUMIF(Usage!C:C,Ordering!A51,Usage!G:G))-P51</f>
        <v>4050</v>
      </c>
      <c r="E51" s="141">
        <f>SUMIF(Usage!C:C,Ordering!A51,Usage!H:H)</f>
        <v>7740</v>
      </c>
      <c r="F51" s="139">
        <v>0.64900000000000002</v>
      </c>
      <c r="G51" s="99">
        <v>1000</v>
      </c>
      <c r="H51" s="80" t="s">
        <v>34</v>
      </c>
      <c r="I51" s="98">
        <v>2.6</v>
      </c>
      <c r="J51" s="98">
        <f t="shared" si="13"/>
        <v>2.6</v>
      </c>
      <c r="K51" s="98">
        <f t="shared" si="0"/>
        <v>11.92604006163328</v>
      </c>
      <c r="L51" s="98">
        <f t="shared" si="1"/>
        <v>6.2403697996918339</v>
      </c>
      <c r="M51" s="98" t="s">
        <v>95</v>
      </c>
      <c r="N51" s="98">
        <f t="shared" si="2"/>
        <v>31.007704160246529</v>
      </c>
      <c r="O51" s="98">
        <f t="shared" si="3"/>
        <v>16.224961479198768</v>
      </c>
      <c r="P51" s="139"/>
    </row>
    <row r="52" spans="1:16" x14ac:dyDescent="0.3">
      <c r="A52" s="138" t="s">
        <v>160</v>
      </c>
      <c r="B52" s="139" t="s">
        <v>152</v>
      </c>
      <c r="C52" s="140" t="s">
        <v>33</v>
      </c>
      <c r="D52" s="141">
        <f>(SUMIF(Usage!C:C,Ordering!A52,Usage!G:G))-P52</f>
        <v>5400</v>
      </c>
      <c r="E52" s="141">
        <f>SUMIF(Usage!C:C,Ordering!A52,Usage!H:H)</f>
        <v>48240</v>
      </c>
      <c r="F52" s="139">
        <v>1</v>
      </c>
      <c r="G52" s="99">
        <v>250</v>
      </c>
      <c r="H52" s="80" t="s">
        <v>191</v>
      </c>
      <c r="I52" s="98">
        <v>6</v>
      </c>
      <c r="J52" s="98">
        <f t="shared" si="13"/>
        <v>24</v>
      </c>
      <c r="K52" s="98">
        <f t="shared" si="0"/>
        <v>192.96</v>
      </c>
      <c r="L52" s="98">
        <f t="shared" si="1"/>
        <v>21.6</v>
      </c>
      <c r="M52" s="98" t="s">
        <v>35</v>
      </c>
      <c r="N52" s="98">
        <f t="shared" si="2"/>
        <v>1157.76</v>
      </c>
      <c r="O52" s="98">
        <f t="shared" si="3"/>
        <v>129.60000000000002</v>
      </c>
      <c r="P52" s="139"/>
    </row>
    <row r="53" spans="1:16" x14ac:dyDescent="0.3">
      <c r="A53" s="138" t="s">
        <v>159</v>
      </c>
      <c r="B53" s="139" t="s">
        <v>152</v>
      </c>
      <c r="C53" s="140" t="s">
        <v>33</v>
      </c>
      <c r="D53" s="141">
        <f>(SUMIF(Usage!C:C,Ordering!A53,Usage!G:G))-P53</f>
        <v>14990</v>
      </c>
      <c r="E53" s="141">
        <f>SUMIF(Usage!C:C,Ordering!A53,Usage!H:H)</f>
        <v>52890</v>
      </c>
      <c r="F53" s="139">
        <v>0.81</v>
      </c>
      <c r="G53" s="99">
        <v>1000</v>
      </c>
      <c r="H53" s="80" t="s">
        <v>34</v>
      </c>
      <c r="I53" s="98">
        <v>3</v>
      </c>
      <c r="J53" s="98">
        <f t="shared" si="13"/>
        <v>3</v>
      </c>
      <c r="K53" s="98">
        <f t="shared" si="0"/>
        <v>65.296296296296291</v>
      </c>
      <c r="L53" s="98">
        <f t="shared" si="1"/>
        <v>18.506172839506174</v>
      </c>
      <c r="M53" s="98" t="s">
        <v>95</v>
      </c>
      <c r="N53" s="98">
        <f t="shared" si="2"/>
        <v>195.88888888888886</v>
      </c>
      <c r="O53" s="98">
        <f t="shared" si="3"/>
        <v>55.518518518518519</v>
      </c>
      <c r="P53" s="139">
        <v>2090</v>
      </c>
    </row>
    <row r="54" spans="1:16" x14ac:dyDescent="0.3">
      <c r="A54" s="138" t="s">
        <v>169</v>
      </c>
      <c r="B54" s="139" t="s">
        <v>152</v>
      </c>
      <c r="C54" s="140" t="s">
        <v>33</v>
      </c>
      <c r="D54" s="141">
        <f>(SUMIF(Usage!C:C,Ordering!A54,Usage!G:G))-P54</f>
        <v>0</v>
      </c>
      <c r="E54" s="141">
        <f>SUMIF(Usage!C:C,Ordering!A54,Usage!H:H)</f>
        <v>2900</v>
      </c>
      <c r="F54" s="139">
        <v>0.75</v>
      </c>
      <c r="G54" s="99">
        <v>1000</v>
      </c>
      <c r="H54" s="80" t="s">
        <v>34</v>
      </c>
      <c r="I54" s="98">
        <v>45</v>
      </c>
      <c r="J54" s="98">
        <f t="shared" si="13"/>
        <v>45</v>
      </c>
      <c r="K54" s="98">
        <f t="shared" si="0"/>
        <v>3.8666666666666667</v>
      </c>
      <c r="L54" s="98">
        <f t="shared" si="1"/>
        <v>0</v>
      </c>
      <c r="M54" s="98" t="s">
        <v>95</v>
      </c>
      <c r="N54" s="98">
        <f t="shared" si="2"/>
        <v>174</v>
      </c>
      <c r="O54" s="98">
        <f t="shared" si="3"/>
        <v>0</v>
      </c>
      <c r="P54" s="139"/>
    </row>
    <row r="55" spans="1:16" x14ac:dyDescent="0.3">
      <c r="A55" s="171" t="s">
        <v>151</v>
      </c>
      <c r="B55" s="139" t="s">
        <v>152</v>
      </c>
      <c r="C55" s="172" t="s">
        <v>33</v>
      </c>
      <c r="D55" s="141">
        <f>(SUMIF(Usage!C:C,Ordering!A55,Usage!G:G))-P55</f>
        <v>0</v>
      </c>
      <c r="E55" s="141">
        <f>SUMIF(Usage!C:C,Ordering!A55,Usage!H:H)</f>
        <v>696</v>
      </c>
      <c r="F55" s="139">
        <v>0.75</v>
      </c>
      <c r="G55" s="99">
        <v>1000</v>
      </c>
      <c r="H55" s="173" t="s">
        <v>153</v>
      </c>
      <c r="I55" s="79">
        <v>3</v>
      </c>
      <c r="J55" s="79">
        <f t="shared" si="13"/>
        <v>3</v>
      </c>
      <c r="K55" s="98">
        <f t="shared" ref="K55" si="14">(E55/F55)/G55</f>
        <v>0.92800000000000005</v>
      </c>
      <c r="L55" s="98">
        <f>(D55/F55)/G55</f>
        <v>0</v>
      </c>
      <c r="M55" s="98" t="s">
        <v>36</v>
      </c>
      <c r="N55" s="98">
        <f t="shared" ref="N55" si="15">K55*I55</f>
        <v>2.7840000000000003</v>
      </c>
      <c r="O55" s="98">
        <f t="shared" ref="O55" si="16">L55*I55</f>
        <v>0</v>
      </c>
      <c r="P55" s="139"/>
    </row>
    <row r="56" spans="1:16" x14ac:dyDescent="0.3">
      <c r="A56" s="138" t="s">
        <v>168</v>
      </c>
      <c r="B56" s="139" t="s">
        <v>152</v>
      </c>
      <c r="C56" s="140" t="s">
        <v>33</v>
      </c>
      <c r="D56" s="141">
        <f>(SUMIF(Usage!C:C,Ordering!A56,Usage!G:G))-P56</f>
        <v>0</v>
      </c>
      <c r="E56" s="141">
        <f>SUMIF(Usage!C:C,Ordering!A56,Usage!H:H)</f>
        <v>3424</v>
      </c>
      <c r="F56" s="139">
        <v>0.6428571428571429</v>
      </c>
      <c r="G56" s="78">
        <v>825</v>
      </c>
      <c r="H56" s="78" t="s">
        <v>133</v>
      </c>
      <c r="I56" s="79">
        <v>3</v>
      </c>
      <c r="J56" s="79">
        <f t="shared" si="13"/>
        <v>3.6363636363636367</v>
      </c>
      <c r="K56" s="79">
        <f t="shared" si="0"/>
        <v>6.4560269360269356</v>
      </c>
      <c r="L56" s="79">
        <f>(D56/F56)/G56</f>
        <v>0</v>
      </c>
      <c r="M56" s="97" t="s">
        <v>36</v>
      </c>
      <c r="N56" s="79">
        <f>K56*I56</f>
        <v>19.368080808080805</v>
      </c>
      <c r="O56" s="79">
        <f t="shared" si="3"/>
        <v>0</v>
      </c>
      <c r="P56" s="139"/>
    </row>
    <row r="57" spans="1:16" x14ac:dyDescent="0.3">
      <c r="A57" s="138" t="s">
        <v>179</v>
      </c>
      <c r="B57" s="139" t="s">
        <v>152</v>
      </c>
      <c r="C57" s="140" t="s">
        <v>33</v>
      </c>
      <c r="D57" s="141">
        <f>(SUMIF(Usage!C:C,Ordering!A57,Usage!G:G))-P57</f>
        <v>0</v>
      </c>
      <c r="E57" s="141">
        <f>SUMIF(Usage!C:C,Ordering!A57,Usage!H:H)</f>
        <v>123</v>
      </c>
      <c r="F57" s="139">
        <v>0.95</v>
      </c>
      <c r="G57" s="99">
        <v>100</v>
      </c>
      <c r="H57" s="80" t="s">
        <v>127</v>
      </c>
      <c r="I57" s="98">
        <v>9</v>
      </c>
      <c r="J57" s="98">
        <f t="shared" si="13"/>
        <v>90</v>
      </c>
      <c r="K57" s="98">
        <f t="shared" si="0"/>
        <v>1.2947368421052632</v>
      </c>
      <c r="L57" s="98">
        <f t="shared" si="1"/>
        <v>0</v>
      </c>
      <c r="M57" s="98" t="s">
        <v>36</v>
      </c>
      <c r="N57" s="98">
        <f t="shared" si="2"/>
        <v>11.652631578947368</v>
      </c>
      <c r="O57" s="98">
        <f t="shared" si="3"/>
        <v>0</v>
      </c>
      <c r="P57" s="139"/>
    </row>
    <row r="58" spans="1:16" x14ac:dyDescent="0.3">
      <c r="A58" s="138" t="s">
        <v>137</v>
      </c>
      <c r="B58" s="139" t="s">
        <v>152</v>
      </c>
      <c r="C58" s="140" t="s">
        <v>33</v>
      </c>
      <c r="D58" s="141">
        <f>(SUMIF(Usage!C:C,Ordering!A58,Usage!G:G))-P58</f>
        <v>0</v>
      </c>
      <c r="E58" s="141">
        <f>SUMIF(Usage!C:C,Ordering!A58,Usage!H:H)</f>
        <v>1322</v>
      </c>
      <c r="F58" s="139">
        <v>0.95</v>
      </c>
      <c r="G58" s="80">
        <v>1000</v>
      </c>
      <c r="H58" s="80" t="s">
        <v>103</v>
      </c>
      <c r="I58" s="81">
        <v>10.5</v>
      </c>
      <c r="J58" s="81">
        <f t="shared" si="13"/>
        <v>10.5</v>
      </c>
      <c r="K58" s="81">
        <f t="shared" si="0"/>
        <v>1.391578947368421</v>
      </c>
      <c r="L58" s="81">
        <f t="shared" si="1"/>
        <v>0</v>
      </c>
      <c r="M58" s="98" t="s">
        <v>95</v>
      </c>
      <c r="N58" s="81">
        <f t="shared" si="2"/>
        <v>14.611578947368422</v>
      </c>
      <c r="O58" s="81">
        <f t="shared" si="3"/>
        <v>0</v>
      </c>
      <c r="P58" s="139"/>
    </row>
    <row r="59" spans="1:16" x14ac:dyDescent="0.3">
      <c r="A59" s="138" t="s">
        <v>163</v>
      </c>
      <c r="B59" s="139" t="s">
        <v>152</v>
      </c>
      <c r="C59" s="140" t="s">
        <v>33</v>
      </c>
      <c r="D59" s="141">
        <f>(SUMIF(Usage!C:C,Ordering!A59,Usage!G:G))-P59</f>
        <v>0</v>
      </c>
      <c r="E59" s="141">
        <f>SUMIF(Usage!C:C,Ordering!A59,Usage!H:H)</f>
        <v>2156</v>
      </c>
      <c r="F59" s="139">
        <v>0.65</v>
      </c>
      <c r="G59" s="99">
        <v>1000</v>
      </c>
      <c r="H59" s="80" t="s">
        <v>34</v>
      </c>
      <c r="I59" s="98">
        <v>5.75</v>
      </c>
      <c r="J59" s="98">
        <f t="shared" si="13"/>
        <v>5.75</v>
      </c>
      <c r="K59" s="98">
        <f t="shared" si="0"/>
        <v>3.3169230769230769</v>
      </c>
      <c r="L59" s="98">
        <f t="shared" si="1"/>
        <v>0</v>
      </c>
      <c r="M59" s="98" t="s">
        <v>95</v>
      </c>
      <c r="N59" s="98">
        <f t="shared" si="2"/>
        <v>19.072307692307692</v>
      </c>
      <c r="O59" s="98">
        <f t="shared" si="3"/>
        <v>0</v>
      </c>
      <c r="P59" s="139"/>
    </row>
    <row r="60" spans="1:16" x14ac:dyDescent="0.3">
      <c r="A60" s="138" t="s">
        <v>162</v>
      </c>
      <c r="B60" s="139" t="s">
        <v>152</v>
      </c>
      <c r="C60" s="140" t="s">
        <v>154</v>
      </c>
      <c r="D60" s="141">
        <f>(SUMIF(Usage!C:C,Ordering!A60,Usage!G:G))-P60</f>
        <v>14</v>
      </c>
      <c r="E60" s="141">
        <f>SUMIF(Usage!C:C,Ordering!A60,Usage!H:H)</f>
        <v>65</v>
      </c>
      <c r="F60" s="139">
        <v>0.95</v>
      </c>
      <c r="G60" s="99">
        <v>165</v>
      </c>
      <c r="H60" s="80" t="s">
        <v>155</v>
      </c>
      <c r="I60" s="98">
        <v>6</v>
      </c>
      <c r="J60" s="98">
        <f t="shared" si="13"/>
        <v>36.36363636363636</v>
      </c>
      <c r="K60" s="98">
        <f>(E60/F60)*G60</f>
        <v>11289.473684210527</v>
      </c>
      <c r="L60" s="98">
        <f>((D60/F60)*G60)/1000</f>
        <v>2.4315789473684211</v>
      </c>
      <c r="M60" s="98" t="s">
        <v>95</v>
      </c>
      <c r="N60" s="98">
        <f>K60*I60</f>
        <v>67736.84210526316</v>
      </c>
      <c r="O60" s="98">
        <f t="shared" si="3"/>
        <v>14.589473684210526</v>
      </c>
      <c r="P60" s="139"/>
    </row>
    <row r="61" spans="1:16" ht="14.5" customHeight="1" x14ac:dyDescent="0.3">
      <c r="A61" s="138" t="s">
        <v>188</v>
      </c>
      <c r="B61" s="139" t="s">
        <v>152</v>
      </c>
      <c r="C61" s="140" t="s">
        <v>33</v>
      </c>
      <c r="D61" s="141">
        <f>(SUMIF(Usage!C:C,Ordering!A61,Usage!G:G))-P61</f>
        <v>2440</v>
      </c>
      <c r="E61" s="141">
        <f>SUMIF(Usage!C:C,Ordering!A61,Usage!H:H)</f>
        <v>2440</v>
      </c>
      <c r="F61" s="139">
        <v>0.69</v>
      </c>
      <c r="G61" s="99">
        <v>1000</v>
      </c>
      <c r="H61" s="80" t="s">
        <v>34</v>
      </c>
      <c r="I61" s="98">
        <v>4</v>
      </c>
      <c r="J61" s="98">
        <f t="shared" si="13"/>
        <v>4</v>
      </c>
      <c r="K61" s="98">
        <f t="shared" ref="K61" si="17">(E61/F61)/G61</f>
        <v>3.5362318840579716</v>
      </c>
      <c r="L61" s="98">
        <f t="shared" ref="L61" si="18">(D61/F61)/G61</f>
        <v>3.5362318840579716</v>
      </c>
      <c r="M61" s="98" t="s">
        <v>95</v>
      </c>
      <c r="N61" s="98">
        <f t="shared" ref="N61" si="19">K61*I61</f>
        <v>14.144927536231886</v>
      </c>
      <c r="O61" s="98">
        <f t="shared" ref="O61" si="20">L61*I61</f>
        <v>14.144927536231886</v>
      </c>
      <c r="P61" s="139"/>
    </row>
    <row r="62" spans="1:16" x14ac:dyDescent="0.3">
      <c r="A62" s="138" t="s">
        <v>180</v>
      </c>
      <c r="B62" s="139" t="s">
        <v>152</v>
      </c>
      <c r="C62" s="140" t="s">
        <v>33</v>
      </c>
      <c r="D62" s="141">
        <f>(SUMIF(Usage!C:C,Ordering!A62,Usage!G:G))-P62</f>
        <v>0</v>
      </c>
      <c r="E62" s="141">
        <f>SUMIF(Usage!C:C,Ordering!A62,Usage!H:H)</f>
        <v>54590</v>
      </c>
      <c r="F62" s="139">
        <v>0.56999999999999995</v>
      </c>
      <c r="G62" s="99">
        <v>1000</v>
      </c>
      <c r="H62" s="80" t="s">
        <v>103</v>
      </c>
      <c r="I62" s="98">
        <v>8.5</v>
      </c>
      <c r="J62" s="98">
        <f t="shared" si="13"/>
        <v>8.5</v>
      </c>
      <c r="K62" s="98">
        <f t="shared" si="0"/>
        <v>95.771929824561411</v>
      </c>
      <c r="L62" s="98">
        <f>(D62/F62)/G62</f>
        <v>0</v>
      </c>
      <c r="M62" s="98" t="s">
        <v>95</v>
      </c>
      <c r="N62" s="98">
        <f t="shared" si="2"/>
        <v>814.06140350877195</v>
      </c>
      <c r="O62" s="98">
        <f t="shared" si="3"/>
        <v>0</v>
      </c>
      <c r="P62" s="139"/>
    </row>
    <row r="63" spans="1:16" x14ac:dyDescent="0.3">
      <c r="A63" s="138" t="s">
        <v>158</v>
      </c>
      <c r="B63" s="139" t="s">
        <v>152</v>
      </c>
      <c r="C63" s="140" t="s">
        <v>33</v>
      </c>
      <c r="D63" s="141">
        <f>(SUMIF(Usage!C:C,Ordering!A63,Usage!G:G))-P63</f>
        <v>3375</v>
      </c>
      <c r="E63" s="141">
        <f>SUMIF(Usage!C:C,Ordering!A63,Usage!H:H)</f>
        <v>3375</v>
      </c>
      <c r="F63" s="139">
        <v>0.55000000000000004</v>
      </c>
      <c r="G63" s="99">
        <v>1000</v>
      </c>
      <c r="H63" s="80" t="s">
        <v>103</v>
      </c>
      <c r="I63" s="98">
        <v>25</v>
      </c>
      <c r="J63" s="98">
        <f t="shared" si="13"/>
        <v>25</v>
      </c>
      <c r="K63" s="98">
        <f t="shared" si="0"/>
        <v>6.1363636363636358</v>
      </c>
      <c r="L63" s="98">
        <f t="shared" si="1"/>
        <v>6.1363636363636358</v>
      </c>
      <c r="M63" s="98" t="s">
        <v>95</v>
      </c>
      <c r="N63" s="98">
        <f t="shared" si="2"/>
        <v>153.40909090909091</v>
      </c>
      <c r="O63" s="98">
        <f t="shared" si="3"/>
        <v>153.40909090909091</v>
      </c>
      <c r="P63" s="139"/>
    </row>
    <row r="64" spans="1:16" x14ac:dyDescent="0.3">
      <c r="A64" s="138" t="s">
        <v>181</v>
      </c>
      <c r="B64" s="139" t="s">
        <v>152</v>
      </c>
      <c r="C64" s="140" t="s">
        <v>33</v>
      </c>
      <c r="D64" s="141">
        <f>(SUMIF(Usage!C:C,Ordering!A64,Usage!G:G))-P64</f>
        <v>3000</v>
      </c>
      <c r="E64" s="141">
        <f>SUMIF(Usage!C:C,Ordering!A64,Usage!H:H)</f>
        <v>21254</v>
      </c>
      <c r="F64" s="139">
        <v>0.77</v>
      </c>
      <c r="G64" s="99">
        <v>1000</v>
      </c>
      <c r="H64" s="80" t="s">
        <v>103</v>
      </c>
      <c r="I64" s="98">
        <v>9</v>
      </c>
      <c r="J64" s="98">
        <f>I64/(G65/1000)</f>
        <v>9</v>
      </c>
      <c r="K64" s="98">
        <f t="shared" si="0"/>
        <v>27.602597402597404</v>
      </c>
      <c r="L64" s="98">
        <f t="shared" si="1"/>
        <v>3.8961038961038961</v>
      </c>
      <c r="M64" s="98" t="s">
        <v>95</v>
      </c>
      <c r="N64" s="98">
        <f t="shared" si="2"/>
        <v>248.42337662337664</v>
      </c>
      <c r="O64" s="98">
        <f t="shared" si="3"/>
        <v>35.064935064935064</v>
      </c>
      <c r="P64" s="139"/>
    </row>
    <row r="65" spans="1:16" x14ac:dyDescent="0.3">
      <c r="A65" s="138" t="s">
        <v>182</v>
      </c>
      <c r="B65" s="139" t="s">
        <v>152</v>
      </c>
      <c r="C65" s="140" t="s">
        <v>33</v>
      </c>
      <c r="D65" s="141">
        <f>(SUMIF(Usage!C:C,Ordering!A65,Usage!G:G))-P65</f>
        <v>300</v>
      </c>
      <c r="E65" s="141">
        <f>SUMIF(Usage!C:C,Ordering!A65,Usage!H:H)</f>
        <v>2877</v>
      </c>
      <c r="F65" s="139">
        <v>0.9</v>
      </c>
      <c r="G65" s="99">
        <v>1000</v>
      </c>
      <c r="H65" s="80" t="s">
        <v>103</v>
      </c>
      <c r="I65" s="98">
        <v>4.5</v>
      </c>
      <c r="J65" s="98">
        <f>I65/(G66/1000)</f>
        <v>4.5</v>
      </c>
      <c r="K65" s="98">
        <f t="shared" si="0"/>
        <v>3.1966666666666663</v>
      </c>
      <c r="L65" s="98">
        <f t="shared" si="1"/>
        <v>0.33333333333333331</v>
      </c>
      <c r="M65" s="98" t="s">
        <v>95</v>
      </c>
      <c r="N65" s="98">
        <f t="shared" si="2"/>
        <v>14.384999999999998</v>
      </c>
      <c r="O65" s="98">
        <f t="shared" si="3"/>
        <v>1.5</v>
      </c>
      <c r="P65" s="139"/>
    </row>
    <row r="66" spans="1:16" x14ac:dyDescent="0.3">
      <c r="A66" s="138" t="s">
        <v>183</v>
      </c>
      <c r="B66" s="139" t="s">
        <v>152</v>
      </c>
      <c r="C66" s="140" t="s">
        <v>33</v>
      </c>
      <c r="D66" s="141">
        <f>(SUMIF(Usage!C:C,Ordering!A66,Usage!G:G))-P66</f>
        <v>0</v>
      </c>
      <c r="E66" s="141">
        <f>SUMIF(Usage!C:C,Ordering!A66,Usage!H:H)</f>
        <v>7760</v>
      </c>
      <c r="F66" s="139">
        <v>0.65</v>
      </c>
      <c r="G66" s="99">
        <v>1000</v>
      </c>
      <c r="H66" s="80" t="s">
        <v>103</v>
      </c>
      <c r="I66" s="98">
        <v>9</v>
      </c>
      <c r="J66" s="98">
        <f>I66/(G66/1000)</f>
        <v>9</v>
      </c>
      <c r="K66" s="98">
        <f t="shared" si="0"/>
        <v>11.938461538461537</v>
      </c>
      <c r="L66" s="98">
        <f t="shared" si="1"/>
        <v>0</v>
      </c>
      <c r="M66" s="98" t="s">
        <v>95</v>
      </c>
      <c r="N66" s="98">
        <f t="shared" si="2"/>
        <v>107.44615384615383</v>
      </c>
      <c r="O66" s="98">
        <f t="shared" si="3"/>
        <v>0</v>
      </c>
      <c r="P66" s="139"/>
    </row>
    <row r="67" spans="1:16" x14ac:dyDescent="0.3">
      <c r="A67" s="138" t="s">
        <v>170</v>
      </c>
      <c r="B67" s="139" t="s">
        <v>152</v>
      </c>
      <c r="C67" s="140" t="s">
        <v>33</v>
      </c>
      <c r="D67" s="141">
        <f>(SUMIF(Usage!C:C,Ordering!A67,Usage!G:G))-P67</f>
        <v>0</v>
      </c>
      <c r="E67" s="141">
        <f>SUMIF(Usage!C:C,Ordering!A67,Usage!H:H)</f>
        <v>3496</v>
      </c>
      <c r="F67" s="139">
        <v>0.99</v>
      </c>
      <c r="G67" s="99">
        <v>250</v>
      </c>
      <c r="H67" s="80" t="s">
        <v>124</v>
      </c>
      <c r="I67" s="98">
        <v>5.5</v>
      </c>
      <c r="J67" s="98">
        <f>I67/(G67/1000)</f>
        <v>22</v>
      </c>
      <c r="K67" s="98">
        <f t="shared" si="0"/>
        <v>14.125252525252524</v>
      </c>
      <c r="L67" s="98">
        <f t="shared" si="1"/>
        <v>0</v>
      </c>
      <c r="M67" s="98" t="s">
        <v>35</v>
      </c>
      <c r="N67" s="98">
        <f t="shared" si="2"/>
        <v>77.688888888888883</v>
      </c>
      <c r="O67" s="98">
        <f t="shared" si="3"/>
        <v>0</v>
      </c>
      <c r="P67" s="139"/>
    </row>
    <row r="68" spans="1:16" x14ac:dyDescent="0.3">
      <c r="A68" s="138" t="s">
        <v>157</v>
      </c>
      <c r="B68" s="139" t="s">
        <v>152</v>
      </c>
      <c r="C68" s="140" t="s">
        <v>33</v>
      </c>
      <c r="D68" s="141">
        <f>(SUMIF(Usage!C:C,Ordering!A68,Usage!G:G))-P68</f>
        <v>3000</v>
      </c>
      <c r="E68" s="141">
        <f>SUMIF(Usage!C:C,Ordering!A68,Usage!H:H)</f>
        <v>15330</v>
      </c>
      <c r="F68" s="139">
        <v>0.4</v>
      </c>
      <c r="G68" s="99">
        <v>1000</v>
      </c>
      <c r="H68" s="80" t="s">
        <v>103</v>
      </c>
      <c r="I68" s="98">
        <v>4</v>
      </c>
      <c r="J68" s="98">
        <f>I68/(G68/1000)</f>
        <v>4</v>
      </c>
      <c r="K68" s="98">
        <f t="shared" si="0"/>
        <v>38.325000000000003</v>
      </c>
      <c r="L68" s="98">
        <f t="shared" si="1"/>
        <v>7.5</v>
      </c>
      <c r="M68" s="98" t="s">
        <v>95</v>
      </c>
      <c r="N68" s="98">
        <f t="shared" si="2"/>
        <v>153.30000000000001</v>
      </c>
      <c r="O68" s="98">
        <f t="shared" si="3"/>
        <v>30</v>
      </c>
      <c r="P68" s="139"/>
    </row>
    <row r="69" spans="1:16" x14ac:dyDescent="0.3">
      <c r="A69" s="138" t="s">
        <v>138</v>
      </c>
      <c r="B69" s="139" t="s">
        <v>152</v>
      </c>
      <c r="C69" s="140" t="s">
        <v>33</v>
      </c>
      <c r="D69" s="141">
        <f>(SUMIF(Usage!C:C,Ordering!A69,Usage!G:G))-P69</f>
        <v>0</v>
      </c>
      <c r="E69" s="141">
        <f>SUMIF(Usage!C:C,Ordering!A69,Usage!H:H)</f>
        <v>556</v>
      </c>
      <c r="F69" s="139">
        <v>0.85</v>
      </c>
      <c r="G69" s="80">
        <v>1000</v>
      </c>
      <c r="H69" s="80" t="s">
        <v>34</v>
      </c>
      <c r="I69" s="81">
        <v>3</v>
      </c>
      <c r="J69" s="81">
        <f>I69/(G69/1000)</f>
        <v>3</v>
      </c>
      <c r="K69" s="81">
        <f t="shared" ref="K69:K76" si="21">(E69/F69)/G69</f>
        <v>0.65411764705882358</v>
      </c>
      <c r="L69" s="81">
        <f t="shared" ref="L69:L73" si="22">(D69/F69)/G69</f>
        <v>0</v>
      </c>
      <c r="M69" s="98" t="s">
        <v>95</v>
      </c>
      <c r="N69" s="81">
        <f t="shared" ref="N69:N76" si="23">K69*I69</f>
        <v>1.9623529411764706</v>
      </c>
      <c r="O69" s="81">
        <f t="shared" ref="O69:O76" si="24">L69*I69</f>
        <v>0</v>
      </c>
      <c r="P69" s="139"/>
    </row>
    <row r="70" spans="1:16" x14ac:dyDescent="0.3">
      <c r="A70" s="138" t="s">
        <v>139</v>
      </c>
      <c r="B70" s="139" t="s">
        <v>152</v>
      </c>
      <c r="C70" s="140" t="s">
        <v>33</v>
      </c>
      <c r="D70" s="141">
        <f>(SUMIF(Usage!C:C,Ordering!A70,Usage!G:G))-P70</f>
        <v>7050</v>
      </c>
      <c r="E70" s="141">
        <f>SUMIF(Usage!C:C,Ordering!A70,Usage!H:H)</f>
        <v>22140</v>
      </c>
      <c r="F70" s="139">
        <v>0.5</v>
      </c>
      <c r="G70" s="99">
        <v>1000</v>
      </c>
      <c r="H70" s="80" t="s">
        <v>103</v>
      </c>
      <c r="I70" s="98">
        <v>4.5</v>
      </c>
      <c r="J70" s="98">
        <f>I70/(G70/1000)</f>
        <v>4.5</v>
      </c>
      <c r="K70" s="98">
        <f t="shared" si="21"/>
        <v>44.28</v>
      </c>
      <c r="L70" s="98">
        <f t="shared" si="22"/>
        <v>14.1</v>
      </c>
      <c r="M70" s="98" t="s">
        <v>95</v>
      </c>
      <c r="N70" s="98">
        <f t="shared" si="23"/>
        <v>199.26</v>
      </c>
      <c r="O70" s="98">
        <f t="shared" si="24"/>
        <v>63.449999999999996</v>
      </c>
      <c r="P70" s="139"/>
    </row>
    <row r="71" spans="1:16" ht="14.5" customHeight="1" x14ac:dyDescent="0.3">
      <c r="A71" s="138" t="s">
        <v>135</v>
      </c>
      <c r="B71" s="139" t="s">
        <v>152</v>
      </c>
      <c r="C71" s="140" t="s">
        <v>33</v>
      </c>
      <c r="D71" s="141">
        <f>(SUMIF(Usage!C:C,Ordering!A71,Usage!G:G))-P71</f>
        <v>0</v>
      </c>
      <c r="E71" s="141">
        <f>SUMIF(Usage!C:C,Ordering!A71,Usage!H:H)</f>
        <v>696</v>
      </c>
      <c r="F71" s="139">
        <v>0.57894736842105265</v>
      </c>
      <c r="G71" s="99">
        <v>905</v>
      </c>
      <c r="H71" s="80" t="s">
        <v>134</v>
      </c>
      <c r="I71" s="98">
        <v>3.5</v>
      </c>
      <c r="J71" s="98">
        <v>3.5</v>
      </c>
      <c r="K71" s="98">
        <f t="shared" si="21"/>
        <v>1.328377699648418</v>
      </c>
      <c r="L71" s="98">
        <f>(D71/F71)/G71</f>
        <v>0</v>
      </c>
      <c r="M71" s="98" t="s">
        <v>36</v>
      </c>
      <c r="N71" s="98">
        <f t="shared" si="23"/>
        <v>4.6493219487694635</v>
      </c>
      <c r="O71" s="98">
        <f t="shared" si="24"/>
        <v>0</v>
      </c>
      <c r="P71" s="139"/>
    </row>
    <row r="72" spans="1:16" ht="14.5" customHeight="1" x14ac:dyDescent="0.3">
      <c r="A72" s="138" t="s">
        <v>171</v>
      </c>
      <c r="B72" s="139" t="s">
        <v>152</v>
      </c>
      <c r="C72" s="140" t="s">
        <v>33</v>
      </c>
      <c r="D72" s="141">
        <f>(SUMIF(Usage!C:C,Ordering!A72,Usage!G:G))-P72</f>
        <v>0</v>
      </c>
      <c r="E72" s="141">
        <f>SUMIF(Usage!C:C,Ordering!A72,Usage!H:H)</f>
        <v>6015</v>
      </c>
      <c r="F72" s="139">
        <v>0.58399999999999996</v>
      </c>
      <c r="G72" s="99">
        <v>1000</v>
      </c>
      <c r="H72" s="80" t="s">
        <v>103</v>
      </c>
      <c r="I72" s="98">
        <v>9</v>
      </c>
      <c r="J72" s="98">
        <f t="shared" ref="J72:J76" si="25">I72/(G72/1000)</f>
        <v>9</v>
      </c>
      <c r="K72" s="98">
        <f t="shared" si="21"/>
        <v>10.299657534246577</v>
      </c>
      <c r="L72" s="98">
        <f t="shared" si="22"/>
        <v>0</v>
      </c>
      <c r="M72" s="98" t="s">
        <v>95</v>
      </c>
      <c r="N72" s="98">
        <f t="shared" si="23"/>
        <v>92.696917808219197</v>
      </c>
      <c r="O72" s="98">
        <f t="shared" si="24"/>
        <v>0</v>
      </c>
      <c r="P72" s="139"/>
    </row>
    <row r="73" spans="1:16" x14ac:dyDescent="0.3">
      <c r="A73" s="138" t="s">
        <v>189</v>
      </c>
      <c r="B73" s="139" t="s">
        <v>152</v>
      </c>
      <c r="C73" s="140" t="s">
        <v>33</v>
      </c>
      <c r="D73" s="141">
        <f>(SUMIF(Usage!C:C,Ordering!A73,Usage!G:G))-P73</f>
        <v>3500</v>
      </c>
      <c r="E73" s="141">
        <f>SUMIF(Usage!C:C,Ordering!A73,Usage!H:H)</f>
        <v>17885</v>
      </c>
      <c r="F73" s="139">
        <v>0.625</v>
      </c>
      <c r="G73" s="99">
        <v>1000</v>
      </c>
      <c r="H73" s="80" t="s">
        <v>103</v>
      </c>
      <c r="I73" s="98">
        <v>6</v>
      </c>
      <c r="J73" s="98">
        <f t="shared" si="25"/>
        <v>6</v>
      </c>
      <c r="K73" s="98">
        <f t="shared" si="21"/>
        <v>28.616</v>
      </c>
      <c r="L73" s="98">
        <f t="shared" si="22"/>
        <v>5.6</v>
      </c>
      <c r="M73" s="98" t="s">
        <v>95</v>
      </c>
      <c r="N73" s="98">
        <f t="shared" si="23"/>
        <v>171.696</v>
      </c>
      <c r="O73" s="98">
        <f t="shared" si="24"/>
        <v>33.599999999999994</v>
      </c>
      <c r="P73" s="139"/>
    </row>
    <row r="74" spans="1:16" x14ac:dyDescent="0.3">
      <c r="A74" s="138" t="s">
        <v>190</v>
      </c>
      <c r="B74" s="139" t="s">
        <v>152</v>
      </c>
      <c r="C74" s="140" t="s">
        <v>154</v>
      </c>
      <c r="D74" s="141">
        <f>(SUMIF(Usage!C:C,Ordering!A74,Usage!G:G))-P74</f>
        <v>0</v>
      </c>
      <c r="E74" s="141">
        <f>SUMIF(Usage!C:C,Ordering!A74,Usage!H:H)</f>
        <v>60</v>
      </c>
      <c r="F74" s="139">
        <v>0.95</v>
      </c>
      <c r="G74" s="99">
        <v>165</v>
      </c>
      <c r="H74" s="80" t="s">
        <v>155</v>
      </c>
      <c r="I74" s="98">
        <v>6</v>
      </c>
      <c r="J74" s="98">
        <f t="shared" si="25"/>
        <v>36.36363636363636</v>
      </c>
      <c r="K74" s="98">
        <f>(E74/F74)*165</f>
        <v>10421.052631578948</v>
      </c>
      <c r="L74" s="98">
        <f>((D74/F74)*G74)/1000</f>
        <v>0</v>
      </c>
      <c r="M74" s="98" t="s">
        <v>95</v>
      </c>
      <c r="N74" s="98">
        <f>K74*I74</f>
        <v>62526.315789473694</v>
      </c>
      <c r="O74" s="98">
        <f t="shared" si="24"/>
        <v>0</v>
      </c>
      <c r="P74" s="139"/>
    </row>
    <row r="75" spans="1:16" x14ac:dyDescent="0.3">
      <c r="A75" s="138" t="s">
        <v>184</v>
      </c>
      <c r="B75" s="139" t="s">
        <v>152</v>
      </c>
      <c r="C75" s="140" t="s">
        <v>33</v>
      </c>
      <c r="D75" s="141">
        <f>(SUMIF(Usage!C:C,Ordering!A75,Usage!G:G))-P75</f>
        <v>0</v>
      </c>
      <c r="E75" s="141">
        <f>SUMIF(Usage!C:C,Ordering!A75,Usage!H:H)</f>
        <v>18935</v>
      </c>
      <c r="F75" s="139">
        <v>1</v>
      </c>
      <c r="G75" s="99">
        <v>125</v>
      </c>
      <c r="H75" s="80" t="s">
        <v>128</v>
      </c>
      <c r="I75" s="98">
        <v>10</v>
      </c>
      <c r="J75" s="98">
        <f t="shared" si="25"/>
        <v>80</v>
      </c>
      <c r="K75" s="98">
        <f t="shared" si="21"/>
        <v>151.47999999999999</v>
      </c>
      <c r="L75" s="98">
        <f>(D75/F75)/G75</f>
        <v>0</v>
      </c>
      <c r="M75" s="98" t="s">
        <v>35</v>
      </c>
      <c r="N75" s="98">
        <f t="shared" si="23"/>
        <v>1514.8</v>
      </c>
      <c r="O75" s="98">
        <f t="shared" si="24"/>
        <v>0</v>
      </c>
      <c r="P75" s="139"/>
    </row>
    <row r="76" spans="1:16" x14ac:dyDescent="0.3">
      <c r="A76" s="138" t="s">
        <v>185</v>
      </c>
      <c r="B76" s="139" t="s">
        <v>152</v>
      </c>
      <c r="C76" s="140" t="s">
        <v>33</v>
      </c>
      <c r="D76" s="141">
        <f>(SUMIF(Usage!C:C,Ordering!A76,Usage!G:G))-P76</f>
        <v>0</v>
      </c>
      <c r="E76" s="141">
        <f>SUMIF(Usage!C:C,Ordering!A76,Usage!H:H)</f>
        <v>2896</v>
      </c>
      <c r="F76" s="139">
        <v>1</v>
      </c>
      <c r="G76" s="99">
        <v>250</v>
      </c>
      <c r="H76" s="80" t="s">
        <v>124</v>
      </c>
      <c r="I76" s="98">
        <v>21</v>
      </c>
      <c r="J76" s="98">
        <f t="shared" si="25"/>
        <v>84</v>
      </c>
      <c r="K76" s="98">
        <f t="shared" si="21"/>
        <v>11.584</v>
      </c>
      <c r="L76" s="98">
        <f>(D76/F76)/G76</f>
        <v>0</v>
      </c>
      <c r="M76" s="98" t="s">
        <v>35</v>
      </c>
      <c r="N76" s="98">
        <f t="shared" si="23"/>
        <v>243.26399999999998</v>
      </c>
      <c r="O76" s="98">
        <f t="shared" si="24"/>
        <v>0</v>
      </c>
      <c r="P76" s="139"/>
    </row>
  </sheetData>
  <autoFilter ref="A1:J76" xr:uid="{E116D39C-BF42-49E7-A52A-4FB1413F7C04}"/>
  <sortState xmlns:xlrd2="http://schemas.microsoft.com/office/spreadsheetml/2017/richdata2" ref="A21:J23">
    <sortCondition ref="A21:A23"/>
  </sortState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83" fitToWidth="2" fitToHeight="2" orientation="portrait" r:id="rId1"/>
  <headerFooter>
    <oddHeader>&amp;L&amp;G&amp;C&amp;"Alegreya Black,Bold"&amp;16&amp;K03+000Daily vegetables Order&amp;"A Jannat LT,Bold"
&amp;"AlHadari ,Bold"طلبات الخضار اليومية&amp;R&amp;G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26F33-2EB9-44E7-AF3A-9EA139D64647}">
  <sheetPr codeName="Sheet1"/>
  <dimension ref="A1:Q199"/>
  <sheetViews>
    <sheetView zoomScale="55" zoomScaleNormal="55" workbookViewId="0">
      <pane ySplit="1" topLeftCell="A2" activePane="bottomLeft" state="frozen"/>
      <selection activeCell="E1" sqref="E1"/>
      <selection pane="bottomLeft" activeCell="I175" sqref="I175"/>
    </sheetView>
  </sheetViews>
  <sheetFormatPr defaultColWidth="8.83203125" defaultRowHeight="14" x14ac:dyDescent="0.3"/>
  <cols>
    <col min="1" max="1" width="3.33203125" customWidth="1"/>
    <col min="2" max="2" width="41.83203125" style="60" customWidth="1"/>
    <col min="3" max="3" width="35.6640625" style="60" bestFit="1" customWidth="1"/>
    <col min="4" max="4" width="14.1640625" style="1" bestFit="1" customWidth="1"/>
    <col min="5" max="6" width="15.5" style="1" customWidth="1"/>
    <col min="7" max="8" width="20.1640625" style="1" customWidth="1"/>
    <col min="9" max="9" width="14.58203125" style="1" bestFit="1" customWidth="1"/>
    <col min="10" max="10" width="14" style="1" customWidth="1"/>
    <col min="11" max="11" width="14.6640625" style="1" customWidth="1"/>
    <col min="12" max="12" width="11.4140625" style="1" customWidth="1"/>
  </cols>
  <sheetData>
    <row r="1" spans="1:17" ht="44.5" customHeight="1" x14ac:dyDescent="0.3">
      <c r="A1" s="1"/>
      <c r="B1" s="61" t="s">
        <v>10</v>
      </c>
      <c r="C1" s="61" t="s">
        <v>11</v>
      </c>
      <c r="D1" s="4" t="s">
        <v>12</v>
      </c>
      <c r="E1" s="20" t="s">
        <v>143</v>
      </c>
      <c r="F1" s="20" t="s">
        <v>142</v>
      </c>
      <c r="G1" s="5" t="s">
        <v>13</v>
      </c>
      <c r="H1" s="5" t="s">
        <v>13</v>
      </c>
      <c r="I1" s="5" t="s">
        <v>144</v>
      </c>
      <c r="J1" s="5" t="s">
        <v>145</v>
      </c>
      <c r="K1" s="5" t="s">
        <v>146</v>
      </c>
      <c r="L1" s="5" t="s">
        <v>147</v>
      </c>
    </row>
    <row r="2" spans="1:17" x14ac:dyDescent="0.3">
      <c r="A2" s="1"/>
      <c r="B2" s="62" t="s">
        <v>31</v>
      </c>
      <c r="C2" s="62" t="s">
        <v>164</v>
      </c>
      <c r="D2" s="6">
        <v>100</v>
      </c>
      <c r="E2" s="3">
        <f>VLOOKUP(B2,Table3[#All],2,0)</f>
        <v>0</v>
      </c>
      <c r="F2" s="3">
        <f>VLOOKUP(B2,Table32[#All],2,0)</f>
        <v>192</v>
      </c>
      <c r="G2" s="6">
        <f>$E$2*D2</f>
        <v>0</v>
      </c>
      <c r="H2" s="145">
        <f>$F$2*D2</f>
        <v>19200</v>
      </c>
      <c r="I2" s="145">
        <f>VLOOKUP(C2,Ordering!A:J,6,FALSE)</f>
        <v>1</v>
      </c>
      <c r="J2" s="145">
        <f>VLOOKUP(C2,Ordering!A:J,10,FALSE)</f>
        <v>19</v>
      </c>
      <c r="K2" s="145">
        <f>((H2/(I2))/1000)</f>
        <v>19.2</v>
      </c>
      <c r="L2" s="145">
        <f>J2*K2</f>
        <v>364.8</v>
      </c>
    </row>
    <row r="3" spans="1:17" x14ac:dyDescent="0.3">
      <c r="A3" s="1"/>
      <c r="B3" s="62" t="s">
        <v>31</v>
      </c>
      <c r="C3" s="62" t="s">
        <v>159</v>
      </c>
      <c r="D3" s="6">
        <v>30</v>
      </c>
      <c r="G3" s="6">
        <f t="shared" ref="G3:G7" si="0">$E$2*D3</f>
        <v>0</v>
      </c>
      <c r="H3" s="145">
        <f t="shared" ref="H3:H7" si="1">$F$2*D3</f>
        <v>5760</v>
      </c>
      <c r="I3" s="145">
        <f>VLOOKUP(C3,Ordering!A:J,6,FALSE)</f>
        <v>0.81</v>
      </c>
      <c r="J3" s="145">
        <f>VLOOKUP(C3,Ordering!A:J,10,FALSE)</f>
        <v>3</v>
      </c>
      <c r="K3" s="145">
        <f t="shared" ref="K3:K66" si="2">((H3/(I3))/1000)</f>
        <v>7.1111111111111107</v>
      </c>
      <c r="L3" s="145">
        <f t="shared" ref="L3:L66" si="3">J3*K3</f>
        <v>21.333333333333332</v>
      </c>
    </row>
    <row r="4" spans="1:17" x14ac:dyDescent="0.3">
      <c r="A4" s="1"/>
      <c r="B4" s="62" t="s">
        <v>31</v>
      </c>
      <c r="C4" s="62" t="s">
        <v>171</v>
      </c>
      <c r="D4" s="6">
        <v>10</v>
      </c>
      <c r="G4" s="6">
        <f t="shared" si="0"/>
        <v>0</v>
      </c>
      <c r="H4" s="145">
        <f t="shared" si="1"/>
        <v>1920</v>
      </c>
      <c r="I4" s="145">
        <f>VLOOKUP(C4,Ordering!A:J,6,FALSE)</f>
        <v>0.58399999999999996</v>
      </c>
      <c r="J4" s="145">
        <f>VLOOKUP(C4,Ordering!A:J,10,FALSE)</f>
        <v>9</v>
      </c>
      <c r="K4" s="145">
        <f t="shared" si="2"/>
        <v>3.2876712328767126</v>
      </c>
      <c r="L4" s="145">
        <f t="shared" si="3"/>
        <v>29.589041095890412</v>
      </c>
    </row>
    <row r="5" spans="1:17" x14ac:dyDescent="0.3">
      <c r="A5" s="1"/>
      <c r="B5" s="62" t="s">
        <v>31</v>
      </c>
      <c r="C5" s="62" t="s">
        <v>183</v>
      </c>
      <c r="D5" s="6">
        <v>20</v>
      </c>
      <c r="G5" s="6">
        <f t="shared" si="0"/>
        <v>0</v>
      </c>
      <c r="H5" s="145">
        <f t="shared" si="1"/>
        <v>3840</v>
      </c>
      <c r="I5" s="145">
        <f>VLOOKUP(C5,Ordering!A:J,6,FALSE)</f>
        <v>0.65</v>
      </c>
      <c r="J5" s="145">
        <f>VLOOKUP(C5,Ordering!A:J,10,FALSE)</f>
        <v>9</v>
      </c>
      <c r="K5" s="145">
        <f t="shared" si="2"/>
        <v>5.907692307692308</v>
      </c>
      <c r="L5" s="145">
        <f t="shared" si="3"/>
        <v>53.169230769230772</v>
      </c>
    </row>
    <row r="6" spans="1:17" x14ac:dyDescent="0.3">
      <c r="A6" s="1"/>
      <c r="B6" s="62" t="s">
        <v>31</v>
      </c>
      <c r="C6" s="62" t="s">
        <v>182</v>
      </c>
      <c r="D6" s="6">
        <v>7</v>
      </c>
      <c r="G6" s="6">
        <f t="shared" si="0"/>
        <v>0</v>
      </c>
      <c r="H6" s="145">
        <f t="shared" si="1"/>
        <v>1344</v>
      </c>
      <c r="I6" s="145">
        <f>VLOOKUP(C6,Ordering!A:J,6,FALSE)</f>
        <v>0.9</v>
      </c>
      <c r="J6" s="145">
        <f>VLOOKUP(C6,Ordering!A:J,10,FALSE)</f>
        <v>4.5</v>
      </c>
      <c r="K6" s="145">
        <f t="shared" si="2"/>
        <v>1.4933333333333332</v>
      </c>
      <c r="L6" s="145">
        <f t="shared" si="3"/>
        <v>6.7199999999999989</v>
      </c>
      <c r="N6" s="143" t="s">
        <v>148</v>
      </c>
      <c r="O6" s="144"/>
      <c r="P6" s="143" t="s">
        <v>147</v>
      </c>
      <c r="Q6" s="144">
        <f>SUM(L2:L15)</f>
        <v>642.6164061219755</v>
      </c>
    </row>
    <row r="7" spans="1:17" x14ac:dyDescent="0.3">
      <c r="A7" s="1"/>
      <c r="B7" s="62" t="s">
        <v>31</v>
      </c>
      <c r="C7" s="62" t="s">
        <v>181</v>
      </c>
      <c r="D7" s="6">
        <v>12</v>
      </c>
      <c r="G7" s="6">
        <f t="shared" si="0"/>
        <v>0</v>
      </c>
      <c r="H7" s="145">
        <f t="shared" si="1"/>
        <v>2304</v>
      </c>
      <c r="I7" s="145">
        <f>VLOOKUP(C7,Ordering!A:J,6,FALSE)</f>
        <v>0.77</v>
      </c>
      <c r="J7" s="145">
        <f>VLOOKUP(C7,Ordering!A:J,10,FALSE)</f>
        <v>9</v>
      </c>
      <c r="K7" s="145">
        <f t="shared" si="2"/>
        <v>2.9922077922077919</v>
      </c>
      <c r="L7" s="145">
        <f t="shared" si="3"/>
        <v>26.929870129870128</v>
      </c>
    </row>
    <row r="8" spans="1:17" x14ac:dyDescent="0.3">
      <c r="A8" s="1"/>
      <c r="B8" s="62"/>
      <c r="C8" s="62"/>
      <c r="D8" s="6"/>
      <c r="G8" s="6"/>
      <c r="H8" s="145"/>
      <c r="I8" s="145"/>
      <c r="J8" s="145"/>
      <c r="K8" s="145"/>
      <c r="L8" s="145"/>
    </row>
    <row r="9" spans="1:17" x14ac:dyDescent="0.3">
      <c r="A9" s="1"/>
      <c r="B9" s="82" t="s">
        <v>15</v>
      </c>
      <c r="C9" s="82" t="s">
        <v>75</v>
      </c>
      <c r="D9" s="6">
        <v>15</v>
      </c>
      <c r="E9" s="3">
        <f>E2</f>
        <v>0</v>
      </c>
      <c r="F9" s="3">
        <f>F2</f>
        <v>192</v>
      </c>
      <c r="G9" s="6">
        <f t="shared" ref="G9:G14" si="4">$E$9*D9</f>
        <v>0</v>
      </c>
      <c r="H9" s="145">
        <f>$F$9*D9</f>
        <v>2880</v>
      </c>
      <c r="I9" s="145">
        <f>VLOOKUP(C9,Ordering!A:J,6,FALSE)</f>
        <v>1</v>
      </c>
      <c r="J9" s="145">
        <f>VLOOKUP(C9,Ordering!A:J,10,FALSE)</f>
        <v>28.406666666666666</v>
      </c>
      <c r="K9" s="145">
        <f t="shared" si="2"/>
        <v>2.88</v>
      </c>
      <c r="L9" s="145">
        <f t="shared" si="3"/>
        <v>81.811199999999999</v>
      </c>
    </row>
    <row r="10" spans="1:17" x14ac:dyDescent="0.3">
      <c r="A10" s="1"/>
      <c r="B10" s="82" t="s">
        <v>15</v>
      </c>
      <c r="C10" s="82" t="s">
        <v>78</v>
      </c>
      <c r="D10" s="6">
        <v>5</v>
      </c>
      <c r="G10" s="6">
        <f t="shared" si="4"/>
        <v>0</v>
      </c>
      <c r="H10" s="145">
        <f t="shared" ref="H10:H15" si="5">$F$9*D10</f>
        <v>960</v>
      </c>
      <c r="I10" s="145">
        <f>VLOOKUP(C10,Ordering!A:J,6,FALSE)</f>
        <v>1</v>
      </c>
      <c r="J10" s="145">
        <f>VLOOKUP(C10,Ordering!A:J,10,FALSE)</f>
        <v>11.243386243386244</v>
      </c>
      <c r="K10" s="145">
        <f t="shared" si="2"/>
        <v>0.96</v>
      </c>
      <c r="L10" s="145">
        <f t="shared" si="3"/>
        <v>10.793650793650794</v>
      </c>
    </row>
    <row r="11" spans="1:17" x14ac:dyDescent="0.3">
      <c r="A11" s="1"/>
      <c r="B11" s="82" t="s">
        <v>15</v>
      </c>
      <c r="C11" s="82" t="s">
        <v>80</v>
      </c>
      <c r="D11" s="6">
        <v>11</v>
      </c>
      <c r="G11" s="6">
        <f t="shared" si="4"/>
        <v>0</v>
      </c>
      <c r="H11" s="145">
        <f t="shared" si="5"/>
        <v>2112</v>
      </c>
      <c r="I11" s="145">
        <f>VLOOKUP(C11,Ordering!A:J,6,FALSE)</f>
        <v>1</v>
      </c>
      <c r="J11" s="145">
        <f>VLOOKUP(C11,Ordering!A:J,10,FALSE)</f>
        <v>17</v>
      </c>
      <c r="K11" s="145">
        <f t="shared" si="2"/>
        <v>2.1120000000000001</v>
      </c>
      <c r="L11" s="145">
        <f t="shared" si="3"/>
        <v>35.904000000000003</v>
      </c>
    </row>
    <row r="12" spans="1:17" x14ac:dyDescent="0.3">
      <c r="A12" s="1"/>
      <c r="B12" s="82" t="s">
        <v>15</v>
      </c>
      <c r="C12" s="82" t="s">
        <v>84</v>
      </c>
      <c r="D12" s="6">
        <v>4</v>
      </c>
      <c r="G12" s="6">
        <f t="shared" si="4"/>
        <v>0</v>
      </c>
      <c r="H12" s="145">
        <f t="shared" si="5"/>
        <v>768</v>
      </c>
      <c r="I12" s="145">
        <f>VLOOKUP(C12,Ordering!A:J,6,FALSE)</f>
        <v>1</v>
      </c>
      <c r="J12" s="145">
        <f>VLOOKUP(C12,Ordering!A:J,10,FALSE)</f>
        <v>3.25</v>
      </c>
      <c r="K12" s="145">
        <f t="shared" si="2"/>
        <v>0.76800000000000002</v>
      </c>
      <c r="L12" s="145">
        <f t="shared" si="3"/>
        <v>2.496</v>
      </c>
    </row>
    <row r="13" spans="1:17" x14ac:dyDescent="0.3">
      <c r="A13" s="1"/>
      <c r="B13" s="82" t="s">
        <v>15</v>
      </c>
      <c r="C13" s="82" t="s">
        <v>88</v>
      </c>
      <c r="D13" s="6">
        <v>5</v>
      </c>
      <c r="G13" s="6">
        <f t="shared" si="4"/>
        <v>0</v>
      </c>
      <c r="H13" s="145">
        <f t="shared" si="5"/>
        <v>960</v>
      </c>
      <c r="I13" s="145">
        <f>VLOOKUP(C13,Ordering!A:J,6,FALSE)</f>
        <v>1</v>
      </c>
      <c r="J13" s="145">
        <f>VLOOKUP(C13,Ordering!A:J,10,FALSE)</f>
        <v>0</v>
      </c>
      <c r="K13" s="145">
        <f t="shared" si="2"/>
        <v>0.96</v>
      </c>
      <c r="L13" s="145">
        <f>J13*K13</f>
        <v>0</v>
      </c>
    </row>
    <row r="14" spans="1:17" x14ac:dyDescent="0.3">
      <c r="A14" s="1"/>
      <c r="B14" s="82" t="s">
        <v>15</v>
      </c>
      <c r="C14" s="82" t="s">
        <v>86</v>
      </c>
      <c r="D14" s="6">
        <v>1</v>
      </c>
      <c r="G14" s="6">
        <f t="shared" si="4"/>
        <v>0</v>
      </c>
      <c r="H14" s="145">
        <f t="shared" si="5"/>
        <v>192</v>
      </c>
      <c r="I14" s="145">
        <f>VLOOKUP(C14,Ordering!A:J,6,FALSE)</f>
        <v>1</v>
      </c>
      <c r="J14" s="145">
        <f>VLOOKUP(C14,Ordering!A:J,10,FALSE)</f>
        <v>0.74</v>
      </c>
      <c r="K14" s="145">
        <f t="shared" si="2"/>
        <v>0.192</v>
      </c>
      <c r="L14" s="145">
        <f t="shared" si="3"/>
        <v>0.14208000000000001</v>
      </c>
    </row>
    <row r="15" spans="1:17" x14ac:dyDescent="0.3">
      <c r="A15" s="1"/>
      <c r="B15" s="82" t="s">
        <v>15</v>
      </c>
      <c r="C15" s="82" t="s">
        <v>85</v>
      </c>
      <c r="D15" s="6">
        <v>1.5</v>
      </c>
      <c r="G15" s="6">
        <f>$E$9*D15</f>
        <v>0</v>
      </c>
      <c r="H15" s="145">
        <f t="shared" si="5"/>
        <v>288</v>
      </c>
      <c r="I15" s="145">
        <f>VLOOKUP(C15,Ordering!A:J,6,FALSE)</f>
        <v>1</v>
      </c>
      <c r="J15" s="145">
        <f>VLOOKUP(C15,Ordering!A:J,10,FALSE)</f>
        <v>31</v>
      </c>
      <c r="K15" s="145">
        <f t="shared" si="2"/>
        <v>0.28799999999999998</v>
      </c>
      <c r="L15" s="145">
        <f t="shared" si="3"/>
        <v>8.927999999999999</v>
      </c>
    </row>
    <row r="16" spans="1:17" x14ac:dyDescent="0.3">
      <c r="A16" s="1"/>
      <c r="H16" s="146"/>
      <c r="I16" s="146"/>
      <c r="J16" s="146"/>
      <c r="K16" s="146"/>
      <c r="L16" s="146"/>
    </row>
    <row r="17" spans="1:12" x14ac:dyDescent="0.3">
      <c r="A17" s="1"/>
      <c r="B17" s="63" t="s">
        <v>26</v>
      </c>
      <c r="C17" s="63" t="s">
        <v>72</v>
      </c>
      <c r="D17" s="7">
        <v>8</v>
      </c>
      <c r="E17" s="3">
        <f>VLOOKUP(B17,Table3[#All],2,0)</f>
        <v>0</v>
      </c>
      <c r="F17" s="3">
        <f>VLOOKUP(B17,Table32[#All],2,0)</f>
        <v>137</v>
      </c>
      <c r="G17" s="7">
        <f>$E$17*D17</f>
        <v>0</v>
      </c>
      <c r="H17" s="147">
        <f>$F$17*D17</f>
        <v>1096</v>
      </c>
      <c r="I17" s="147">
        <f>VLOOKUP(C17,Ordering!A:J,6,FALSE)</f>
        <v>1</v>
      </c>
      <c r="J17" s="147">
        <f>VLOOKUP(C17,Ordering!A:J,10,FALSE)</f>
        <v>17.934782608695652</v>
      </c>
      <c r="K17" s="147">
        <f t="shared" si="2"/>
        <v>1.0960000000000001</v>
      </c>
      <c r="L17" s="147">
        <f t="shared" si="3"/>
        <v>19.656521739130437</v>
      </c>
    </row>
    <row r="18" spans="1:12" x14ac:dyDescent="0.3">
      <c r="A18" s="1"/>
      <c r="B18" s="63" t="s">
        <v>26</v>
      </c>
      <c r="C18" s="63" t="s">
        <v>180</v>
      </c>
      <c r="D18" s="7">
        <v>40</v>
      </c>
      <c r="G18" s="7">
        <f t="shared" ref="G18:G21" si="6">$E$17*D18</f>
        <v>0</v>
      </c>
      <c r="H18" s="147">
        <f t="shared" ref="H18:H21" si="7">$F$17*D18</f>
        <v>5480</v>
      </c>
      <c r="I18" s="147">
        <f>VLOOKUP(C18,Ordering!A:J,6,FALSE)</f>
        <v>0.56999999999999995</v>
      </c>
      <c r="J18" s="147">
        <f>VLOOKUP(C18,Ordering!A:J,10,FALSE)</f>
        <v>8.5</v>
      </c>
      <c r="K18" s="147">
        <f t="shared" si="2"/>
        <v>9.6140350877192997</v>
      </c>
      <c r="L18" s="147">
        <f t="shared" si="3"/>
        <v>81.719298245614041</v>
      </c>
    </row>
    <row r="19" spans="1:12" x14ac:dyDescent="0.3">
      <c r="A19" s="1"/>
      <c r="B19" s="63" t="s">
        <v>26</v>
      </c>
      <c r="C19" s="63" t="s">
        <v>160</v>
      </c>
      <c r="D19" s="7">
        <v>40</v>
      </c>
      <c r="G19" s="7">
        <f t="shared" si="6"/>
        <v>0</v>
      </c>
      <c r="H19" s="147">
        <f t="shared" si="7"/>
        <v>5480</v>
      </c>
      <c r="I19" s="147">
        <f>VLOOKUP(C19,Ordering!A:J,6,FALSE)</f>
        <v>1</v>
      </c>
      <c r="J19" s="147">
        <f>VLOOKUP(C19,Ordering!A:J,10,FALSE)</f>
        <v>24</v>
      </c>
      <c r="K19" s="147">
        <f t="shared" si="2"/>
        <v>5.48</v>
      </c>
      <c r="L19" s="147">
        <f t="shared" si="3"/>
        <v>131.52000000000001</v>
      </c>
    </row>
    <row r="20" spans="1:12" x14ac:dyDescent="0.3">
      <c r="A20" s="1"/>
      <c r="B20" s="63" t="s">
        <v>26</v>
      </c>
      <c r="C20" s="63" t="s">
        <v>119</v>
      </c>
      <c r="D20" s="7">
        <v>20</v>
      </c>
      <c r="G20" s="7">
        <f t="shared" si="6"/>
        <v>0</v>
      </c>
      <c r="H20" s="147">
        <f t="shared" si="7"/>
        <v>2740</v>
      </c>
      <c r="I20" s="147">
        <f>VLOOKUP(C20,Ordering!A:J,6,FALSE)</f>
        <v>1</v>
      </c>
      <c r="J20" s="147">
        <f>VLOOKUP(C20,Ordering!A:J,10,FALSE)</f>
        <v>10.416666666666666</v>
      </c>
      <c r="K20" s="147">
        <f t="shared" si="2"/>
        <v>2.74</v>
      </c>
      <c r="L20" s="147">
        <f t="shared" si="3"/>
        <v>28.541666666666668</v>
      </c>
    </row>
    <row r="21" spans="1:12" x14ac:dyDescent="0.3">
      <c r="A21" s="1"/>
      <c r="B21" s="63" t="s">
        <v>26</v>
      </c>
      <c r="C21" s="63" t="s">
        <v>159</v>
      </c>
      <c r="D21" s="7">
        <v>30</v>
      </c>
      <c r="G21" s="7">
        <f t="shared" si="6"/>
        <v>0</v>
      </c>
      <c r="H21" s="147">
        <f t="shared" si="7"/>
        <v>4110</v>
      </c>
      <c r="I21" s="147">
        <f>VLOOKUP(C21,Ordering!A:J,6,FALSE)</f>
        <v>0.81</v>
      </c>
      <c r="J21" s="147">
        <f>VLOOKUP(C21,Ordering!A:J,10,FALSE)</f>
        <v>3</v>
      </c>
      <c r="K21" s="147">
        <f t="shared" si="2"/>
        <v>5.0740740740740735</v>
      </c>
      <c r="L21" s="147">
        <f t="shared" si="3"/>
        <v>15.222222222222221</v>
      </c>
    </row>
    <row r="22" spans="1:12" x14ac:dyDescent="0.3">
      <c r="A22" s="1"/>
      <c r="H22" s="146"/>
      <c r="I22" s="146"/>
      <c r="J22" s="146"/>
      <c r="K22" s="146"/>
      <c r="L22" s="146"/>
    </row>
    <row r="23" spans="1:12" x14ac:dyDescent="0.3">
      <c r="A23" s="1"/>
      <c r="B23" s="83" t="s">
        <v>16</v>
      </c>
      <c r="C23" s="83" t="s">
        <v>81</v>
      </c>
      <c r="D23" s="7">
        <v>8</v>
      </c>
      <c r="E23" s="3">
        <f>E17</f>
        <v>0</v>
      </c>
      <c r="F23" s="3">
        <f>G17</f>
        <v>0</v>
      </c>
      <c r="G23" s="7">
        <f t="shared" ref="G23:G30" si="8">$E$23*D23</f>
        <v>0</v>
      </c>
      <c r="H23" s="147">
        <f>$F$23*D23</f>
        <v>0</v>
      </c>
      <c r="I23" s="147">
        <f>VLOOKUP(C23,Ordering!A:J,6,FALSE)</f>
        <v>1</v>
      </c>
      <c r="J23" s="147">
        <f>VLOOKUP(C23,Ordering!A:J,10,FALSE)</f>
        <v>5</v>
      </c>
      <c r="K23" s="147">
        <f>((H23/(I23))/1000)</f>
        <v>0</v>
      </c>
      <c r="L23" s="147">
        <f t="shared" si="3"/>
        <v>0</v>
      </c>
    </row>
    <row r="24" spans="1:12" x14ac:dyDescent="0.3">
      <c r="A24" s="1"/>
      <c r="B24" s="83" t="s">
        <v>16</v>
      </c>
      <c r="C24" s="83" t="s">
        <v>137</v>
      </c>
      <c r="D24" s="7">
        <v>1</v>
      </c>
      <c r="G24" s="7">
        <f t="shared" si="8"/>
        <v>0</v>
      </c>
      <c r="H24" s="147">
        <f t="shared" ref="H24:H30" si="9">$F$23*D24</f>
        <v>0</v>
      </c>
      <c r="I24" s="147">
        <f>VLOOKUP(C24,Ordering!A:J,6,FALSE)</f>
        <v>0.95</v>
      </c>
      <c r="J24" s="147">
        <f>VLOOKUP(C24,Ordering!A:J,10,FALSE)</f>
        <v>10.5</v>
      </c>
      <c r="K24" s="147">
        <f t="shared" si="2"/>
        <v>0</v>
      </c>
      <c r="L24" s="147">
        <f t="shared" si="3"/>
        <v>0</v>
      </c>
    </row>
    <row r="25" spans="1:12" x14ac:dyDescent="0.3">
      <c r="A25" s="1"/>
      <c r="B25" s="83" t="s">
        <v>16</v>
      </c>
      <c r="C25" s="83" t="s">
        <v>78</v>
      </c>
      <c r="D25" s="7">
        <v>3</v>
      </c>
      <c r="G25" s="7">
        <f t="shared" si="8"/>
        <v>0</v>
      </c>
      <c r="H25" s="147">
        <f t="shared" si="9"/>
        <v>0</v>
      </c>
      <c r="I25" s="147">
        <f>VLOOKUP(C25,Ordering!A:J,6,FALSE)</f>
        <v>1</v>
      </c>
      <c r="J25" s="147">
        <f>VLOOKUP(C25,Ordering!A:J,10,FALSE)</f>
        <v>11.243386243386244</v>
      </c>
      <c r="K25" s="147">
        <f t="shared" si="2"/>
        <v>0</v>
      </c>
      <c r="L25" s="147">
        <f t="shared" si="3"/>
        <v>0</v>
      </c>
    </row>
    <row r="26" spans="1:12" x14ac:dyDescent="0.3">
      <c r="A26" s="1"/>
      <c r="B26" s="83" t="s">
        <v>16</v>
      </c>
      <c r="C26" s="83" t="s">
        <v>79</v>
      </c>
      <c r="D26" s="7">
        <v>0.5</v>
      </c>
      <c r="G26" s="7">
        <f t="shared" si="8"/>
        <v>0</v>
      </c>
      <c r="H26" s="147">
        <f t="shared" si="9"/>
        <v>0</v>
      </c>
      <c r="I26" s="147">
        <f>VLOOKUP(C26,Ordering!A:J,6,FALSE)</f>
        <v>1</v>
      </c>
      <c r="J26" s="147">
        <f>VLOOKUP(C26,Ordering!A:J,10,FALSE)</f>
        <v>147.88732394366198</v>
      </c>
      <c r="K26" s="147">
        <f t="shared" si="2"/>
        <v>0</v>
      </c>
      <c r="L26" s="147">
        <f t="shared" si="3"/>
        <v>0</v>
      </c>
    </row>
    <row r="27" spans="1:12" x14ac:dyDescent="0.3">
      <c r="A27" s="1"/>
      <c r="B27" s="83" t="s">
        <v>16</v>
      </c>
      <c r="C27" s="83" t="s">
        <v>68</v>
      </c>
      <c r="D27" s="7">
        <v>0.5</v>
      </c>
      <c r="G27" s="7">
        <f t="shared" si="8"/>
        <v>0</v>
      </c>
      <c r="H27" s="147">
        <f t="shared" si="9"/>
        <v>0</v>
      </c>
      <c r="I27" s="147">
        <f>VLOOKUP(C27,Ordering!A:J,6,FALSE)</f>
        <v>1</v>
      </c>
      <c r="J27" s="147">
        <f>VLOOKUP(C27,Ordering!A:J,10,FALSE)</f>
        <v>147.88732394366198</v>
      </c>
      <c r="K27" s="147">
        <f t="shared" si="2"/>
        <v>0</v>
      </c>
      <c r="L27" s="147">
        <f t="shared" si="3"/>
        <v>0</v>
      </c>
    </row>
    <row r="28" spans="1:12" x14ac:dyDescent="0.3">
      <c r="A28" s="1"/>
      <c r="B28" s="83" t="s">
        <v>16</v>
      </c>
      <c r="C28" s="83" t="s">
        <v>80</v>
      </c>
      <c r="D28" s="7">
        <v>5</v>
      </c>
      <c r="G28" s="7">
        <f t="shared" si="8"/>
        <v>0</v>
      </c>
      <c r="H28" s="147">
        <f t="shared" si="9"/>
        <v>0</v>
      </c>
      <c r="I28" s="147">
        <f>VLOOKUP(C28,Ordering!A:J,6,FALSE)</f>
        <v>1</v>
      </c>
      <c r="J28" s="147">
        <f>VLOOKUP(C28,Ordering!A:J,10,FALSE)</f>
        <v>17</v>
      </c>
      <c r="K28" s="147">
        <f t="shared" si="2"/>
        <v>0</v>
      </c>
      <c r="L28" s="147">
        <f t="shared" si="3"/>
        <v>0</v>
      </c>
    </row>
    <row r="29" spans="1:12" x14ac:dyDescent="0.3">
      <c r="A29" s="1"/>
      <c r="B29" s="83" t="s">
        <v>16</v>
      </c>
      <c r="C29" s="83" t="s">
        <v>86</v>
      </c>
      <c r="D29" s="7">
        <v>1</v>
      </c>
      <c r="G29" s="7">
        <f t="shared" si="8"/>
        <v>0</v>
      </c>
      <c r="H29" s="147">
        <f t="shared" si="9"/>
        <v>0</v>
      </c>
      <c r="I29" s="147">
        <f>VLOOKUP(C29,Ordering!A:J,6,FALSE)</f>
        <v>1</v>
      </c>
      <c r="J29" s="147">
        <f>VLOOKUP(C29,Ordering!A:J,10,FALSE)</f>
        <v>0.74</v>
      </c>
      <c r="K29" s="147">
        <f t="shared" si="2"/>
        <v>0</v>
      </c>
      <c r="L29" s="147">
        <f t="shared" si="3"/>
        <v>0</v>
      </c>
    </row>
    <row r="30" spans="1:12" x14ac:dyDescent="0.3">
      <c r="A30" s="1"/>
      <c r="B30" s="83" t="s">
        <v>16</v>
      </c>
      <c r="C30" s="83" t="s">
        <v>85</v>
      </c>
      <c r="D30" s="7">
        <v>1.5</v>
      </c>
      <c r="G30" s="7">
        <f t="shared" si="8"/>
        <v>0</v>
      </c>
      <c r="H30" s="147">
        <f t="shared" si="9"/>
        <v>0</v>
      </c>
      <c r="I30" s="147">
        <f>VLOOKUP(C30,Ordering!A:J,6,FALSE)</f>
        <v>1</v>
      </c>
      <c r="J30" s="147">
        <f>VLOOKUP(C30,Ordering!A:J,10,FALSE)</f>
        <v>31</v>
      </c>
      <c r="K30" s="147">
        <f t="shared" si="2"/>
        <v>0</v>
      </c>
      <c r="L30" s="147">
        <f t="shared" si="3"/>
        <v>0</v>
      </c>
    </row>
    <row r="31" spans="1:12" x14ac:dyDescent="0.3">
      <c r="A31" s="1"/>
      <c r="B31" s="83" t="s">
        <v>16</v>
      </c>
      <c r="C31" s="83" t="s">
        <v>88</v>
      </c>
      <c r="D31" s="7">
        <v>5</v>
      </c>
      <c r="G31" s="7">
        <f>$E$23*D31</f>
        <v>0</v>
      </c>
      <c r="H31" s="147">
        <f>$F$23*D31</f>
        <v>0</v>
      </c>
      <c r="I31" s="147">
        <f>VLOOKUP(C31,Ordering!A:J,6,FALSE)</f>
        <v>1</v>
      </c>
      <c r="J31" s="147">
        <f>VLOOKUP(C31,Ordering!A:J,10,FALSE)</f>
        <v>0</v>
      </c>
      <c r="K31" s="147">
        <f t="shared" si="2"/>
        <v>0</v>
      </c>
      <c r="L31" s="147">
        <f t="shared" si="3"/>
        <v>0</v>
      </c>
    </row>
    <row r="32" spans="1:12" x14ac:dyDescent="0.3">
      <c r="A32" s="1"/>
      <c r="H32" s="146"/>
      <c r="I32" s="146"/>
      <c r="J32" s="146"/>
      <c r="K32" s="146"/>
      <c r="L32" s="146"/>
    </row>
    <row r="33" spans="1:12" x14ac:dyDescent="0.3">
      <c r="A33" s="1"/>
      <c r="B33" s="64" t="s">
        <v>32</v>
      </c>
      <c r="C33" s="64" t="s">
        <v>180</v>
      </c>
      <c r="D33" s="9">
        <v>30</v>
      </c>
      <c r="E33" s="3">
        <f>VLOOKUP(B33,Table3[#All],2,0)</f>
        <v>0</v>
      </c>
      <c r="F33" s="3">
        <f>VLOOKUP(B33,Table32[#All],2,0)</f>
        <v>196</v>
      </c>
      <c r="G33" s="18">
        <f>$E$33*D33</f>
        <v>0</v>
      </c>
      <c r="H33" s="148">
        <f>$F$33*D33</f>
        <v>5880</v>
      </c>
      <c r="I33" s="148">
        <f>VLOOKUP(C33,Ordering!A:J,6,FALSE)</f>
        <v>0.56999999999999995</v>
      </c>
      <c r="J33" s="148">
        <f>VLOOKUP(C33,Ordering!A:J,10,FALSE)</f>
        <v>8.5</v>
      </c>
      <c r="K33" s="148">
        <f t="shared" si="2"/>
        <v>10.315789473684212</v>
      </c>
      <c r="L33" s="148">
        <f t="shared" si="3"/>
        <v>87.684210526315809</v>
      </c>
    </row>
    <row r="34" spans="1:12" x14ac:dyDescent="0.3">
      <c r="A34" s="1"/>
      <c r="B34" s="64" t="s">
        <v>32</v>
      </c>
      <c r="C34" s="64" t="s">
        <v>183</v>
      </c>
      <c r="D34" s="9">
        <v>20</v>
      </c>
      <c r="G34" s="18">
        <f t="shared" ref="G34:G38" si="10">$E$33*D34</f>
        <v>0</v>
      </c>
      <c r="H34" s="148">
        <f t="shared" ref="H34:H38" si="11">$F$33*D34</f>
        <v>3920</v>
      </c>
      <c r="I34" s="148">
        <f>VLOOKUP(C34,Ordering!A:J,6,FALSE)</f>
        <v>0.65</v>
      </c>
      <c r="J34" s="148">
        <f>VLOOKUP(C34,Ordering!A:J,10,FALSE)</f>
        <v>9</v>
      </c>
      <c r="K34" s="148">
        <f t="shared" si="2"/>
        <v>6.0307692307692307</v>
      </c>
      <c r="L34" s="148">
        <f t="shared" si="3"/>
        <v>54.276923076923076</v>
      </c>
    </row>
    <row r="35" spans="1:12" x14ac:dyDescent="0.3">
      <c r="A35" s="1"/>
      <c r="B35" s="64" t="s">
        <v>32</v>
      </c>
      <c r="C35" s="64" t="s">
        <v>184</v>
      </c>
      <c r="D35" s="9">
        <v>15</v>
      </c>
      <c r="G35" s="18">
        <f t="shared" si="10"/>
        <v>0</v>
      </c>
      <c r="H35" s="148">
        <f t="shared" si="11"/>
        <v>2940</v>
      </c>
      <c r="I35" s="148">
        <f>VLOOKUP(C35,Ordering!A:J,6,FALSE)</f>
        <v>1</v>
      </c>
      <c r="J35" s="148">
        <f>VLOOKUP(C35,Ordering!A:J,10,FALSE)</f>
        <v>80</v>
      </c>
      <c r="K35" s="148">
        <f t="shared" si="2"/>
        <v>2.94</v>
      </c>
      <c r="L35" s="148">
        <f t="shared" si="3"/>
        <v>235.2</v>
      </c>
    </row>
    <row r="36" spans="1:12" x14ac:dyDescent="0.3">
      <c r="A36" s="1"/>
      <c r="B36" s="64" t="s">
        <v>32</v>
      </c>
      <c r="C36" s="64" t="s">
        <v>163</v>
      </c>
      <c r="D36" s="9">
        <v>11</v>
      </c>
      <c r="G36" s="18">
        <f t="shared" si="10"/>
        <v>0</v>
      </c>
      <c r="H36" s="148">
        <f t="shared" si="11"/>
        <v>2156</v>
      </c>
      <c r="I36" s="148">
        <f>VLOOKUP(C36,Ordering!A:J,6,FALSE)</f>
        <v>0.65</v>
      </c>
      <c r="J36" s="148">
        <f>VLOOKUP(C36,Ordering!A:J,10,FALSE)</f>
        <v>5.75</v>
      </c>
      <c r="K36" s="148">
        <f t="shared" si="2"/>
        <v>3.3169230769230769</v>
      </c>
      <c r="L36" s="148">
        <f t="shared" si="3"/>
        <v>19.072307692307692</v>
      </c>
    </row>
    <row r="37" spans="1:12" x14ac:dyDescent="0.3">
      <c r="A37" s="1"/>
      <c r="B37" s="64" t="s">
        <v>32</v>
      </c>
      <c r="C37" s="64" t="s">
        <v>67</v>
      </c>
      <c r="D37" s="9">
        <v>6</v>
      </c>
      <c r="G37" s="18">
        <f t="shared" si="10"/>
        <v>0</v>
      </c>
      <c r="H37" s="148">
        <f t="shared" si="11"/>
        <v>1176</v>
      </c>
      <c r="I37" s="148">
        <f>VLOOKUP(C37,Ordering!A:J,6,FALSE)</f>
        <v>1</v>
      </c>
      <c r="J37" s="148">
        <f>VLOOKUP(C37,Ordering!A:J,10,FALSE)</f>
        <v>14.999999999999998</v>
      </c>
      <c r="K37" s="148">
        <f t="shared" si="2"/>
        <v>1.1759999999999999</v>
      </c>
      <c r="L37" s="148">
        <f t="shared" si="3"/>
        <v>17.639999999999997</v>
      </c>
    </row>
    <row r="38" spans="1:12" x14ac:dyDescent="0.3">
      <c r="A38" s="1"/>
      <c r="B38" s="64" t="s">
        <v>32</v>
      </c>
      <c r="C38" s="64" t="s">
        <v>175</v>
      </c>
      <c r="D38" s="9">
        <v>3</v>
      </c>
      <c r="G38" s="18">
        <f t="shared" si="10"/>
        <v>0</v>
      </c>
      <c r="H38" s="148">
        <f t="shared" si="11"/>
        <v>588</v>
      </c>
      <c r="I38" s="148">
        <f>VLOOKUP(C38,Ordering!A:J,6,FALSE)</f>
        <v>1</v>
      </c>
      <c r="J38" s="148">
        <f>VLOOKUP(C38,Ordering!A:J,10,FALSE)</f>
        <v>39</v>
      </c>
      <c r="K38" s="148">
        <f t="shared" si="2"/>
        <v>0.58799999999999997</v>
      </c>
      <c r="L38" s="148">
        <f t="shared" si="3"/>
        <v>22.931999999999999</v>
      </c>
    </row>
    <row r="39" spans="1:12" x14ac:dyDescent="0.3">
      <c r="A39" s="1"/>
      <c r="H39" s="146"/>
      <c r="I39" s="146"/>
      <c r="J39" s="146"/>
      <c r="K39" s="146"/>
      <c r="L39" s="146"/>
    </row>
    <row r="40" spans="1:12" x14ac:dyDescent="0.3">
      <c r="A40" s="1"/>
      <c r="B40" s="84" t="s">
        <v>1</v>
      </c>
      <c r="C40" s="84" t="s">
        <v>118</v>
      </c>
      <c r="D40" s="9">
        <v>12</v>
      </c>
      <c r="E40" s="3">
        <f>E33</f>
        <v>0</v>
      </c>
      <c r="F40" s="3">
        <f>F33</f>
        <v>196</v>
      </c>
      <c r="G40" s="9">
        <f>$E$40*D40</f>
        <v>0</v>
      </c>
      <c r="H40" s="149">
        <f>$F$40*D40</f>
        <v>2352</v>
      </c>
      <c r="I40" s="149">
        <f>VLOOKUP(C40,Ordering!A:J,6,FALSE)</f>
        <v>1</v>
      </c>
      <c r="J40" s="149">
        <f>VLOOKUP(C40,Ordering!A:J,10,FALSE)</f>
        <v>10</v>
      </c>
      <c r="K40" s="149">
        <f t="shared" si="2"/>
        <v>2.3519999999999999</v>
      </c>
      <c r="L40" s="149">
        <f t="shared" si="3"/>
        <v>23.52</v>
      </c>
    </row>
    <row r="41" spans="1:12" x14ac:dyDescent="0.3">
      <c r="A41" s="1"/>
      <c r="B41" s="84" t="s">
        <v>1</v>
      </c>
      <c r="C41" s="84" t="s">
        <v>80</v>
      </c>
      <c r="D41" s="9">
        <v>12</v>
      </c>
      <c r="G41" s="9">
        <f t="shared" ref="G41:G45" si="12">$E$40*D41</f>
        <v>0</v>
      </c>
      <c r="H41" s="149">
        <f t="shared" ref="H41:H44" si="13">$F$40*D41</f>
        <v>2352</v>
      </c>
      <c r="I41" s="149">
        <f>VLOOKUP(C41,Ordering!A:J,6,FALSE)</f>
        <v>1</v>
      </c>
      <c r="J41" s="149">
        <f>VLOOKUP(C41,Ordering!A:J,10,FALSE)</f>
        <v>17</v>
      </c>
      <c r="K41" s="149">
        <f t="shared" si="2"/>
        <v>2.3519999999999999</v>
      </c>
      <c r="L41" s="149">
        <f t="shared" si="3"/>
        <v>39.983999999999995</v>
      </c>
    </row>
    <row r="42" spans="1:12" x14ac:dyDescent="0.3">
      <c r="A42" s="1"/>
      <c r="B42" s="84" t="s">
        <v>1</v>
      </c>
      <c r="C42" s="84" t="s">
        <v>81</v>
      </c>
      <c r="D42" s="9">
        <v>5</v>
      </c>
      <c r="G42" s="9">
        <f t="shared" si="12"/>
        <v>0</v>
      </c>
      <c r="H42" s="149">
        <f t="shared" si="13"/>
        <v>980</v>
      </c>
      <c r="I42" s="149">
        <f>VLOOKUP(C42,Ordering!A:J,6,FALSE)</f>
        <v>1</v>
      </c>
      <c r="J42" s="149">
        <f>VLOOKUP(C42,Ordering!A:J,10,FALSE)</f>
        <v>5</v>
      </c>
      <c r="K42" s="149">
        <f t="shared" si="2"/>
        <v>0.98</v>
      </c>
      <c r="L42" s="149">
        <f t="shared" si="3"/>
        <v>4.9000000000000004</v>
      </c>
    </row>
    <row r="43" spans="1:12" x14ac:dyDescent="0.3">
      <c r="A43" s="1"/>
      <c r="B43" s="84" t="s">
        <v>1</v>
      </c>
      <c r="C43" s="84" t="s">
        <v>86</v>
      </c>
      <c r="D43" s="9">
        <v>1</v>
      </c>
      <c r="G43" s="9">
        <f t="shared" si="12"/>
        <v>0</v>
      </c>
      <c r="H43" s="149">
        <f t="shared" si="13"/>
        <v>196</v>
      </c>
      <c r="I43" s="149">
        <f>VLOOKUP(C43,Ordering!A:J,6,FALSE)</f>
        <v>1</v>
      </c>
      <c r="J43" s="149">
        <f>VLOOKUP(C43,Ordering!A:J,10,FALSE)</f>
        <v>0.74</v>
      </c>
      <c r="K43" s="149">
        <f t="shared" si="2"/>
        <v>0.19600000000000001</v>
      </c>
      <c r="L43" s="149">
        <f t="shared" si="3"/>
        <v>0.14504</v>
      </c>
    </row>
    <row r="44" spans="1:12" x14ac:dyDescent="0.3">
      <c r="A44" s="1"/>
      <c r="B44" s="84" t="s">
        <v>1</v>
      </c>
      <c r="C44" s="84" t="s">
        <v>85</v>
      </c>
      <c r="D44" s="9">
        <v>1.5</v>
      </c>
      <c r="G44" s="9">
        <f t="shared" si="12"/>
        <v>0</v>
      </c>
      <c r="H44" s="149">
        <f t="shared" si="13"/>
        <v>294</v>
      </c>
      <c r="I44" s="149">
        <f>VLOOKUP(C44,Ordering!A:J,6,FALSE)</f>
        <v>1</v>
      </c>
      <c r="J44" s="149">
        <f>VLOOKUP(C44,Ordering!A:J,10,FALSE)</f>
        <v>31</v>
      </c>
      <c r="K44" s="149">
        <f t="shared" si="2"/>
        <v>0.29399999999999998</v>
      </c>
      <c r="L44" s="149">
        <f t="shared" si="3"/>
        <v>9.113999999999999</v>
      </c>
    </row>
    <row r="45" spans="1:12" x14ac:dyDescent="0.3">
      <c r="A45" s="1"/>
      <c r="B45" s="84" t="s">
        <v>1</v>
      </c>
      <c r="C45" s="84" t="s">
        <v>88</v>
      </c>
      <c r="D45" s="9">
        <v>5</v>
      </c>
      <c r="G45" s="9">
        <f t="shared" si="12"/>
        <v>0</v>
      </c>
      <c r="H45" s="149">
        <f>$F$40*D45</f>
        <v>980</v>
      </c>
      <c r="I45" s="149">
        <f>VLOOKUP(C45,Ordering!A:J,6,FALSE)</f>
        <v>1</v>
      </c>
      <c r="J45" s="149">
        <f>VLOOKUP(C45,Ordering!A:J,10,FALSE)</f>
        <v>0</v>
      </c>
      <c r="K45" s="149">
        <f t="shared" si="2"/>
        <v>0.98</v>
      </c>
      <c r="L45" s="149">
        <f t="shared" si="3"/>
        <v>0</v>
      </c>
    </row>
    <row r="46" spans="1:12" ht="17.5" customHeight="1" x14ac:dyDescent="0.3">
      <c r="A46" s="1"/>
      <c r="H46" s="146"/>
      <c r="I46" s="146"/>
      <c r="J46" s="146"/>
      <c r="K46" s="146"/>
      <c r="L46" s="146"/>
    </row>
    <row r="47" spans="1:12" x14ac:dyDescent="0.3">
      <c r="A47" s="1"/>
      <c r="B47" s="65" t="s">
        <v>29</v>
      </c>
      <c r="C47" s="65" t="s">
        <v>180</v>
      </c>
      <c r="D47" s="8">
        <v>50</v>
      </c>
      <c r="E47" s="3">
        <f>VLOOKUP(B47,Table3[#All],2,0)</f>
        <v>0</v>
      </c>
      <c r="F47" s="3">
        <f>VLOOKUP(B47,Table32[#All],2,0)</f>
        <v>383</v>
      </c>
      <c r="G47" s="8">
        <f>$E$47*D47</f>
        <v>0</v>
      </c>
      <c r="H47" s="150">
        <f>$F$47*D47</f>
        <v>19150</v>
      </c>
      <c r="I47" s="150">
        <f>VLOOKUP(C47,Ordering!A:J,6,FALSE)</f>
        <v>0.56999999999999995</v>
      </c>
      <c r="J47" s="150">
        <f>VLOOKUP(C47,Ordering!A:J,10,FALSE)</f>
        <v>8.5</v>
      </c>
      <c r="K47" s="150">
        <f t="shared" si="2"/>
        <v>33.596491228070178</v>
      </c>
      <c r="L47" s="150">
        <f t="shared" si="3"/>
        <v>285.57017543859649</v>
      </c>
    </row>
    <row r="48" spans="1:12" x14ac:dyDescent="0.3">
      <c r="A48" s="1"/>
      <c r="B48" s="65" t="s">
        <v>29</v>
      </c>
      <c r="C48" s="65" t="s">
        <v>166</v>
      </c>
      <c r="D48" s="8">
        <v>3</v>
      </c>
      <c r="G48" s="8">
        <f>$E$47*D48</f>
        <v>0</v>
      </c>
      <c r="H48" s="150">
        <f t="shared" ref="H48:H51" si="14">$F$47*D48</f>
        <v>1149</v>
      </c>
      <c r="I48" s="150">
        <f>VLOOKUP(C48,Ordering!A:J,6,FALSE)</f>
        <v>1</v>
      </c>
      <c r="J48" s="150">
        <f>VLOOKUP(C48,Ordering!A:J,10,FALSE)</f>
        <v>67.91483113069016</v>
      </c>
      <c r="K48" s="150">
        <f t="shared" si="2"/>
        <v>1.149</v>
      </c>
      <c r="L48" s="150">
        <f t="shared" si="3"/>
        <v>78.034140969162991</v>
      </c>
    </row>
    <row r="49" spans="1:12" x14ac:dyDescent="0.3">
      <c r="A49" s="1"/>
      <c r="B49" s="65" t="s">
        <v>29</v>
      </c>
      <c r="C49" s="65" t="s">
        <v>70</v>
      </c>
      <c r="D49" s="8">
        <v>20</v>
      </c>
      <c r="G49" s="8">
        <f t="shared" ref="G49:G51" si="15">$E$47*D49</f>
        <v>0</v>
      </c>
      <c r="H49" s="150">
        <f t="shared" si="14"/>
        <v>7660</v>
      </c>
      <c r="I49" s="150">
        <f>VLOOKUP(C49,Ordering!A:J,6,FALSE)</f>
        <v>0.86</v>
      </c>
      <c r="J49" s="150">
        <f>VLOOKUP(C49,Ordering!A:J,10,FALSE)</f>
        <v>17.100000000000001</v>
      </c>
      <c r="K49" s="150">
        <f t="shared" si="2"/>
        <v>8.9069767441860463</v>
      </c>
      <c r="L49" s="150">
        <f t="shared" si="3"/>
        <v>152.3093023255814</v>
      </c>
    </row>
    <row r="50" spans="1:12" x14ac:dyDescent="0.3">
      <c r="A50" s="1"/>
      <c r="B50" s="65" t="s">
        <v>29</v>
      </c>
      <c r="C50" s="65" t="s">
        <v>160</v>
      </c>
      <c r="D50" s="8">
        <v>40</v>
      </c>
      <c r="G50" s="8">
        <f t="shared" si="15"/>
        <v>0</v>
      </c>
      <c r="H50" s="150">
        <f t="shared" si="14"/>
        <v>15320</v>
      </c>
      <c r="I50" s="150">
        <f>VLOOKUP(C50,Ordering!A:J,6,FALSE)</f>
        <v>1</v>
      </c>
      <c r="J50" s="150">
        <f>VLOOKUP(C50,Ordering!A:J,10,FALSE)</f>
        <v>24</v>
      </c>
      <c r="K50" s="150">
        <f t="shared" si="2"/>
        <v>15.32</v>
      </c>
      <c r="L50" s="150">
        <f t="shared" si="3"/>
        <v>367.68</v>
      </c>
    </row>
    <row r="51" spans="1:12" x14ac:dyDescent="0.3">
      <c r="A51" s="1"/>
      <c r="B51" s="65" t="s">
        <v>29</v>
      </c>
      <c r="C51" s="65" t="s">
        <v>176</v>
      </c>
      <c r="D51" s="8">
        <v>3</v>
      </c>
      <c r="G51" s="8">
        <f t="shared" si="15"/>
        <v>0</v>
      </c>
      <c r="H51" s="150">
        <f t="shared" si="14"/>
        <v>1149</v>
      </c>
      <c r="I51" s="150">
        <f>VLOOKUP(C51,Ordering!A:J,6,FALSE)</f>
        <v>1</v>
      </c>
      <c r="J51" s="150">
        <f>VLOOKUP(C51,Ordering!A:J,10,FALSE)</f>
        <v>0.5</v>
      </c>
      <c r="K51" s="150">
        <f t="shared" ref="K51" si="16">((H51/(I51))/1000)</f>
        <v>1.149</v>
      </c>
      <c r="L51" s="150">
        <f t="shared" ref="L51" si="17">J51*K51</f>
        <v>0.57450000000000001</v>
      </c>
    </row>
    <row r="52" spans="1:12" x14ac:dyDescent="0.3">
      <c r="A52" s="1"/>
      <c r="H52" s="146"/>
      <c r="I52" s="146"/>
      <c r="J52" s="146"/>
      <c r="K52" s="146"/>
      <c r="L52" s="146"/>
    </row>
    <row r="53" spans="1:12" x14ac:dyDescent="0.3">
      <c r="A53" s="1"/>
      <c r="B53" s="85" t="s">
        <v>2</v>
      </c>
      <c r="C53" s="85" t="s">
        <v>137</v>
      </c>
      <c r="D53" s="8">
        <v>2</v>
      </c>
      <c r="E53" s="3">
        <f>E47</f>
        <v>0</v>
      </c>
      <c r="F53" s="3">
        <f>F47</f>
        <v>383</v>
      </c>
      <c r="G53" s="8">
        <f>$E$53*D53</f>
        <v>0</v>
      </c>
      <c r="H53" s="150">
        <f>$F$53*D53</f>
        <v>766</v>
      </c>
      <c r="I53" s="150">
        <f>VLOOKUP(C53,Ordering!A:J,6,FALSE)</f>
        <v>0.95</v>
      </c>
      <c r="J53" s="150">
        <f>VLOOKUP(C53,Ordering!A:J,10,FALSE)</f>
        <v>10.5</v>
      </c>
      <c r="K53" s="150">
        <f t="shared" si="2"/>
        <v>0.80631578947368432</v>
      </c>
      <c r="L53" s="150">
        <f t="shared" si="3"/>
        <v>8.4663157894736862</v>
      </c>
    </row>
    <row r="54" spans="1:12" x14ac:dyDescent="0.3">
      <c r="A54" s="1"/>
      <c r="B54" s="85" t="s">
        <v>2</v>
      </c>
      <c r="C54" s="85" t="s">
        <v>82</v>
      </c>
      <c r="D54" s="8">
        <v>8</v>
      </c>
      <c r="G54" s="8">
        <f t="shared" ref="G54:G60" si="18">$E$53*D54</f>
        <v>0</v>
      </c>
      <c r="H54" s="150">
        <f t="shared" ref="H54:H60" si="19">$F$53*D54</f>
        <v>3064</v>
      </c>
      <c r="I54" s="150">
        <f>VLOOKUP(C54,Ordering!A:J,6,FALSE)</f>
        <v>1</v>
      </c>
      <c r="J54" s="150">
        <f>VLOOKUP(C54,Ordering!A:J,10,FALSE)</f>
        <v>6.4189189189189184</v>
      </c>
      <c r="K54" s="150">
        <f t="shared" si="2"/>
        <v>3.0640000000000001</v>
      </c>
      <c r="L54" s="150">
        <f t="shared" si="3"/>
        <v>19.667567567567566</v>
      </c>
    </row>
    <row r="55" spans="1:12" x14ac:dyDescent="0.3">
      <c r="A55" s="1"/>
      <c r="B55" s="85" t="s">
        <v>2</v>
      </c>
      <c r="C55" s="85" t="s">
        <v>81</v>
      </c>
      <c r="D55" s="8">
        <v>6</v>
      </c>
      <c r="G55" s="8">
        <f t="shared" si="18"/>
        <v>0</v>
      </c>
      <c r="H55" s="150">
        <f t="shared" si="19"/>
        <v>2298</v>
      </c>
      <c r="I55" s="150">
        <f>VLOOKUP(C55,Ordering!A:J,6,FALSE)</f>
        <v>1</v>
      </c>
      <c r="J55" s="150">
        <f>VLOOKUP(C55,Ordering!A:J,10,FALSE)</f>
        <v>5</v>
      </c>
      <c r="K55" s="150">
        <f t="shared" si="2"/>
        <v>2.298</v>
      </c>
      <c r="L55" s="150">
        <f t="shared" si="3"/>
        <v>11.49</v>
      </c>
    </row>
    <row r="56" spans="1:12" x14ac:dyDescent="0.3">
      <c r="A56" s="1"/>
      <c r="B56" s="85" t="s">
        <v>2</v>
      </c>
      <c r="C56" s="85" t="s">
        <v>84</v>
      </c>
      <c r="D56" s="8">
        <v>3</v>
      </c>
      <c r="G56" s="8">
        <f t="shared" si="18"/>
        <v>0</v>
      </c>
      <c r="H56" s="150">
        <f t="shared" si="19"/>
        <v>1149</v>
      </c>
      <c r="I56" s="150">
        <f>VLOOKUP(C56,Ordering!A:J,6,FALSE)</f>
        <v>1</v>
      </c>
      <c r="J56" s="150">
        <f>VLOOKUP(C56,Ordering!A:J,10,FALSE)</f>
        <v>3.25</v>
      </c>
      <c r="K56" s="150">
        <f t="shared" si="2"/>
        <v>1.149</v>
      </c>
      <c r="L56" s="150">
        <f t="shared" si="3"/>
        <v>3.7342500000000003</v>
      </c>
    </row>
    <row r="57" spans="1:12" x14ac:dyDescent="0.3">
      <c r="A57" s="1"/>
      <c r="B57" s="85" t="s">
        <v>2</v>
      </c>
      <c r="C57" s="85" t="s">
        <v>78</v>
      </c>
      <c r="D57" s="8">
        <v>5</v>
      </c>
      <c r="G57" s="8">
        <f>$E$53*D57</f>
        <v>0</v>
      </c>
      <c r="H57" s="150">
        <f t="shared" si="19"/>
        <v>1915</v>
      </c>
      <c r="I57" s="150">
        <f>VLOOKUP(C57,Ordering!A:J,6,FALSE)</f>
        <v>1</v>
      </c>
      <c r="J57" s="150">
        <f>VLOOKUP(C57,Ordering!A:J,10,FALSE)</f>
        <v>11.243386243386244</v>
      </c>
      <c r="K57" s="150">
        <f t="shared" si="2"/>
        <v>1.915</v>
      </c>
      <c r="L57" s="150">
        <f t="shared" si="3"/>
        <v>21.531084656084658</v>
      </c>
    </row>
    <row r="58" spans="1:12" x14ac:dyDescent="0.3">
      <c r="A58" s="1"/>
      <c r="B58" s="85" t="s">
        <v>2</v>
      </c>
      <c r="C58" s="85" t="s">
        <v>86</v>
      </c>
      <c r="D58" s="8">
        <v>1</v>
      </c>
      <c r="G58" s="8">
        <f t="shared" si="18"/>
        <v>0</v>
      </c>
      <c r="H58" s="150">
        <f t="shared" si="19"/>
        <v>383</v>
      </c>
      <c r="I58" s="150">
        <f>VLOOKUP(C58,Ordering!A:J,6,FALSE)</f>
        <v>1</v>
      </c>
      <c r="J58" s="150">
        <f>VLOOKUP(C58,Ordering!A:J,10,FALSE)</f>
        <v>0.74</v>
      </c>
      <c r="K58" s="150">
        <f t="shared" si="2"/>
        <v>0.38300000000000001</v>
      </c>
      <c r="L58" s="150">
        <f t="shared" si="3"/>
        <v>0.28342000000000001</v>
      </c>
    </row>
    <row r="59" spans="1:12" x14ac:dyDescent="0.3">
      <c r="A59" s="1"/>
      <c r="B59" s="85" t="s">
        <v>2</v>
      </c>
      <c r="C59" s="85" t="s">
        <v>85</v>
      </c>
      <c r="D59" s="8">
        <v>1.5</v>
      </c>
      <c r="G59" s="8">
        <f t="shared" si="18"/>
        <v>0</v>
      </c>
      <c r="H59" s="150">
        <f t="shared" si="19"/>
        <v>574.5</v>
      </c>
      <c r="I59" s="150">
        <f>VLOOKUP(C59,Ordering!A:J,6,FALSE)</f>
        <v>1</v>
      </c>
      <c r="J59" s="150">
        <f>VLOOKUP(C59,Ordering!A:J,10,FALSE)</f>
        <v>31</v>
      </c>
      <c r="K59" s="150">
        <f t="shared" si="2"/>
        <v>0.57450000000000001</v>
      </c>
      <c r="L59" s="150">
        <f t="shared" si="3"/>
        <v>17.8095</v>
      </c>
    </row>
    <row r="60" spans="1:12" x14ac:dyDescent="0.3">
      <c r="A60" s="1"/>
      <c r="B60" s="85" t="s">
        <v>2</v>
      </c>
      <c r="C60" s="85" t="s">
        <v>88</v>
      </c>
      <c r="D60" s="8">
        <v>7</v>
      </c>
      <c r="G60" s="8">
        <f t="shared" si="18"/>
        <v>0</v>
      </c>
      <c r="H60" s="150">
        <f t="shared" si="19"/>
        <v>2681</v>
      </c>
      <c r="I60" s="150">
        <f>VLOOKUP(C60,Ordering!A:J,6,FALSE)</f>
        <v>1</v>
      </c>
      <c r="J60" s="150">
        <f>VLOOKUP(C60,Ordering!A:J,10,FALSE)</f>
        <v>0</v>
      </c>
      <c r="K60" s="150">
        <f t="shared" si="2"/>
        <v>2.681</v>
      </c>
      <c r="L60" s="150">
        <f t="shared" si="3"/>
        <v>0</v>
      </c>
    </row>
    <row r="61" spans="1:12" x14ac:dyDescent="0.3">
      <c r="A61" s="1"/>
      <c r="H61" s="146"/>
      <c r="I61" s="146"/>
      <c r="J61" s="146"/>
      <c r="K61" s="146"/>
      <c r="L61" s="146"/>
    </row>
    <row r="62" spans="1:12" x14ac:dyDescent="0.3">
      <c r="A62" s="1"/>
      <c r="B62" s="66" t="s">
        <v>24</v>
      </c>
      <c r="C62" s="66" t="s">
        <v>180</v>
      </c>
      <c r="D62" s="10">
        <v>30</v>
      </c>
      <c r="E62" s="3">
        <f>VLOOKUP(B62,Table3[#All],2,0)</f>
        <v>0</v>
      </c>
      <c r="F62" s="3">
        <f>VLOOKUP(B62,Table32[#All],2,0)</f>
        <v>232</v>
      </c>
      <c r="G62" s="10">
        <f>$E$62*D62</f>
        <v>0</v>
      </c>
      <c r="H62" s="151">
        <f>$F$62*D62</f>
        <v>6960</v>
      </c>
      <c r="I62" s="151">
        <f>VLOOKUP(C62,Ordering!A:J,6,FALSE)</f>
        <v>0.56999999999999995</v>
      </c>
      <c r="J62" s="151">
        <f>VLOOKUP(C62,Ordering!A:J,10,FALSE)</f>
        <v>8.5</v>
      </c>
      <c r="K62" s="151">
        <f t="shared" si="2"/>
        <v>12.210526315789474</v>
      </c>
      <c r="L62" s="151">
        <f t="shared" si="3"/>
        <v>103.78947368421053</v>
      </c>
    </row>
    <row r="63" spans="1:12" x14ac:dyDescent="0.3">
      <c r="A63" s="1"/>
      <c r="B63" s="66" t="s">
        <v>24</v>
      </c>
      <c r="C63" s="66" t="s">
        <v>159</v>
      </c>
      <c r="D63" s="10">
        <v>80</v>
      </c>
      <c r="G63" s="10">
        <f t="shared" ref="G63:G66" si="20">$E$62*D63</f>
        <v>0</v>
      </c>
      <c r="H63" s="151">
        <f t="shared" ref="H63:H65" si="21">$F$62*D63</f>
        <v>18560</v>
      </c>
      <c r="I63" s="151">
        <f>VLOOKUP(C63,Ordering!A:J,6,FALSE)</f>
        <v>0.81</v>
      </c>
      <c r="J63" s="151">
        <f>VLOOKUP(C63,Ordering!A:J,10,FALSE)</f>
        <v>3</v>
      </c>
      <c r="K63" s="151">
        <f t="shared" si="2"/>
        <v>22.913580246913579</v>
      </c>
      <c r="L63" s="151">
        <f t="shared" si="3"/>
        <v>68.740740740740733</v>
      </c>
    </row>
    <row r="64" spans="1:12" x14ac:dyDescent="0.3">
      <c r="A64" s="1"/>
      <c r="B64" s="66" t="s">
        <v>24</v>
      </c>
      <c r="C64" s="66" t="s">
        <v>73</v>
      </c>
      <c r="D64" s="10">
        <v>25</v>
      </c>
      <c r="G64" s="10">
        <f t="shared" si="20"/>
        <v>0</v>
      </c>
      <c r="H64" s="151">
        <f t="shared" si="21"/>
        <v>5800</v>
      </c>
      <c r="I64" s="151">
        <f>VLOOKUP(C64,Ordering!A:J,6,FALSE)</f>
        <v>1</v>
      </c>
      <c r="J64" s="151">
        <f>VLOOKUP(C64,Ordering!A:J,10,FALSE)</f>
        <v>10.196078431372548</v>
      </c>
      <c r="K64" s="151">
        <f t="shared" si="2"/>
        <v>5.8</v>
      </c>
      <c r="L64" s="151">
        <f t="shared" si="3"/>
        <v>59.13725490196078</v>
      </c>
    </row>
    <row r="65" spans="1:12" x14ac:dyDescent="0.3">
      <c r="A65" s="1"/>
      <c r="B65" s="66" t="s">
        <v>24</v>
      </c>
      <c r="C65" s="66" t="s">
        <v>71</v>
      </c>
      <c r="D65" s="10">
        <v>25</v>
      </c>
      <c r="G65" s="10">
        <f t="shared" si="20"/>
        <v>0</v>
      </c>
      <c r="H65" s="151">
        <f t="shared" si="21"/>
        <v>5800</v>
      </c>
      <c r="I65" s="151">
        <f>VLOOKUP(C65,Ordering!A:J,6,FALSE)</f>
        <v>1</v>
      </c>
      <c r="J65" s="151">
        <f>VLOOKUP(C65,Ordering!A:J,10,FALSE)</f>
        <v>8.3333333333333339</v>
      </c>
      <c r="K65" s="151">
        <f t="shared" si="2"/>
        <v>5.8</v>
      </c>
      <c r="L65" s="151">
        <f t="shared" si="3"/>
        <v>48.333333333333336</v>
      </c>
    </row>
    <row r="66" spans="1:12" x14ac:dyDescent="0.3">
      <c r="A66" s="1"/>
      <c r="B66" s="66" t="s">
        <v>24</v>
      </c>
      <c r="C66" s="66" t="s">
        <v>67</v>
      </c>
      <c r="D66" s="10">
        <v>12</v>
      </c>
      <c r="G66" s="10">
        <f t="shared" si="20"/>
        <v>0</v>
      </c>
      <c r="H66" s="151">
        <f>$F$62*D66</f>
        <v>2784</v>
      </c>
      <c r="I66" s="151">
        <f>VLOOKUP(C66,Ordering!A:J,6,FALSE)</f>
        <v>1</v>
      </c>
      <c r="J66" s="151">
        <f>VLOOKUP(C66,Ordering!A:J,10,FALSE)</f>
        <v>14.999999999999998</v>
      </c>
      <c r="K66" s="151">
        <f t="shared" si="2"/>
        <v>2.7839999999999998</v>
      </c>
      <c r="L66" s="151">
        <f t="shared" si="3"/>
        <v>41.759999999999991</v>
      </c>
    </row>
    <row r="67" spans="1:12" x14ac:dyDescent="0.3">
      <c r="A67" s="1"/>
      <c r="H67" s="146"/>
      <c r="I67" s="146"/>
      <c r="J67" s="146"/>
      <c r="K67" s="146"/>
      <c r="L67" s="146"/>
    </row>
    <row r="68" spans="1:12" x14ac:dyDescent="0.3">
      <c r="A68" s="1"/>
      <c r="B68" s="86" t="s">
        <v>3</v>
      </c>
      <c r="C68" s="86" t="s">
        <v>135</v>
      </c>
      <c r="D68" s="10">
        <v>3</v>
      </c>
      <c r="E68" s="3">
        <f>E62</f>
        <v>0</v>
      </c>
      <c r="F68" s="3">
        <f>F62</f>
        <v>232</v>
      </c>
      <c r="G68" s="10">
        <f>$E$68*D68</f>
        <v>0</v>
      </c>
      <c r="H68" s="151">
        <f>$F$68*D68</f>
        <v>696</v>
      </c>
      <c r="I68" s="151">
        <f>VLOOKUP(C68,Ordering!A:J,6,FALSE)</f>
        <v>0.57894736842105265</v>
      </c>
      <c r="J68" s="151">
        <f>VLOOKUP(C68,Ordering!A:J,10,FALSE)</f>
        <v>3.5</v>
      </c>
      <c r="K68" s="151"/>
      <c r="L68" s="151"/>
    </row>
    <row r="69" spans="1:12" x14ac:dyDescent="0.3">
      <c r="A69" s="1"/>
      <c r="B69" s="86" t="s">
        <v>3</v>
      </c>
      <c r="C69" s="86" t="s">
        <v>151</v>
      </c>
      <c r="D69" s="10">
        <v>3</v>
      </c>
      <c r="G69" s="10">
        <f t="shared" ref="G69:G74" si="22">$E$68*D69</f>
        <v>0</v>
      </c>
      <c r="H69" s="151">
        <f t="shared" ref="H69:H75" si="23">$F$68*D69</f>
        <v>696</v>
      </c>
      <c r="I69" s="151"/>
      <c r="J69" s="151">
        <f>VLOOKUP(C69,Ordering!A:J,10,FALSE)</f>
        <v>3</v>
      </c>
      <c r="K69" s="151" t="e">
        <f t="shared" ref="K69:K130" si="24">((H69/(I69))/1000)</f>
        <v>#DIV/0!</v>
      </c>
      <c r="L69" s="151" t="e">
        <f t="shared" ref="L69:L130" si="25">J69*K69</f>
        <v>#DIV/0!</v>
      </c>
    </row>
    <row r="70" spans="1:12" x14ac:dyDescent="0.3">
      <c r="A70" s="1"/>
      <c r="B70" s="86" t="s">
        <v>3</v>
      </c>
      <c r="C70" s="86" t="s">
        <v>89</v>
      </c>
      <c r="D70" s="10">
        <v>5</v>
      </c>
      <c r="G70" s="10">
        <f t="shared" si="22"/>
        <v>0</v>
      </c>
      <c r="H70" s="151">
        <f t="shared" si="23"/>
        <v>1160</v>
      </c>
      <c r="I70" s="151">
        <f>VLOOKUP(C70,Ordering!A:J,6,FALSE)</f>
        <v>1</v>
      </c>
      <c r="J70" s="151">
        <f>VLOOKUP(C70,Ordering!A:J,10,FALSE)</f>
        <v>6.6959999999999997</v>
      </c>
      <c r="K70" s="151">
        <f t="shared" si="24"/>
        <v>1.1599999999999999</v>
      </c>
      <c r="L70" s="151">
        <f t="shared" si="25"/>
        <v>7.7673599999999992</v>
      </c>
    </row>
    <row r="71" spans="1:12" x14ac:dyDescent="0.3">
      <c r="A71" s="1"/>
      <c r="B71" s="86" t="s">
        <v>3</v>
      </c>
      <c r="C71" s="86" t="s">
        <v>83</v>
      </c>
      <c r="D71" s="10">
        <v>7</v>
      </c>
      <c r="G71" s="10">
        <f t="shared" si="22"/>
        <v>0</v>
      </c>
      <c r="H71" s="151">
        <f t="shared" si="23"/>
        <v>1624</v>
      </c>
      <c r="I71" s="151">
        <f>VLOOKUP(C71,Ordering!A:J,6,FALSE)</f>
        <v>1</v>
      </c>
      <c r="J71" s="151">
        <f>VLOOKUP(C71,Ordering!A:J,10,FALSE)</f>
        <v>4.2033333333333331</v>
      </c>
      <c r="K71" s="151">
        <f t="shared" si="24"/>
        <v>1.6240000000000001</v>
      </c>
      <c r="L71" s="151">
        <f t="shared" si="25"/>
        <v>6.8262133333333335</v>
      </c>
    </row>
    <row r="72" spans="1:12" x14ac:dyDescent="0.3">
      <c r="A72" s="1"/>
      <c r="B72" s="86" t="s">
        <v>3</v>
      </c>
      <c r="C72" s="86" t="s">
        <v>138</v>
      </c>
      <c r="D72" s="10">
        <v>1</v>
      </c>
      <c r="G72" s="10">
        <f t="shared" si="22"/>
        <v>0</v>
      </c>
      <c r="H72" s="151">
        <f t="shared" si="23"/>
        <v>232</v>
      </c>
      <c r="I72" s="151">
        <f>VLOOKUP(C72,Ordering!A:J,6,FALSE)</f>
        <v>0.85</v>
      </c>
      <c r="J72" s="151">
        <f>VLOOKUP(C72,Ordering!A:J,10,FALSE)</f>
        <v>3</v>
      </c>
      <c r="K72" s="151">
        <f t="shared" si="24"/>
        <v>0.27294117647058824</v>
      </c>
      <c r="L72" s="151">
        <f t="shared" si="25"/>
        <v>0.81882352941176473</v>
      </c>
    </row>
    <row r="73" spans="1:12" x14ac:dyDescent="0.3">
      <c r="A73" s="1"/>
      <c r="B73" s="86" t="s">
        <v>3</v>
      </c>
      <c r="C73" s="86" t="s">
        <v>137</v>
      </c>
      <c r="D73" s="10">
        <v>1</v>
      </c>
      <c r="G73" s="10">
        <f t="shared" si="22"/>
        <v>0</v>
      </c>
      <c r="H73" s="151">
        <f t="shared" si="23"/>
        <v>232</v>
      </c>
      <c r="I73" s="151">
        <f>VLOOKUP(C73,Ordering!A:J,6,FALSE)</f>
        <v>0.95</v>
      </c>
      <c r="J73" s="151">
        <f>VLOOKUP(C73,Ordering!A:J,10,FALSE)</f>
        <v>10.5</v>
      </c>
      <c r="K73" s="151">
        <f t="shared" si="24"/>
        <v>0.24421052631578949</v>
      </c>
      <c r="L73" s="151">
        <f t="shared" si="25"/>
        <v>2.5642105263157897</v>
      </c>
    </row>
    <row r="74" spans="1:12" x14ac:dyDescent="0.3">
      <c r="A74" s="1"/>
      <c r="B74" s="86" t="s">
        <v>3</v>
      </c>
      <c r="C74" s="86" t="s">
        <v>86</v>
      </c>
      <c r="D74" s="10">
        <v>1</v>
      </c>
      <c r="G74" s="10">
        <f t="shared" si="22"/>
        <v>0</v>
      </c>
      <c r="H74" s="151">
        <f t="shared" si="23"/>
        <v>232</v>
      </c>
      <c r="I74" s="151">
        <f>VLOOKUP(C74,Ordering!A:J,6,FALSE)</f>
        <v>1</v>
      </c>
      <c r="J74" s="151">
        <f>VLOOKUP(C74,Ordering!A:J,10,FALSE)</f>
        <v>0.74</v>
      </c>
      <c r="K74" s="151">
        <f t="shared" si="24"/>
        <v>0.23200000000000001</v>
      </c>
      <c r="L74" s="151">
        <f t="shared" si="25"/>
        <v>0.17168</v>
      </c>
    </row>
    <row r="75" spans="1:12" x14ac:dyDescent="0.3">
      <c r="A75" s="1"/>
      <c r="B75" s="86" t="s">
        <v>3</v>
      </c>
      <c r="C75" s="86" t="s">
        <v>85</v>
      </c>
      <c r="D75" s="10">
        <v>1.5</v>
      </c>
      <c r="G75" s="10">
        <f>$E$68*D75</f>
        <v>0</v>
      </c>
      <c r="H75" s="151">
        <f t="shared" si="23"/>
        <v>348</v>
      </c>
      <c r="I75" s="151">
        <f>VLOOKUP(C75,Ordering!A:J,6,FALSE)</f>
        <v>1</v>
      </c>
      <c r="J75" s="151">
        <f>VLOOKUP(C75,Ordering!A:J,10,FALSE)</f>
        <v>31</v>
      </c>
      <c r="K75" s="151">
        <f t="shared" si="24"/>
        <v>0.34799999999999998</v>
      </c>
      <c r="L75" s="151">
        <f t="shared" si="25"/>
        <v>10.787999999999998</v>
      </c>
    </row>
    <row r="76" spans="1:12" x14ac:dyDescent="0.3">
      <c r="A76" s="1"/>
      <c r="H76" s="146"/>
      <c r="I76" s="146"/>
      <c r="J76" s="146"/>
      <c r="K76" s="146"/>
      <c r="L76" s="146"/>
    </row>
    <row r="77" spans="1:12" x14ac:dyDescent="0.3">
      <c r="A77" s="1"/>
      <c r="B77" s="87" t="s">
        <v>17</v>
      </c>
      <c r="C77" s="87" t="s">
        <v>78</v>
      </c>
      <c r="D77" s="19">
        <v>3</v>
      </c>
      <c r="E77" s="3">
        <f>E62</f>
        <v>0</v>
      </c>
      <c r="F77" s="3">
        <f>F62</f>
        <v>232</v>
      </c>
      <c r="G77" s="19">
        <f>$E$77*D77</f>
        <v>0</v>
      </c>
      <c r="H77" s="152">
        <f>$F$77*D77</f>
        <v>696</v>
      </c>
      <c r="I77" s="152">
        <f>VLOOKUP(C77,Ordering!A:J,6,FALSE)</f>
        <v>1</v>
      </c>
      <c r="J77" s="152">
        <f>VLOOKUP(C77,Ordering!A:J,10,FALSE)</f>
        <v>11.243386243386244</v>
      </c>
      <c r="K77" s="152">
        <f t="shared" si="24"/>
        <v>0.69599999999999995</v>
      </c>
      <c r="L77" s="152">
        <f t="shared" si="25"/>
        <v>7.8253968253968251</v>
      </c>
    </row>
    <row r="78" spans="1:12" x14ac:dyDescent="0.3">
      <c r="A78" s="1"/>
      <c r="B78" s="87" t="s">
        <v>17</v>
      </c>
      <c r="C78" s="87" t="s">
        <v>89</v>
      </c>
      <c r="D78" s="19">
        <v>8</v>
      </c>
      <c r="G78" s="19">
        <f t="shared" ref="G78:G83" si="26">$E$77*D78</f>
        <v>0</v>
      </c>
      <c r="H78" s="152">
        <f t="shared" ref="H78:H84" si="27">$F$77*D78</f>
        <v>1856</v>
      </c>
      <c r="I78" s="152">
        <f>VLOOKUP(C78,Ordering!A:J,6,FALSE)</f>
        <v>1</v>
      </c>
      <c r="J78" s="152">
        <f>VLOOKUP(C78,Ordering!A:J,10,FALSE)</f>
        <v>6.6959999999999997</v>
      </c>
      <c r="K78" s="152">
        <f t="shared" si="24"/>
        <v>1.8560000000000001</v>
      </c>
      <c r="L78" s="152">
        <f t="shared" si="25"/>
        <v>12.427776</v>
      </c>
    </row>
    <row r="79" spans="1:12" x14ac:dyDescent="0.3">
      <c r="A79" s="1"/>
      <c r="B79" s="87" t="s">
        <v>17</v>
      </c>
      <c r="C79" s="87" t="s">
        <v>83</v>
      </c>
      <c r="D79" s="19">
        <v>7</v>
      </c>
      <c r="G79" s="19">
        <f t="shared" si="26"/>
        <v>0</v>
      </c>
      <c r="H79" s="152">
        <f t="shared" si="27"/>
        <v>1624</v>
      </c>
      <c r="I79" s="152">
        <f>VLOOKUP(C79,Ordering!A:J,6,FALSE)</f>
        <v>1</v>
      </c>
      <c r="J79" s="152">
        <f>VLOOKUP(C79,Ordering!A:J,10,FALSE)</f>
        <v>4.2033333333333331</v>
      </c>
      <c r="K79" s="152">
        <f t="shared" si="24"/>
        <v>1.6240000000000001</v>
      </c>
      <c r="L79" s="152">
        <f t="shared" si="25"/>
        <v>6.8262133333333335</v>
      </c>
    </row>
    <row r="80" spans="1:12" x14ac:dyDescent="0.3">
      <c r="A80" s="1"/>
      <c r="B80" s="87" t="s">
        <v>17</v>
      </c>
      <c r="C80" s="87" t="s">
        <v>138</v>
      </c>
      <c r="D80" s="19">
        <v>1</v>
      </c>
      <c r="G80" s="19">
        <f t="shared" si="26"/>
        <v>0</v>
      </c>
      <c r="H80" s="152">
        <f t="shared" si="27"/>
        <v>232</v>
      </c>
      <c r="I80" s="152">
        <f>VLOOKUP(C80,Ordering!A:J,6,FALSE)</f>
        <v>0.85</v>
      </c>
      <c r="J80" s="152">
        <f>VLOOKUP(C80,Ordering!A:J,10,FALSE)</f>
        <v>3</v>
      </c>
      <c r="K80" s="152">
        <f t="shared" si="24"/>
        <v>0.27294117647058824</v>
      </c>
      <c r="L80" s="152">
        <f t="shared" si="25"/>
        <v>0.81882352941176473</v>
      </c>
    </row>
    <row r="81" spans="1:12" x14ac:dyDescent="0.3">
      <c r="A81" s="1"/>
      <c r="B81" s="87" t="s">
        <v>17</v>
      </c>
      <c r="C81" s="87" t="s">
        <v>137</v>
      </c>
      <c r="D81" s="19">
        <v>1</v>
      </c>
      <c r="G81" s="19">
        <f>$E$77*D81</f>
        <v>0</v>
      </c>
      <c r="H81" s="152">
        <f t="shared" si="27"/>
        <v>232</v>
      </c>
      <c r="I81" s="152">
        <f>VLOOKUP(C81,Ordering!A:J,6,FALSE)</f>
        <v>0.95</v>
      </c>
      <c r="J81" s="152">
        <f>VLOOKUP(C81,Ordering!A:J,10,FALSE)</f>
        <v>10.5</v>
      </c>
      <c r="K81" s="152">
        <f t="shared" si="24"/>
        <v>0.24421052631578949</v>
      </c>
      <c r="L81" s="152">
        <f t="shared" si="25"/>
        <v>2.5642105263157897</v>
      </c>
    </row>
    <row r="82" spans="1:12" x14ac:dyDescent="0.3">
      <c r="A82" s="1"/>
      <c r="B82" s="87" t="s">
        <v>17</v>
      </c>
      <c r="C82" s="87" t="s">
        <v>86</v>
      </c>
      <c r="D82" s="19">
        <v>1</v>
      </c>
      <c r="G82" s="19">
        <f t="shared" si="26"/>
        <v>0</v>
      </c>
      <c r="H82" s="152">
        <f t="shared" si="27"/>
        <v>232</v>
      </c>
      <c r="I82" s="152">
        <f>VLOOKUP(C82,Ordering!A:J,6,FALSE)</f>
        <v>1</v>
      </c>
      <c r="J82" s="152">
        <f>VLOOKUP(C82,Ordering!A:J,10,FALSE)</f>
        <v>0.74</v>
      </c>
      <c r="K82" s="152">
        <f t="shared" si="24"/>
        <v>0.23200000000000001</v>
      </c>
      <c r="L82" s="152">
        <f t="shared" si="25"/>
        <v>0.17168</v>
      </c>
    </row>
    <row r="83" spans="1:12" x14ac:dyDescent="0.3">
      <c r="A83" s="1"/>
      <c r="B83" s="87" t="s">
        <v>17</v>
      </c>
      <c r="C83" s="87" t="s">
        <v>85</v>
      </c>
      <c r="D83" s="19">
        <v>1.5</v>
      </c>
      <c r="G83" s="19">
        <f t="shared" si="26"/>
        <v>0</v>
      </c>
      <c r="H83" s="152">
        <f t="shared" si="27"/>
        <v>348</v>
      </c>
      <c r="I83" s="152">
        <f>VLOOKUP(C83,Ordering!A:J,6,FALSE)</f>
        <v>1</v>
      </c>
      <c r="J83" s="152">
        <f>VLOOKUP(C83,Ordering!A:J,10,FALSE)</f>
        <v>31</v>
      </c>
      <c r="K83" s="152">
        <f t="shared" si="24"/>
        <v>0.34799999999999998</v>
      </c>
      <c r="L83" s="152">
        <f t="shared" si="25"/>
        <v>10.787999999999998</v>
      </c>
    </row>
    <row r="84" spans="1:12" x14ac:dyDescent="0.3">
      <c r="A84" s="1"/>
      <c r="B84" s="87" t="s">
        <v>17</v>
      </c>
      <c r="C84" s="87" t="s">
        <v>88</v>
      </c>
      <c r="D84" s="19">
        <v>5</v>
      </c>
      <c r="G84" s="19">
        <f>$E$77*D84</f>
        <v>0</v>
      </c>
      <c r="H84" s="152">
        <f t="shared" si="27"/>
        <v>1160</v>
      </c>
      <c r="I84" s="152">
        <f>VLOOKUP(C84,Ordering!A:J,6,FALSE)</f>
        <v>1</v>
      </c>
      <c r="J84" s="152">
        <f>VLOOKUP(C84,Ordering!A:J,10,FALSE)</f>
        <v>0</v>
      </c>
      <c r="K84" s="152">
        <f t="shared" si="24"/>
        <v>1.1599999999999999</v>
      </c>
      <c r="L84" s="152">
        <f t="shared" si="25"/>
        <v>0</v>
      </c>
    </row>
    <row r="85" spans="1:12" x14ac:dyDescent="0.3">
      <c r="A85" s="1"/>
      <c r="H85" s="146"/>
      <c r="I85" s="146"/>
      <c r="J85" s="146"/>
      <c r="K85" s="146"/>
      <c r="L85" s="146"/>
    </row>
    <row r="86" spans="1:12" x14ac:dyDescent="0.3">
      <c r="A86" s="1"/>
      <c r="B86" s="67" t="s">
        <v>23</v>
      </c>
      <c r="C86" s="67" t="s">
        <v>184</v>
      </c>
      <c r="D86" s="11">
        <v>40</v>
      </c>
      <c r="E86" s="3">
        <f>VLOOKUP(B86,Table3[#All],2,0)</f>
        <v>0</v>
      </c>
      <c r="F86" s="3">
        <f>VLOOKUP(B86,Table32[#All],2,0)</f>
        <v>181</v>
      </c>
      <c r="G86" s="11">
        <f>$E$86*D86</f>
        <v>0</v>
      </c>
      <c r="H86" s="153">
        <f>$F$86*D86</f>
        <v>7240</v>
      </c>
      <c r="I86" s="153">
        <f>VLOOKUP(C86,Ordering!A:J,6,FALSE)</f>
        <v>1</v>
      </c>
      <c r="J86" s="153">
        <f>VLOOKUP(C86,Ordering!A:J,10,FALSE)</f>
        <v>80</v>
      </c>
      <c r="K86" s="153">
        <f t="shared" si="24"/>
        <v>7.24</v>
      </c>
      <c r="L86" s="153">
        <f t="shared" si="25"/>
        <v>579.20000000000005</v>
      </c>
    </row>
    <row r="87" spans="1:12" x14ac:dyDescent="0.3">
      <c r="A87" s="1"/>
      <c r="B87" s="67" t="s">
        <v>23</v>
      </c>
      <c r="C87" s="67" t="s">
        <v>185</v>
      </c>
      <c r="D87" s="11">
        <v>16</v>
      </c>
      <c r="G87" s="11">
        <f t="shared" ref="G87:G89" si="28">$E$86*D87</f>
        <v>0</v>
      </c>
      <c r="H87" s="153">
        <f t="shared" ref="H87:H90" si="29">$F$86*D87</f>
        <v>2896</v>
      </c>
      <c r="I87" s="153">
        <f>VLOOKUP(C87,Ordering!A:J,6,FALSE)</f>
        <v>1</v>
      </c>
      <c r="J87" s="153">
        <f>VLOOKUP(C87,Ordering!A:J,10,FALSE)</f>
        <v>84</v>
      </c>
      <c r="K87" s="153">
        <f t="shared" si="24"/>
        <v>2.8959999999999999</v>
      </c>
      <c r="L87" s="153">
        <f t="shared" si="25"/>
        <v>243.26399999999998</v>
      </c>
    </row>
    <row r="88" spans="1:12" x14ac:dyDescent="0.3">
      <c r="A88" s="1"/>
      <c r="B88" s="67" t="s">
        <v>23</v>
      </c>
      <c r="C88" s="67" t="s">
        <v>181</v>
      </c>
      <c r="D88" s="11">
        <v>20</v>
      </c>
      <c r="G88" s="11">
        <f t="shared" si="28"/>
        <v>0</v>
      </c>
      <c r="H88" s="153">
        <f t="shared" si="29"/>
        <v>3620</v>
      </c>
      <c r="I88" s="153">
        <f>VLOOKUP(C88,Ordering!A:J,6,FALSE)</f>
        <v>0.77</v>
      </c>
      <c r="J88" s="153">
        <f>VLOOKUP(C88,Ordering!A:J,10,FALSE)</f>
        <v>9</v>
      </c>
      <c r="K88" s="153">
        <f t="shared" si="24"/>
        <v>4.7012987012987013</v>
      </c>
      <c r="L88" s="153">
        <f t="shared" si="25"/>
        <v>42.311688311688314</v>
      </c>
    </row>
    <row r="89" spans="1:12" x14ac:dyDescent="0.3">
      <c r="A89" s="1"/>
      <c r="B89" s="67" t="s">
        <v>23</v>
      </c>
      <c r="C89" s="67" t="s">
        <v>171</v>
      </c>
      <c r="D89" s="11">
        <v>15</v>
      </c>
      <c r="G89" s="11">
        <f t="shared" si="28"/>
        <v>0</v>
      </c>
      <c r="H89" s="153">
        <f t="shared" si="29"/>
        <v>2715</v>
      </c>
      <c r="I89" s="153">
        <f>VLOOKUP(C89,Ordering!A:J,6,FALSE)</f>
        <v>0.58399999999999996</v>
      </c>
      <c r="J89" s="153">
        <f>VLOOKUP(C89,Ordering!A:J,10,FALSE)</f>
        <v>9</v>
      </c>
      <c r="K89" s="153">
        <f t="shared" si="24"/>
        <v>4.6489726027397262</v>
      </c>
      <c r="L89" s="153">
        <f t="shared" si="25"/>
        <v>41.840753424657535</v>
      </c>
    </row>
    <row r="90" spans="1:12" x14ac:dyDescent="0.3">
      <c r="A90" s="1"/>
      <c r="B90" s="67" t="s">
        <v>23</v>
      </c>
      <c r="C90" s="67" t="s">
        <v>175</v>
      </c>
      <c r="D90" s="11">
        <v>3</v>
      </c>
      <c r="G90" s="11">
        <f>$E$86*D90</f>
        <v>0</v>
      </c>
      <c r="H90" s="153">
        <f t="shared" si="29"/>
        <v>543</v>
      </c>
      <c r="I90" s="153">
        <f>VLOOKUP(C90,Ordering!A:J,6,FALSE)</f>
        <v>1</v>
      </c>
      <c r="J90" s="153">
        <f>VLOOKUP(C90,Ordering!A:J,10,FALSE)</f>
        <v>39</v>
      </c>
      <c r="K90" s="153">
        <f t="shared" si="24"/>
        <v>0.54300000000000004</v>
      </c>
      <c r="L90" s="153">
        <f t="shared" si="25"/>
        <v>21.177000000000003</v>
      </c>
    </row>
    <row r="91" spans="1:12" x14ac:dyDescent="0.3">
      <c r="A91" s="1"/>
      <c r="H91" s="146"/>
      <c r="I91" s="146"/>
      <c r="J91" s="146"/>
      <c r="K91" s="146"/>
      <c r="L91" s="146"/>
    </row>
    <row r="92" spans="1:12" x14ac:dyDescent="0.3">
      <c r="A92" s="1"/>
      <c r="B92" s="88" t="s">
        <v>4</v>
      </c>
      <c r="C92" s="88" t="s">
        <v>75</v>
      </c>
      <c r="D92" s="11">
        <v>5</v>
      </c>
      <c r="E92" s="3">
        <f>E86</f>
        <v>0</v>
      </c>
      <c r="F92" s="3">
        <f>F86</f>
        <v>181</v>
      </c>
      <c r="G92" s="11">
        <f>$E$92*D92</f>
        <v>0</v>
      </c>
      <c r="H92" s="153">
        <f>$F$92*D92</f>
        <v>905</v>
      </c>
      <c r="I92" s="153">
        <f>VLOOKUP(C92,Ordering!A:J,6,FALSE)</f>
        <v>1</v>
      </c>
      <c r="J92" s="153">
        <f>VLOOKUP(C92,Ordering!A:J,10,FALSE)</f>
        <v>28.406666666666666</v>
      </c>
      <c r="K92" s="153">
        <f t="shared" si="24"/>
        <v>0.90500000000000003</v>
      </c>
      <c r="L92" s="153">
        <f t="shared" si="25"/>
        <v>25.708033333333333</v>
      </c>
    </row>
    <row r="93" spans="1:12" x14ac:dyDescent="0.3">
      <c r="A93" s="1"/>
      <c r="B93" s="88" t="s">
        <v>4</v>
      </c>
      <c r="C93" s="88" t="s">
        <v>87</v>
      </c>
      <c r="D93" s="11">
        <v>3</v>
      </c>
      <c r="G93" s="11">
        <f t="shared" ref="G93:G98" si="30">$E$92*D93</f>
        <v>0</v>
      </c>
      <c r="H93" s="153">
        <f t="shared" ref="H93:H98" si="31">$F$92*D93</f>
        <v>543</v>
      </c>
      <c r="I93" s="153">
        <f>VLOOKUP(C93,Ordering!A:J,6,FALSE)</f>
        <v>1</v>
      </c>
      <c r="J93" s="153">
        <f>VLOOKUP(C93,Ordering!A:J,10,FALSE)</f>
        <v>3.25</v>
      </c>
      <c r="K93" s="153">
        <f t="shared" si="24"/>
        <v>0.54300000000000004</v>
      </c>
      <c r="L93" s="153">
        <f t="shared" si="25"/>
        <v>1.76475</v>
      </c>
    </row>
    <row r="94" spans="1:12" x14ac:dyDescent="0.3">
      <c r="A94" s="2"/>
      <c r="B94" s="88" t="s">
        <v>4</v>
      </c>
      <c r="C94" s="88" t="s">
        <v>84</v>
      </c>
      <c r="D94" s="11">
        <v>3</v>
      </c>
      <c r="G94" s="11">
        <f t="shared" si="30"/>
        <v>0</v>
      </c>
      <c r="H94" s="153">
        <f t="shared" si="31"/>
        <v>543</v>
      </c>
      <c r="I94" s="153">
        <f>VLOOKUP(C94,Ordering!A:J,6,FALSE)</f>
        <v>1</v>
      </c>
      <c r="J94" s="153">
        <f>VLOOKUP(C94,Ordering!A:J,10,FALSE)</f>
        <v>3.25</v>
      </c>
      <c r="K94" s="153">
        <f t="shared" si="24"/>
        <v>0.54300000000000004</v>
      </c>
      <c r="L94" s="153">
        <f t="shared" si="25"/>
        <v>1.76475</v>
      </c>
    </row>
    <row r="95" spans="1:12" x14ac:dyDescent="0.3">
      <c r="A95" s="1"/>
      <c r="B95" s="88" t="s">
        <v>4</v>
      </c>
      <c r="C95" s="88" t="s">
        <v>80</v>
      </c>
      <c r="D95" s="11">
        <v>5</v>
      </c>
      <c r="G95" s="11">
        <f t="shared" si="30"/>
        <v>0</v>
      </c>
      <c r="H95" s="153">
        <f t="shared" si="31"/>
        <v>905</v>
      </c>
      <c r="I95" s="153">
        <f>VLOOKUP(C95,Ordering!A:J,6,FALSE)</f>
        <v>1</v>
      </c>
      <c r="J95" s="153">
        <f>VLOOKUP(C95,Ordering!A:J,10,FALSE)</f>
        <v>17</v>
      </c>
      <c r="K95" s="153">
        <f t="shared" si="24"/>
        <v>0.90500000000000003</v>
      </c>
      <c r="L95" s="153">
        <f t="shared" si="25"/>
        <v>15.385</v>
      </c>
    </row>
    <row r="96" spans="1:12" x14ac:dyDescent="0.3">
      <c r="A96" s="1"/>
      <c r="B96" s="88" t="s">
        <v>4</v>
      </c>
      <c r="C96" s="88" t="s">
        <v>86</v>
      </c>
      <c r="D96" s="11">
        <v>1</v>
      </c>
      <c r="G96" s="11">
        <f t="shared" si="30"/>
        <v>0</v>
      </c>
      <c r="H96" s="153">
        <f t="shared" si="31"/>
        <v>181</v>
      </c>
      <c r="I96" s="153">
        <f>VLOOKUP(C96,Ordering!A:J,6,FALSE)</f>
        <v>1</v>
      </c>
      <c r="J96" s="153">
        <f>VLOOKUP(C96,Ordering!A:J,10,FALSE)</f>
        <v>0.74</v>
      </c>
      <c r="K96" s="153">
        <f t="shared" si="24"/>
        <v>0.18099999999999999</v>
      </c>
      <c r="L96" s="153">
        <f t="shared" si="25"/>
        <v>0.13394</v>
      </c>
    </row>
    <row r="97" spans="1:12" x14ac:dyDescent="0.3">
      <c r="A97" s="1"/>
      <c r="B97" s="88" t="s">
        <v>4</v>
      </c>
      <c r="C97" s="88" t="s">
        <v>85</v>
      </c>
      <c r="D97" s="11">
        <v>1.5</v>
      </c>
      <c r="G97" s="11">
        <f t="shared" si="30"/>
        <v>0</v>
      </c>
      <c r="H97" s="153">
        <f t="shared" si="31"/>
        <v>271.5</v>
      </c>
      <c r="I97" s="153">
        <f>VLOOKUP(C97,Ordering!A:J,6,FALSE)</f>
        <v>1</v>
      </c>
      <c r="J97" s="153">
        <f>VLOOKUP(C97,Ordering!A:J,10,FALSE)</f>
        <v>31</v>
      </c>
      <c r="K97" s="153">
        <f t="shared" si="24"/>
        <v>0.27150000000000002</v>
      </c>
      <c r="L97" s="153">
        <f t="shared" si="25"/>
        <v>8.416500000000001</v>
      </c>
    </row>
    <row r="98" spans="1:12" x14ac:dyDescent="0.3">
      <c r="A98" s="1"/>
      <c r="B98" s="88" t="s">
        <v>4</v>
      </c>
      <c r="C98" s="88" t="s">
        <v>88</v>
      </c>
      <c r="D98" s="11">
        <v>5</v>
      </c>
      <c r="G98" s="11">
        <f t="shared" si="30"/>
        <v>0</v>
      </c>
      <c r="H98" s="153">
        <f t="shared" si="31"/>
        <v>905</v>
      </c>
      <c r="I98" s="153">
        <f>VLOOKUP(C98,Ordering!A:J,6,FALSE)</f>
        <v>1</v>
      </c>
      <c r="J98" s="153">
        <f>VLOOKUP(C98,Ordering!A:J,10,FALSE)</f>
        <v>0</v>
      </c>
      <c r="K98" s="153">
        <f t="shared" si="24"/>
        <v>0.90500000000000003</v>
      </c>
      <c r="L98" s="153">
        <f t="shared" si="25"/>
        <v>0</v>
      </c>
    </row>
    <row r="99" spans="1:12" x14ac:dyDescent="0.3">
      <c r="A99" s="1"/>
      <c r="H99" s="146"/>
      <c r="I99" s="146"/>
      <c r="J99" s="146"/>
      <c r="K99" s="146"/>
      <c r="L99" s="146"/>
    </row>
    <row r="100" spans="1:12" x14ac:dyDescent="0.3">
      <c r="A100" s="1"/>
      <c r="B100" s="69" t="s">
        <v>27</v>
      </c>
      <c r="C100" s="69" t="s">
        <v>71</v>
      </c>
      <c r="D100" s="13">
        <v>30</v>
      </c>
      <c r="E100" s="3">
        <f>VLOOKUP(B100,Table3[#All],2,0)</f>
        <v>0</v>
      </c>
      <c r="F100" s="3">
        <f>VLOOKUP(B100,Table32[#All],2,0)</f>
        <v>428</v>
      </c>
      <c r="G100" s="13">
        <f>$E$100*D100</f>
        <v>0</v>
      </c>
      <c r="H100" s="154">
        <f>$F$100*D100</f>
        <v>12840</v>
      </c>
      <c r="I100" s="154">
        <f>VLOOKUP(C100,Ordering!A:J,6,FALSE)</f>
        <v>1</v>
      </c>
      <c r="J100" s="154">
        <f>VLOOKUP(C100,Ordering!A:J,10,FALSE)</f>
        <v>8.3333333333333339</v>
      </c>
      <c r="K100" s="154">
        <f t="shared" si="24"/>
        <v>12.84</v>
      </c>
      <c r="L100" s="154">
        <f t="shared" si="25"/>
        <v>107</v>
      </c>
    </row>
    <row r="101" spans="1:12" x14ac:dyDescent="0.3">
      <c r="A101" s="1"/>
      <c r="B101" s="69" t="s">
        <v>27</v>
      </c>
      <c r="C101" s="69" t="s">
        <v>160</v>
      </c>
      <c r="D101" s="13">
        <v>40</v>
      </c>
      <c r="G101" s="13">
        <f t="shared" ref="G101:G103" si="32">$E$100*D101</f>
        <v>0</v>
      </c>
      <c r="H101" s="154">
        <f t="shared" ref="H101:H103" si="33">$F$100*D101</f>
        <v>17120</v>
      </c>
      <c r="I101" s="154">
        <f>VLOOKUP(C101,Ordering!A:J,6,FALSE)</f>
        <v>1</v>
      </c>
      <c r="J101" s="154">
        <f>VLOOKUP(C101,Ordering!A:J,10,FALSE)</f>
        <v>24</v>
      </c>
      <c r="K101" s="154">
        <f t="shared" si="24"/>
        <v>17.12</v>
      </c>
      <c r="L101" s="154">
        <f t="shared" si="25"/>
        <v>410.88</v>
      </c>
    </row>
    <row r="102" spans="1:12" x14ac:dyDescent="0.3">
      <c r="A102" s="1"/>
      <c r="B102" s="69" t="s">
        <v>27</v>
      </c>
      <c r="C102" s="69" t="s">
        <v>180</v>
      </c>
      <c r="D102" s="13">
        <v>40</v>
      </c>
      <c r="G102" s="13">
        <f t="shared" si="32"/>
        <v>0</v>
      </c>
      <c r="H102" s="154">
        <f t="shared" si="33"/>
        <v>17120</v>
      </c>
      <c r="I102" s="154">
        <f>VLOOKUP(C102,Ordering!A:J,6,FALSE)</f>
        <v>0.56999999999999995</v>
      </c>
      <c r="J102" s="154">
        <f>VLOOKUP(C102,Ordering!A:J,10,FALSE)</f>
        <v>8.5</v>
      </c>
      <c r="K102" s="154">
        <f t="shared" si="24"/>
        <v>30.035087719298247</v>
      </c>
      <c r="L102" s="154">
        <f t="shared" si="25"/>
        <v>255.2982456140351</v>
      </c>
    </row>
    <row r="103" spans="1:12" x14ac:dyDescent="0.3">
      <c r="A103" s="1"/>
      <c r="B103" s="69" t="s">
        <v>27</v>
      </c>
      <c r="C103" s="69" t="s">
        <v>73</v>
      </c>
      <c r="D103" s="13">
        <v>30</v>
      </c>
      <c r="G103" s="13">
        <f t="shared" si="32"/>
        <v>0</v>
      </c>
      <c r="H103" s="154">
        <f t="shared" si="33"/>
        <v>12840</v>
      </c>
      <c r="I103" s="154">
        <f>VLOOKUP(C103,Ordering!A:J,6,FALSE)</f>
        <v>1</v>
      </c>
      <c r="J103" s="154">
        <f>VLOOKUP(C103,Ordering!A:J,10,FALSE)</f>
        <v>10.196078431372548</v>
      </c>
      <c r="K103" s="154">
        <f t="shared" si="24"/>
        <v>12.84</v>
      </c>
      <c r="L103" s="154">
        <f t="shared" si="25"/>
        <v>130.91764705882352</v>
      </c>
    </row>
    <row r="104" spans="1:12" x14ac:dyDescent="0.3">
      <c r="A104" s="1"/>
      <c r="H104" s="146"/>
      <c r="I104" s="146"/>
      <c r="J104" s="146"/>
      <c r="K104" s="146"/>
      <c r="L104" s="146"/>
    </row>
    <row r="105" spans="1:12" x14ac:dyDescent="0.3">
      <c r="A105" s="1"/>
      <c r="B105" s="89" t="s">
        <v>6</v>
      </c>
      <c r="C105" s="89" t="s">
        <v>165</v>
      </c>
      <c r="D105" s="13">
        <v>6</v>
      </c>
      <c r="E105" s="3">
        <f>E100</f>
        <v>0</v>
      </c>
      <c r="F105" s="3">
        <f>F100</f>
        <v>428</v>
      </c>
      <c r="G105" s="13">
        <f>$E$105*D105</f>
        <v>0</v>
      </c>
      <c r="H105" s="154">
        <f>$F$105*D105</f>
        <v>2568</v>
      </c>
      <c r="I105" s="154">
        <f>VLOOKUP(C105,Ordering!A:J,6,FALSE)</f>
        <v>1</v>
      </c>
      <c r="J105" s="154">
        <f>VLOOKUP(C105,Ordering!A:J,10,FALSE)</f>
        <v>25.520833333333336</v>
      </c>
      <c r="K105" s="154">
        <f t="shared" si="24"/>
        <v>2.5680000000000001</v>
      </c>
      <c r="L105" s="154">
        <f t="shared" si="25"/>
        <v>65.537500000000009</v>
      </c>
    </row>
    <row r="106" spans="1:12" x14ac:dyDescent="0.3">
      <c r="A106" s="1"/>
      <c r="B106" s="89" t="s">
        <v>6</v>
      </c>
      <c r="C106" s="89" t="s">
        <v>168</v>
      </c>
      <c r="D106" s="13">
        <v>8</v>
      </c>
      <c r="G106" s="13">
        <f t="shared" ref="G106:G109" si="34">$E$105*D106</f>
        <v>0</v>
      </c>
      <c r="H106" s="154">
        <f t="shared" ref="H106:H109" si="35">$F$105*D106</f>
        <v>3424</v>
      </c>
      <c r="I106" s="154">
        <f>VLOOKUP(C106,Ordering!A:J,6,FALSE)</f>
        <v>0.6428571428571429</v>
      </c>
      <c r="J106" s="154">
        <f>VLOOKUP(C106,Ordering!A:J,10,FALSE)</f>
        <v>3.6363636363636367</v>
      </c>
      <c r="K106" s="154">
        <f t="shared" si="24"/>
        <v>5.3262222222222215</v>
      </c>
      <c r="L106" s="154">
        <f t="shared" si="25"/>
        <v>19.368080808080808</v>
      </c>
    </row>
    <row r="107" spans="1:12" x14ac:dyDescent="0.3">
      <c r="A107" s="1"/>
      <c r="B107" s="89" t="s">
        <v>6</v>
      </c>
      <c r="C107" s="89" t="s">
        <v>82</v>
      </c>
      <c r="D107" s="13">
        <v>5</v>
      </c>
      <c r="G107" s="13">
        <f t="shared" si="34"/>
        <v>0</v>
      </c>
      <c r="H107" s="154">
        <f t="shared" si="35"/>
        <v>2140</v>
      </c>
      <c r="I107" s="154">
        <f>VLOOKUP(C107,Ordering!A:J,6,FALSE)</f>
        <v>1</v>
      </c>
      <c r="J107" s="154">
        <f>VLOOKUP(C107,Ordering!A:J,10,FALSE)</f>
        <v>6.4189189189189184</v>
      </c>
      <c r="K107" s="154">
        <f t="shared" si="24"/>
        <v>2.14</v>
      </c>
      <c r="L107" s="154">
        <f t="shared" si="25"/>
        <v>13.736486486486486</v>
      </c>
    </row>
    <row r="108" spans="1:12" x14ac:dyDescent="0.3">
      <c r="A108" s="1"/>
      <c r="B108" s="89" t="s">
        <v>6</v>
      </c>
      <c r="C108" s="89" t="s">
        <v>76</v>
      </c>
      <c r="D108" s="13">
        <v>4</v>
      </c>
      <c r="G108" s="13">
        <f t="shared" si="34"/>
        <v>0</v>
      </c>
      <c r="H108" s="154">
        <f t="shared" si="35"/>
        <v>1712</v>
      </c>
      <c r="I108" s="154">
        <f>VLOOKUP(C108,Ordering!A:J,6,FALSE)</f>
        <v>1</v>
      </c>
      <c r="J108" s="154">
        <f>VLOOKUP(C108,Ordering!A:J,10,FALSE)</f>
        <v>6.5</v>
      </c>
      <c r="K108" s="154">
        <f t="shared" si="24"/>
        <v>1.712</v>
      </c>
      <c r="L108" s="154">
        <f t="shared" si="25"/>
        <v>11.128</v>
      </c>
    </row>
    <row r="109" spans="1:12" x14ac:dyDescent="0.3">
      <c r="A109" s="1"/>
      <c r="B109" s="89" t="s">
        <v>6</v>
      </c>
      <c r="C109" s="89" t="s">
        <v>88</v>
      </c>
      <c r="D109" s="13">
        <v>1.5</v>
      </c>
      <c r="G109" s="13">
        <f t="shared" si="34"/>
        <v>0</v>
      </c>
      <c r="H109" s="154">
        <f t="shared" si="35"/>
        <v>642</v>
      </c>
      <c r="I109" s="154">
        <f>VLOOKUP(C109,Ordering!A:J,6,FALSE)</f>
        <v>1</v>
      </c>
      <c r="J109" s="154">
        <f>VLOOKUP(C109,Ordering!A:J,10,FALSE)</f>
        <v>0</v>
      </c>
      <c r="K109" s="154">
        <f t="shared" si="24"/>
        <v>0.64200000000000002</v>
      </c>
      <c r="L109" s="154">
        <f t="shared" si="25"/>
        <v>0</v>
      </c>
    </row>
    <row r="110" spans="1:12" x14ac:dyDescent="0.3">
      <c r="A110" s="1"/>
      <c r="H110" s="146"/>
      <c r="I110" s="146"/>
      <c r="J110" s="146"/>
      <c r="K110" s="146"/>
      <c r="L110" s="146"/>
    </row>
    <row r="111" spans="1:12" x14ac:dyDescent="0.3">
      <c r="A111" s="1"/>
      <c r="B111" s="70" t="s">
        <v>22</v>
      </c>
      <c r="C111" s="70" t="s">
        <v>160</v>
      </c>
      <c r="D111" s="14">
        <v>40</v>
      </c>
      <c r="E111" s="3">
        <f>VLOOKUP(B111,Table3[#All],2,0)</f>
        <v>0</v>
      </c>
      <c r="F111" s="3">
        <f>VLOOKUP(B111,Table32[#All],2,0)</f>
        <v>123</v>
      </c>
      <c r="G111" s="14">
        <f>$E$111*D111</f>
        <v>0</v>
      </c>
      <c r="H111" s="155">
        <f>$F$111*D111</f>
        <v>4920</v>
      </c>
      <c r="I111" s="155">
        <f>VLOOKUP(C111,Ordering!A:J,6,FALSE)</f>
        <v>1</v>
      </c>
      <c r="J111" s="155">
        <f>VLOOKUP(C111,Ordering!A:J,10,FALSE)</f>
        <v>24</v>
      </c>
      <c r="K111" s="155">
        <f t="shared" si="24"/>
        <v>4.92</v>
      </c>
      <c r="L111" s="155">
        <f t="shared" si="25"/>
        <v>118.08</v>
      </c>
    </row>
    <row r="112" spans="1:12" x14ac:dyDescent="0.3">
      <c r="A112" s="1"/>
      <c r="B112" s="70" t="s">
        <v>22</v>
      </c>
      <c r="C112" s="70" t="s">
        <v>120</v>
      </c>
      <c r="D112" s="14">
        <v>11</v>
      </c>
      <c r="G112" s="14">
        <f t="shared" ref="G112:G117" si="36">$E$111*D112</f>
        <v>0</v>
      </c>
      <c r="H112" s="155">
        <f t="shared" ref="H112:H116" si="37">$F$111*D112</f>
        <v>1353</v>
      </c>
      <c r="I112" s="155">
        <f>VLOOKUP(C112,Ordering!A:J,6,FALSE)</f>
        <v>1</v>
      </c>
      <c r="J112" s="155">
        <f>VLOOKUP(C112,Ordering!A:J,10,FALSE)</f>
        <v>21.527777777777779</v>
      </c>
      <c r="K112" s="155">
        <f t="shared" si="24"/>
        <v>1.353</v>
      </c>
      <c r="L112" s="155">
        <f t="shared" si="25"/>
        <v>29.127083333333335</v>
      </c>
    </row>
    <row r="113" spans="1:12" x14ac:dyDescent="0.3">
      <c r="A113" s="1"/>
      <c r="B113" s="70" t="s">
        <v>22</v>
      </c>
      <c r="C113" s="70" t="s">
        <v>179</v>
      </c>
      <c r="D113" s="14">
        <v>1</v>
      </c>
      <c r="G113" s="14">
        <f t="shared" si="36"/>
        <v>0</v>
      </c>
      <c r="H113" s="155">
        <f t="shared" si="37"/>
        <v>123</v>
      </c>
      <c r="I113" s="155">
        <f>VLOOKUP(C113,Ordering!A:J,6,FALSE)</f>
        <v>0.95</v>
      </c>
      <c r="J113" s="155">
        <f>VLOOKUP(C113,Ordering!A:J,10,FALSE)</f>
        <v>90</v>
      </c>
      <c r="K113" s="155">
        <f t="shared" si="24"/>
        <v>0.12947368421052632</v>
      </c>
      <c r="L113" s="155">
        <f t="shared" si="25"/>
        <v>11.65263157894737</v>
      </c>
    </row>
    <row r="114" spans="1:12" x14ac:dyDescent="0.3">
      <c r="A114" s="1"/>
      <c r="B114" s="70" t="s">
        <v>22</v>
      </c>
      <c r="C114" s="70" t="s">
        <v>68</v>
      </c>
      <c r="D114" s="14">
        <v>1</v>
      </c>
      <c r="G114" s="14">
        <f t="shared" si="36"/>
        <v>0</v>
      </c>
      <c r="H114" s="155">
        <f t="shared" si="37"/>
        <v>123</v>
      </c>
      <c r="I114" s="155">
        <f>VLOOKUP(C114,Ordering!A:J,6,FALSE)</f>
        <v>1</v>
      </c>
      <c r="J114" s="155">
        <f>VLOOKUP(C114,Ordering!A:J,10,FALSE)</f>
        <v>147.88732394366198</v>
      </c>
      <c r="K114" s="155">
        <f t="shared" si="24"/>
        <v>0.123</v>
      </c>
      <c r="L114" s="155">
        <f t="shared" si="25"/>
        <v>18.190140845070424</v>
      </c>
    </row>
    <row r="115" spans="1:12" x14ac:dyDescent="0.3">
      <c r="A115" s="1"/>
      <c r="B115" s="70" t="s">
        <v>22</v>
      </c>
      <c r="C115" s="70" t="s">
        <v>187</v>
      </c>
      <c r="D115" s="14">
        <v>70</v>
      </c>
      <c r="G115" s="14">
        <f t="shared" si="36"/>
        <v>0</v>
      </c>
      <c r="H115" s="155">
        <f t="shared" si="37"/>
        <v>8610</v>
      </c>
      <c r="I115" s="155">
        <f>VLOOKUP(C115,Ordering!A:J,6,FALSE)</f>
        <v>0.7</v>
      </c>
      <c r="J115" s="155">
        <f>VLOOKUP(C115,Ordering!A:J,10,FALSE)</f>
        <v>3</v>
      </c>
      <c r="K115" s="155">
        <f t="shared" si="24"/>
        <v>12.3</v>
      </c>
      <c r="L115" s="155">
        <f t="shared" si="25"/>
        <v>36.900000000000006</v>
      </c>
    </row>
    <row r="116" spans="1:12" x14ac:dyDescent="0.3">
      <c r="A116" s="1"/>
      <c r="B116" s="70" t="s">
        <v>22</v>
      </c>
      <c r="C116" s="70" t="s">
        <v>136</v>
      </c>
      <c r="D116" s="14">
        <v>30</v>
      </c>
      <c r="G116" s="14">
        <f t="shared" si="36"/>
        <v>0</v>
      </c>
      <c r="H116" s="155">
        <f t="shared" si="37"/>
        <v>3690</v>
      </c>
      <c r="I116" s="155">
        <f>VLOOKUP(C116,Ordering!A:J,6,FALSE)</f>
        <v>0.64900000000000002</v>
      </c>
      <c r="J116" s="155">
        <f>VLOOKUP(C116,Ordering!A:J,10,FALSE)</f>
        <v>2.6</v>
      </c>
      <c r="K116" s="155">
        <f t="shared" si="24"/>
        <v>5.6856702619414481</v>
      </c>
      <c r="L116" s="155">
        <f t="shared" si="25"/>
        <v>14.782742681047765</v>
      </c>
    </row>
    <row r="117" spans="1:12" x14ac:dyDescent="0.3">
      <c r="A117" s="1"/>
      <c r="B117" s="70" t="s">
        <v>22</v>
      </c>
      <c r="C117" s="70" t="s">
        <v>159</v>
      </c>
      <c r="D117" s="14">
        <v>60</v>
      </c>
      <c r="G117" s="14">
        <f t="shared" si="36"/>
        <v>0</v>
      </c>
      <c r="H117" s="155">
        <f>$F$111*D117</f>
        <v>7380</v>
      </c>
      <c r="I117" s="155">
        <f>VLOOKUP(C117,Ordering!A:J,6,FALSE)</f>
        <v>0.81</v>
      </c>
      <c r="J117" s="155">
        <f>VLOOKUP(C117,Ordering!A:J,10,FALSE)</f>
        <v>3</v>
      </c>
      <c r="K117" s="155">
        <f t="shared" si="24"/>
        <v>9.1111111111111107</v>
      </c>
      <c r="L117" s="155">
        <f t="shared" si="25"/>
        <v>27.333333333333332</v>
      </c>
    </row>
    <row r="118" spans="1:12" x14ac:dyDescent="0.3">
      <c r="A118" s="1"/>
      <c r="H118" s="146"/>
      <c r="I118" s="146"/>
      <c r="J118" s="146"/>
      <c r="K118" s="146"/>
      <c r="L118" s="146"/>
    </row>
    <row r="119" spans="1:12" x14ac:dyDescent="0.3">
      <c r="A119" s="1"/>
      <c r="B119" s="90" t="s">
        <v>7</v>
      </c>
      <c r="C119" s="90" t="s">
        <v>81</v>
      </c>
      <c r="D119" s="14">
        <v>8</v>
      </c>
      <c r="E119" s="3">
        <f>E111</f>
        <v>0</v>
      </c>
      <c r="F119" s="3">
        <f>F111</f>
        <v>123</v>
      </c>
      <c r="G119" s="14">
        <f>$E$119*D119</f>
        <v>0</v>
      </c>
      <c r="H119" s="155">
        <f>$F$119*D119</f>
        <v>984</v>
      </c>
      <c r="I119" s="155">
        <f>VLOOKUP(C119,Ordering!A:J,6,FALSE)</f>
        <v>1</v>
      </c>
      <c r="J119" s="155">
        <f>VLOOKUP(C119,Ordering!A:J,10,FALSE)</f>
        <v>5</v>
      </c>
      <c r="K119" s="155">
        <f t="shared" si="24"/>
        <v>0.98399999999999999</v>
      </c>
      <c r="L119" s="155">
        <f t="shared" si="25"/>
        <v>4.92</v>
      </c>
    </row>
    <row r="120" spans="1:12" x14ac:dyDescent="0.3">
      <c r="A120" s="1"/>
      <c r="B120" s="90" t="s">
        <v>7</v>
      </c>
      <c r="C120" s="90" t="s">
        <v>84</v>
      </c>
      <c r="D120" s="14">
        <v>3</v>
      </c>
      <c r="G120" s="14">
        <f t="shared" ref="G120:G125" si="38">$E$119*D120</f>
        <v>0</v>
      </c>
      <c r="H120" s="155">
        <f t="shared" ref="H120:H124" si="39">$F$119*D120</f>
        <v>369</v>
      </c>
      <c r="I120" s="155">
        <f>VLOOKUP(C120,Ordering!A:J,6,FALSE)</f>
        <v>1</v>
      </c>
      <c r="J120" s="155">
        <f>VLOOKUP(C120,Ordering!A:J,10,FALSE)</f>
        <v>3.25</v>
      </c>
      <c r="K120" s="155">
        <f t="shared" si="24"/>
        <v>0.36899999999999999</v>
      </c>
      <c r="L120" s="155">
        <f t="shared" si="25"/>
        <v>1.1992499999999999</v>
      </c>
    </row>
    <row r="121" spans="1:12" x14ac:dyDescent="0.3">
      <c r="A121" s="1"/>
      <c r="B121" s="90" t="s">
        <v>7</v>
      </c>
      <c r="C121" s="90" t="s">
        <v>80</v>
      </c>
      <c r="D121" s="14">
        <v>5</v>
      </c>
      <c r="G121" s="14">
        <f t="shared" si="38"/>
        <v>0</v>
      </c>
      <c r="H121" s="155">
        <f t="shared" si="39"/>
        <v>615</v>
      </c>
      <c r="I121" s="155">
        <f>VLOOKUP(C121,Ordering!A:J,6,FALSE)</f>
        <v>1</v>
      </c>
      <c r="J121" s="155">
        <f>VLOOKUP(C121,Ordering!A:J,10,FALSE)</f>
        <v>17</v>
      </c>
      <c r="K121" s="155">
        <f t="shared" si="24"/>
        <v>0.61499999999999999</v>
      </c>
      <c r="L121" s="155">
        <f t="shared" si="25"/>
        <v>10.455</v>
      </c>
    </row>
    <row r="122" spans="1:12" x14ac:dyDescent="0.3">
      <c r="A122" s="1"/>
      <c r="B122" s="90" t="s">
        <v>7</v>
      </c>
      <c r="C122" s="90" t="s">
        <v>68</v>
      </c>
      <c r="D122" s="14">
        <v>1</v>
      </c>
      <c r="G122" s="14">
        <f t="shared" si="38"/>
        <v>0</v>
      </c>
      <c r="H122" s="155">
        <f t="shared" si="39"/>
        <v>123</v>
      </c>
      <c r="I122" s="155">
        <f>VLOOKUP(C122,Ordering!A:J,6,FALSE)</f>
        <v>1</v>
      </c>
      <c r="J122" s="155">
        <f>VLOOKUP(C122,Ordering!A:J,10,FALSE)</f>
        <v>147.88732394366198</v>
      </c>
      <c r="K122" s="155">
        <f t="shared" si="24"/>
        <v>0.123</v>
      </c>
      <c r="L122" s="155">
        <f t="shared" si="25"/>
        <v>18.190140845070424</v>
      </c>
    </row>
    <row r="123" spans="1:12" x14ac:dyDescent="0.3">
      <c r="B123" s="90" t="s">
        <v>7</v>
      </c>
      <c r="C123" s="90" t="s">
        <v>86</v>
      </c>
      <c r="D123" s="14">
        <v>1</v>
      </c>
      <c r="G123" s="14">
        <f t="shared" si="38"/>
        <v>0</v>
      </c>
      <c r="H123" s="155">
        <f t="shared" si="39"/>
        <v>123</v>
      </c>
      <c r="I123" s="155">
        <f>VLOOKUP(C123,Ordering!A:J,6,FALSE)</f>
        <v>1</v>
      </c>
      <c r="J123" s="155">
        <f>VLOOKUP(C123,Ordering!A:J,10,FALSE)</f>
        <v>0.74</v>
      </c>
      <c r="K123" s="155">
        <f t="shared" si="24"/>
        <v>0.123</v>
      </c>
      <c r="L123" s="155">
        <f t="shared" si="25"/>
        <v>9.1020000000000004E-2</v>
      </c>
    </row>
    <row r="124" spans="1:12" x14ac:dyDescent="0.3">
      <c r="B124" s="90" t="s">
        <v>7</v>
      </c>
      <c r="C124" s="90" t="s">
        <v>85</v>
      </c>
      <c r="D124" s="14">
        <v>1.5</v>
      </c>
      <c r="G124" s="14">
        <f t="shared" si="38"/>
        <v>0</v>
      </c>
      <c r="H124" s="155">
        <f t="shared" si="39"/>
        <v>184.5</v>
      </c>
      <c r="I124" s="155">
        <f>VLOOKUP(C124,Ordering!A:J,6,FALSE)</f>
        <v>1</v>
      </c>
      <c r="J124" s="155">
        <f>VLOOKUP(C124,Ordering!A:J,10,FALSE)</f>
        <v>31</v>
      </c>
      <c r="K124" s="155">
        <f t="shared" si="24"/>
        <v>0.1845</v>
      </c>
      <c r="L124" s="155">
        <f t="shared" si="25"/>
        <v>5.7195</v>
      </c>
    </row>
    <row r="125" spans="1:12" x14ac:dyDescent="0.3">
      <c r="B125" s="90" t="s">
        <v>7</v>
      </c>
      <c r="C125" s="90" t="s">
        <v>88</v>
      </c>
      <c r="D125" s="14">
        <v>5</v>
      </c>
      <c r="G125" s="14">
        <f t="shared" si="38"/>
        <v>0</v>
      </c>
      <c r="H125" s="155">
        <f>$F$119*D125</f>
        <v>615</v>
      </c>
      <c r="I125" s="155">
        <f>VLOOKUP(C125,Ordering!A:J,6,FALSE)</f>
        <v>1</v>
      </c>
      <c r="J125" s="155">
        <f>VLOOKUP(C125,Ordering!A:J,10,FALSE)</f>
        <v>0</v>
      </c>
      <c r="K125" s="155">
        <f t="shared" si="24"/>
        <v>0.61499999999999999</v>
      </c>
      <c r="L125" s="155">
        <f t="shared" si="25"/>
        <v>0</v>
      </c>
    </row>
    <row r="126" spans="1:12" x14ac:dyDescent="0.3">
      <c r="H126" s="146"/>
      <c r="I126" s="146"/>
      <c r="J126" s="146"/>
      <c r="K126" s="146"/>
      <c r="L126" s="146"/>
    </row>
    <row r="127" spans="1:12" x14ac:dyDescent="0.3">
      <c r="B127" s="68" t="s">
        <v>28</v>
      </c>
      <c r="C127" s="68" t="s">
        <v>170</v>
      </c>
      <c r="D127" s="12">
        <v>30</v>
      </c>
      <c r="E127" s="3">
        <f>VLOOKUP(B127,Table3[#All],2,0)</f>
        <v>0</v>
      </c>
      <c r="F127" s="3">
        <f>VLOOKUP(B127,Table32[#All],2,0)</f>
        <v>92</v>
      </c>
      <c r="G127" s="12">
        <f>$E$127*D127</f>
        <v>0</v>
      </c>
      <c r="H127" s="156">
        <f>$F$127*D127</f>
        <v>2760</v>
      </c>
      <c r="I127" s="156">
        <f>VLOOKUP(C127,Ordering!A:J,6,FALSE)</f>
        <v>0.99</v>
      </c>
      <c r="J127" s="156">
        <f>VLOOKUP(C127,Ordering!A:J,10,FALSE)</f>
        <v>22</v>
      </c>
      <c r="K127" s="156">
        <f t="shared" si="24"/>
        <v>2.7878787878787881</v>
      </c>
      <c r="L127" s="156">
        <f t="shared" si="25"/>
        <v>61.333333333333336</v>
      </c>
    </row>
    <row r="128" spans="1:12" x14ac:dyDescent="0.3">
      <c r="B128" s="68" t="s">
        <v>28</v>
      </c>
      <c r="C128" s="68" t="s">
        <v>184</v>
      </c>
      <c r="D128" s="12">
        <v>40</v>
      </c>
      <c r="G128" s="12">
        <f t="shared" ref="G128:G130" si="40">$E$127*D128</f>
        <v>0</v>
      </c>
      <c r="H128" s="156">
        <f t="shared" ref="H128:H129" si="41">$F$127*D128</f>
        <v>3680</v>
      </c>
      <c r="I128" s="156">
        <f>VLOOKUP(C128,Ordering!A:J,6,FALSE)</f>
        <v>1</v>
      </c>
      <c r="J128" s="156">
        <f>VLOOKUP(C128,Ordering!A:J,10,FALSE)</f>
        <v>80</v>
      </c>
      <c r="K128" s="156">
        <f t="shared" si="24"/>
        <v>3.68</v>
      </c>
      <c r="L128" s="156">
        <f t="shared" si="25"/>
        <v>294.40000000000003</v>
      </c>
    </row>
    <row r="129" spans="2:12" x14ac:dyDescent="0.3">
      <c r="B129" s="68" t="s">
        <v>28</v>
      </c>
      <c r="C129" s="68" t="s">
        <v>139</v>
      </c>
      <c r="D129" s="12">
        <v>30</v>
      </c>
      <c r="G129" s="12">
        <f t="shared" si="40"/>
        <v>0</v>
      </c>
      <c r="H129" s="156">
        <f t="shared" si="41"/>
        <v>2760</v>
      </c>
      <c r="I129" s="156">
        <f>VLOOKUP(C129,Ordering!A:J,6,FALSE)</f>
        <v>0.5</v>
      </c>
      <c r="J129" s="156">
        <f>VLOOKUP(C129,Ordering!A:J,10,FALSE)</f>
        <v>4.5</v>
      </c>
      <c r="K129" s="156">
        <f t="shared" si="24"/>
        <v>5.52</v>
      </c>
      <c r="L129" s="156">
        <f t="shared" si="25"/>
        <v>24.839999999999996</v>
      </c>
    </row>
    <row r="130" spans="2:12" x14ac:dyDescent="0.3">
      <c r="B130" s="68" t="s">
        <v>28</v>
      </c>
      <c r="C130" s="68" t="s">
        <v>171</v>
      </c>
      <c r="D130" s="12">
        <v>15</v>
      </c>
      <c r="G130" s="12">
        <f t="shared" si="40"/>
        <v>0</v>
      </c>
      <c r="H130" s="156">
        <f>$F$127*D130</f>
        <v>1380</v>
      </c>
      <c r="I130" s="156">
        <f>VLOOKUP(C130,Ordering!A:J,6,FALSE)</f>
        <v>0.58399999999999996</v>
      </c>
      <c r="J130" s="156">
        <f>VLOOKUP(C130,Ordering!A:J,10,FALSE)</f>
        <v>9</v>
      </c>
      <c r="K130" s="156">
        <f t="shared" si="24"/>
        <v>2.3630136986301373</v>
      </c>
      <c r="L130" s="156">
        <f t="shared" si="25"/>
        <v>21.267123287671236</v>
      </c>
    </row>
    <row r="131" spans="2:12" x14ac:dyDescent="0.3">
      <c r="H131" s="146"/>
      <c r="I131" s="146"/>
      <c r="J131" s="146"/>
      <c r="K131" s="146"/>
      <c r="L131" s="146"/>
    </row>
    <row r="132" spans="2:12" x14ac:dyDescent="0.3">
      <c r="B132" s="91" t="s">
        <v>5</v>
      </c>
      <c r="C132" s="91" t="s">
        <v>170</v>
      </c>
      <c r="D132" s="12">
        <v>8</v>
      </c>
      <c r="E132" s="3">
        <f>E127</f>
        <v>0</v>
      </c>
      <c r="F132" s="3">
        <f>F127</f>
        <v>92</v>
      </c>
      <c r="G132" s="12">
        <f>$E$132*D132</f>
        <v>0</v>
      </c>
      <c r="H132" s="156">
        <f>$F$132*D132</f>
        <v>736</v>
      </c>
      <c r="I132" s="156">
        <f>VLOOKUP(C132,Ordering!A:J,6,FALSE)</f>
        <v>0.99</v>
      </c>
      <c r="J132" s="156">
        <f>VLOOKUP(C132,Ordering!A:J,10,FALSE)</f>
        <v>22</v>
      </c>
      <c r="K132" s="156">
        <f t="shared" ref="K132:K194" si="42">((H132/(I132))/1000)</f>
        <v>0.74343434343434345</v>
      </c>
      <c r="L132" s="156">
        <f t="shared" ref="L132:L194" si="43">J132*K132</f>
        <v>16.355555555555554</v>
      </c>
    </row>
    <row r="133" spans="2:12" x14ac:dyDescent="0.3">
      <c r="B133" s="91" t="s">
        <v>5</v>
      </c>
      <c r="C133" s="91" t="s">
        <v>138</v>
      </c>
      <c r="D133" s="12">
        <v>1</v>
      </c>
      <c r="G133" s="12">
        <f t="shared" ref="G133:G140" si="44">$E$132*D133</f>
        <v>0</v>
      </c>
      <c r="H133" s="156">
        <f t="shared" ref="H133:H140" si="45">$F$132*D133</f>
        <v>92</v>
      </c>
      <c r="I133" s="156">
        <f>VLOOKUP(C133,Ordering!A:J,6,FALSE)</f>
        <v>0.85</v>
      </c>
      <c r="J133" s="156">
        <f>VLOOKUP(C133,Ordering!A:J,10,FALSE)</f>
        <v>3</v>
      </c>
      <c r="K133" s="156">
        <f t="shared" si="42"/>
        <v>0.10823529411764705</v>
      </c>
      <c r="L133" s="156">
        <f t="shared" si="43"/>
        <v>0.32470588235294118</v>
      </c>
    </row>
    <row r="134" spans="2:12" x14ac:dyDescent="0.3">
      <c r="B134" s="91" t="s">
        <v>5</v>
      </c>
      <c r="C134" s="91" t="s">
        <v>137</v>
      </c>
      <c r="D134" s="12">
        <v>1</v>
      </c>
      <c r="G134" s="12">
        <f t="shared" si="44"/>
        <v>0</v>
      </c>
      <c r="H134" s="156">
        <f t="shared" si="45"/>
        <v>92</v>
      </c>
      <c r="I134" s="156">
        <f>VLOOKUP(C134,Ordering!A:J,6,FALSE)</f>
        <v>0.95</v>
      </c>
      <c r="J134" s="156">
        <f>VLOOKUP(C134,Ordering!A:J,10,FALSE)</f>
        <v>10.5</v>
      </c>
      <c r="K134" s="156">
        <f t="shared" si="42"/>
        <v>9.684210526315791E-2</v>
      </c>
      <c r="L134" s="156">
        <f t="shared" si="43"/>
        <v>1.016842105263158</v>
      </c>
    </row>
    <row r="135" spans="2:12" x14ac:dyDescent="0.3">
      <c r="B135" s="91" t="s">
        <v>5</v>
      </c>
      <c r="C135" s="91" t="s">
        <v>81</v>
      </c>
      <c r="D135" s="12">
        <v>5</v>
      </c>
      <c r="G135" s="12">
        <f t="shared" si="44"/>
        <v>0</v>
      </c>
      <c r="H135" s="156">
        <f t="shared" si="45"/>
        <v>460</v>
      </c>
      <c r="I135" s="156">
        <f>VLOOKUP(C135,Ordering!A:J,6,FALSE)</f>
        <v>1</v>
      </c>
      <c r="J135" s="156">
        <f>VLOOKUP(C135,Ordering!A:J,10,FALSE)</f>
        <v>5</v>
      </c>
      <c r="K135" s="156">
        <f t="shared" si="42"/>
        <v>0.46</v>
      </c>
      <c r="L135" s="156">
        <f t="shared" si="43"/>
        <v>2.3000000000000003</v>
      </c>
    </row>
    <row r="136" spans="2:12" x14ac:dyDescent="0.3">
      <c r="B136" s="91" t="s">
        <v>5</v>
      </c>
      <c r="C136" s="91" t="s">
        <v>77</v>
      </c>
      <c r="D136" s="12">
        <v>5</v>
      </c>
      <c r="G136" s="12">
        <f t="shared" si="44"/>
        <v>0</v>
      </c>
      <c r="H136" s="156">
        <f t="shared" si="45"/>
        <v>460</v>
      </c>
      <c r="I136" s="156">
        <f>VLOOKUP(C136,Ordering!A:J,6,FALSE)</f>
        <v>1</v>
      </c>
      <c r="J136" s="156">
        <f>VLOOKUP(C136,Ordering!A:J,10,FALSE)</f>
        <v>12.666666666666666</v>
      </c>
      <c r="K136" s="156">
        <f t="shared" si="42"/>
        <v>0.46</v>
      </c>
      <c r="L136" s="156">
        <f t="shared" si="43"/>
        <v>5.8266666666666662</v>
      </c>
    </row>
    <row r="137" spans="2:12" x14ac:dyDescent="0.3">
      <c r="B137" s="91" t="s">
        <v>5</v>
      </c>
      <c r="C137" s="91" t="s">
        <v>86</v>
      </c>
      <c r="D137" s="12">
        <v>1</v>
      </c>
      <c r="G137" s="12">
        <f t="shared" si="44"/>
        <v>0</v>
      </c>
      <c r="H137" s="156">
        <f t="shared" si="45"/>
        <v>92</v>
      </c>
      <c r="I137" s="156">
        <f>VLOOKUP(C137,Ordering!A:J,6,FALSE)</f>
        <v>1</v>
      </c>
      <c r="J137" s="156">
        <f>VLOOKUP(C137,Ordering!A:J,10,FALSE)</f>
        <v>0.74</v>
      </c>
      <c r="K137" s="156">
        <f t="shared" si="42"/>
        <v>9.1999999999999998E-2</v>
      </c>
      <c r="L137" s="156">
        <f t="shared" si="43"/>
        <v>6.8080000000000002E-2</v>
      </c>
    </row>
    <row r="138" spans="2:12" x14ac:dyDescent="0.3">
      <c r="B138" s="91" t="s">
        <v>5</v>
      </c>
      <c r="C138" s="91" t="s">
        <v>85</v>
      </c>
      <c r="D138" s="12">
        <v>1.5</v>
      </c>
      <c r="G138" s="12">
        <f t="shared" si="44"/>
        <v>0</v>
      </c>
      <c r="H138" s="156">
        <f t="shared" si="45"/>
        <v>138</v>
      </c>
      <c r="I138" s="156">
        <f>VLOOKUP(C138,Ordering!A:J,6,FALSE)</f>
        <v>1</v>
      </c>
      <c r="J138" s="156">
        <f>VLOOKUP(C138,Ordering!A:J,10,FALSE)</f>
        <v>31</v>
      </c>
      <c r="K138" s="156">
        <f t="shared" si="42"/>
        <v>0.13800000000000001</v>
      </c>
      <c r="L138" s="156">
        <f t="shared" si="43"/>
        <v>4.2780000000000005</v>
      </c>
    </row>
    <row r="139" spans="2:12" x14ac:dyDescent="0.3">
      <c r="B139" s="91" t="s">
        <v>5</v>
      </c>
      <c r="C139" s="91" t="s">
        <v>84</v>
      </c>
      <c r="D139" s="12">
        <v>3</v>
      </c>
      <c r="G139" s="12">
        <f t="shared" si="44"/>
        <v>0</v>
      </c>
      <c r="H139" s="156">
        <f t="shared" si="45"/>
        <v>276</v>
      </c>
      <c r="I139" s="156">
        <f>VLOOKUP(C139,Ordering!A:J,6,FALSE)</f>
        <v>1</v>
      </c>
      <c r="J139" s="156">
        <f>VLOOKUP(C139,Ordering!A:J,10,FALSE)</f>
        <v>3.25</v>
      </c>
      <c r="K139" s="156">
        <f t="shared" si="42"/>
        <v>0.27600000000000002</v>
      </c>
      <c r="L139" s="156">
        <f t="shared" si="43"/>
        <v>0.89700000000000002</v>
      </c>
    </row>
    <row r="140" spans="2:12" x14ac:dyDescent="0.3">
      <c r="B140" s="91" t="s">
        <v>5</v>
      </c>
      <c r="C140" s="91" t="s">
        <v>88</v>
      </c>
      <c r="D140" s="12">
        <v>5</v>
      </c>
      <c r="G140" s="12">
        <f t="shared" si="44"/>
        <v>0</v>
      </c>
      <c r="H140" s="156">
        <f t="shared" si="45"/>
        <v>460</v>
      </c>
      <c r="I140" s="156">
        <f>VLOOKUP(C140,Ordering!A:J,6,FALSE)</f>
        <v>1</v>
      </c>
      <c r="J140" s="156">
        <f>VLOOKUP(C140,Ordering!A:J,10,FALSE)</f>
        <v>0</v>
      </c>
      <c r="K140" s="156">
        <f t="shared" si="42"/>
        <v>0.46</v>
      </c>
      <c r="L140" s="156">
        <f t="shared" si="43"/>
        <v>0</v>
      </c>
    </row>
    <row r="141" spans="2:12" x14ac:dyDescent="0.3">
      <c r="H141" s="146"/>
      <c r="I141" s="146"/>
      <c r="J141" s="146"/>
      <c r="K141" s="146"/>
      <c r="L141" s="146"/>
    </row>
    <row r="142" spans="2:12" x14ac:dyDescent="0.3">
      <c r="B142" s="71" t="s">
        <v>30</v>
      </c>
      <c r="C142" s="71" t="s">
        <v>184</v>
      </c>
      <c r="D142" s="15">
        <v>35</v>
      </c>
      <c r="E142" s="3">
        <f>VLOOKUP(B142,Table3[#All],2,0)</f>
        <v>0</v>
      </c>
      <c r="F142" s="3">
        <f>VLOOKUP(B142,Table32[#All],2,0)</f>
        <v>145</v>
      </c>
      <c r="G142" s="15">
        <f>$E$142*D142</f>
        <v>0</v>
      </c>
      <c r="H142" s="157">
        <f>$F$142*D142</f>
        <v>5075</v>
      </c>
      <c r="I142" s="157">
        <f>VLOOKUP(C142,Ordering!A:J,6,FALSE)</f>
        <v>1</v>
      </c>
      <c r="J142" s="157">
        <f>VLOOKUP(C142,Ordering!A:J,10,FALSE)</f>
        <v>80</v>
      </c>
      <c r="K142" s="157">
        <f t="shared" si="42"/>
        <v>5.0750000000000002</v>
      </c>
      <c r="L142" s="157">
        <f t="shared" si="43"/>
        <v>406</v>
      </c>
    </row>
    <row r="143" spans="2:12" x14ac:dyDescent="0.3">
      <c r="B143" s="71" t="s">
        <v>30</v>
      </c>
      <c r="C143" s="71" t="s">
        <v>120</v>
      </c>
      <c r="D143" s="15">
        <v>11</v>
      </c>
      <c r="G143" s="15">
        <f t="shared" ref="G143:G145" si="46">$E$142*D143</f>
        <v>0</v>
      </c>
      <c r="H143" s="157">
        <f t="shared" ref="H143:H145" si="47">$F$142*D143</f>
        <v>1595</v>
      </c>
      <c r="I143" s="157">
        <f>VLOOKUP(C143,Ordering!A:J,6,FALSE)</f>
        <v>1</v>
      </c>
      <c r="J143" s="157">
        <f>VLOOKUP(C143,Ordering!A:J,10,FALSE)</f>
        <v>21.527777777777779</v>
      </c>
      <c r="K143" s="157">
        <f t="shared" si="42"/>
        <v>1.595</v>
      </c>
      <c r="L143" s="157">
        <f t="shared" si="43"/>
        <v>34.336805555555557</v>
      </c>
    </row>
    <row r="144" spans="2:12" x14ac:dyDescent="0.3">
      <c r="B144" s="71" t="s">
        <v>30</v>
      </c>
      <c r="C144" s="71" t="s">
        <v>167</v>
      </c>
      <c r="D144" s="15">
        <v>3</v>
      </c>
      <c r="G144" s="15">
        <f t="shared" si="46"/>
        <v>0</v>
      </c>
      <c r="H144" s="157">
        <f t="shared" si="47"/>
        <v>435</v>
      </c>
      <c r="I144" s="157">
        <f>VLOOKUP(C144,Ordering!A:J,6,FALSE)</f>
        <v>1</v>
      </c>
      <c r="J144" s="157">
        <f>VLOOKUP(C144,Ordering!A:J,10,FALSE)</f>
        <v>70</v>
      </c>
      <c r="K144" s="157">
        <f t="shared" si="42"/>
        <v>0.435</v>
      </c>
      <c r="L144" s="157">
        <f t="shared" si="43"/>
        <v>30.45</v>
      </c>
    </row>
    <row r="145" spans="2:12" x14ac:dyDescent="0.3">
      <c r="B145" s="71" t="s">
        <v>30</v>
      </c>
      <c r="C145" s="71" t="s">
        <v>169</v>
      </c>
      <c r="D145" s="15">
        <v>20</v>
      </c>
      <c r="G145" s="15">
        <f t="shared" si="46"/>
        <v>0</v>
      </c>
      <c r="H145" s="157">
        <f t="shared" si="47"/>
        <v>2900</v>
      </c>
      <c r="I145" s="157">
        <f>VLOOKUP(C145,Ordering!A:J,6,FALSE)</f>
        <v>0.75</v>
      </c>
      <c r="J145" s="157">
        <f>VLOOKUP(C145,Ordering!A:J,10,FALSE)</f>
        <v>45</v>
      </c>
      <c r="K145" s="157">
        <f t="shared" si="42"/>
        <v>3.8666666666666667</v>
      </c>
      <c r="L145" s="157">
        <f t="shared" si="43"/>
        <v>174</v>
      </c>
    </row>
    <row r="146" spans="2:12" x14ac:dyDescent="0.3">
      <c r="H146" s="146"/>
      <c r="I146" s="146"/>
      <c r="J146" s="146"/>
      <c r="K146" s="146"/>
      <c r="L146" s="146"/>
    </row>
    <row r="147" spans="2:12" x14ac:dyDescent="0.3">
      <c r="B147" s="92" t="s">
        <v>20</v>
      </c>
      <c r="C147" s="92" t="s">
        <v>121</v>
      </c>
      <c r="D147" s="15">
        <v>10</v>
      </c>
      <c r="E147" s="3">
        <f>E142</f>
        <v>0</v>
      </c>
      <c r="F147" s="3">
        <f>F142</f>
        <v>145</v>
      </c>
      <c r="G147" s="15">
        <f>$E$147*D147</f>
        <v>0</v>
      </c>
      <c r="H147" s="157">
        <f>$F$147*D147</f>
        <v>1450</v>
      </c>
      <c r="I147" s="157">
        <f>VLOOKUP(C147,Ordering!A:J,6,FALSE)</f>
        <v>1</v>
      </c>
      <c r="J147" s="157">
        <f>VLOOKUP(C147,Ordering!A:J,10,FALSE)</f>
        <v>4.333333333333333</v>
      </c>
      <c r="K147" s="157">
        <f t="shared" si="42"/>
        <v>1.45</v>
      </c>
      <c r="L147" s="157">
        <f t="shared" si="43"/>
        <v>6.2833333333333323</v>
      </c>
    </row>
    <row r="148" spans="2:12" x14ac:dyDescent="0.3">
      <c r="B148" s="92" t="s">
        <v>20</v>
      </c>
      <c r="C148" s="92" t="s">
        <v>81</v>
      </c>
      <c r="D148" s="15">
        <v>5</v>
      </c>
      <c r="G148" s="15">
        <f t="shared" ref="G148:G152" si="48">$E$147*D148</f>
        <v>0</v>
      </c>
      <c r="H148" s="157">
        <f t="shared" ref="H148:H152" si="49">$F$147*D148</f>
        <v>725</v>
      </c>
      <c r="I148" s="157">
        <f>VLOOKUP(C148,Ordering!A:J,6,FALSE)</f>
        <v>1</v>
      </c>
      <c r="J148" s="157">
        <f>VLOOKUP(C148,Ordering!A:J,10,FALSE)</f>
        <v>5</v>
      </c>
      <c r="K148" s="157">
        <f t="shared" si="42"/>
        <v>0.72499999999999998</v>
      </c>
      <c r="L148" s="157">
        <f t="shared" si="43"/>
        <v>3.625</v>
      </c>
    </row>
    <row r="149" spans="2:12" x14ac:dyDescent="0.3">
      <c r="B149" s="92" t="s">
        <v>20</v>
      </c>
      <c r="C149" s="92" t="s">
        <v>80</v>
      </c>
      <c r="D149" s="15">
        <v>2</v>
      </c>
      <c r="G149" s="15">
        <f t="shared" si="48"/>
        <v>0</v>
      </c>
      <c r="H149" s="157">
        <f t="shared" si="49"/>
        <v>290</v>
      </c>
      <c r="I149" s="157">
        <f>VLOOKUP(C149,Ordering!A:J,6,FALSE)</f>
        <v>1</v>
      </c>
      <c r="J149" s="157">
        <f>VLOOKUP(C149,Ordering!A:J,10,FALSE)</f>
        <v>17</v>
      </c>
      <c r="K149" s="157">
        <f t="shared" si="42"/>
        <v>0.28999999999999998</v>
      </c>
      <c r="L149" s="157">
        <f t="shared" si="43"/>
        <v>4.93</v>
      </c>
    </row>
    <row r="150" spans="2:12" x14ac:dyDescent="0.3">
      <c r="B150" s="92" t="s">
        <v>20</v>
      </c>
      <c r="C150" s="92" t="s">
        <v>86</v>
      </c>
      <c r="D150" s="15">
        <v>1</v>
      </c>
      <c r="G150" s="15">
        <f t="shared" si="48"/>
        <v>0</v>
      </c>
      <c r="H150" s="157">
        <f t="shared" si="49"/>
        <v>145</v>
      </c>
      <c r="I150" s="157">
        <f>VLOOKUP(C150,Ordering!A:J,6,FALSE)</f>
        <v>1</v>
      </c>
      <c r="J150" s="157">
        <f>VLOOKUP(C150,Ordering!A:J,10,FALSE)</f>
        <v>0.74</v>
      </c>
      <c r="K150" s="157">
        <f t="shared" si="42"/>
        <v>0.14499999999999999</v>
      </c>
      <c r="L150" s="157">
        <f t="shared" si="43"/>
        <v>0.10729999999999999</v>
      </c>
    </row>
    <row r="151" spans="2:12" x14ac:dyDescent="0.3">
      <c r="B151" s="92" t="s">
        <v>20</v>
      </c>
      <c r="C151" s="92" t="s">
        <v>85</v>
      </c>
      <c r="D151" s="15">
        <v>1.5</v>
      </c>
      <c r="G151" s="15">
        <f t="shared" si="48"/>
        <v>0</v>
      </c>
      <c r="H151" s="157">
        <f t="shared" si="49"/>
        <v>217.5</v>
      </c>
      <c r="I151" s="157">
        <f>VLOOKUP(C151,Ordering!A:J,6,FALSE)</f>
        <v>1</v>
      </c>
      <c r="J151" s="157">
        <f>VLOOKUP(C151,Ordering!A:J,10,FALSE)</f>
        <v>31</v>
      </c>
      <c r="K151" s="157">
        <f t="shared" si="42"/>
        <v>0.2175</v>
      </c>
      <c r="L151" s="157">
        <f t="shared" si="43"/>
        <v>6.7424999999999997</v>
      </c>
    </row>
    <row r="152" spans="2:12" x14ac:dyDescent="0.3">
      <c r="B152" s="92" t="s">
        <v>20</v>
      </c>
      <c r="C152" s="92" t="s">
        <v>88</v>
      </c>
      <c r="D152" s="15">
        <v>5</v>
      </c>
      <c r="G152" s="15">
        <f t="shared" si="48"/>
        <v>0</v>
      </c>
      <c r="H152" s="157">
        <f t="shared" si="49"/>
        <v>725</v>
      </c>
      <c r="I152" s="157">
        <f>VLOOKUP(C152,Ordering!A:J,6,FALSE)</f>
        <v>1</v>
      </c>
      <c r="J152" s="157">
        <f>VLOOKUP(C152,Ordering!A:J,10,FALSE)</f>
        <v>0</v>
      </c>
      <c r="K152" s="157">
        <f t="shared" si="42"/>
        <v>0.72499999999999998</v>
      </c>
      <c r="L152" s="157">
        <f t="shared" si="43"/>
        <v>0</v>
      </c>
    </row>
    <row r="153" spans="2:12" x14ac:dyDescent="0.3">
      <c r="H153" s="146"/>
      <c r="I153" s="146"/>
      <c r="J153" s="146"/>
      <c r="K153" s="146"/>
      <c r="L153" s="146"/>
    </row>
    <row r="154" spans="2:12" x14ac:dyDescent="0.3">
      <c r="B154" s="72" t="s">
        <v>9</v>
      </c>
      <c r="C154" s="72" t="s">
        <v>158</v>
      </c>
      <c r="D154" s="16">
        <v>25</v>
      </c>
      <c r="E154" s="3">
        <f>VLOOKUP(B154,Table3[#All],2,0)</f>
        <v>135</v>
      </c>
      <c r="F154" s="3">
        <f>VLOOKUP(B154,Table32[#All],2,0)</f>
        <v>135</v>
      </c>
      <c r="G154" s="16">
        <f>$E$154*D154</f>
        <v>3375</v>
      </c>
      <c r="H154" s="158">
        <f>$F$154*D154</f>
        <v>3375</v>
      </c>
      <c r="I154" s="158">
        <f>VLOOKUP(C154,Ordering!A:J,6,FALSE)</f>
        <v>0.55000000000000004</v>
      </c>
      <c r="J154" s="158">
        <f>VLOOKUP(C154,Ordering!A:J,10,FALSE)</f>
        <v>25</v>
      </c>
      <c r="K154" s="158">
        <f t="shared" si="42"/>
        <v>6.1363636363636358</v>
      </c>
      <c r="L154" s="158">
        <f t="shared" si="43"/>
        <v>153.40909090909091</v>
      </c>
    </row>
    <row r="155" spans="2:12" x14ac:dyDescent="0.3">
      <c r="B155" s="72" t="s">
        <v>9</v>
      </c>
      <c r="C155" s="72" t="s">
        <v>139</v>
      </c>
      <c r="D155" s="16">
        <v>30</v>
      </c>
      <c r="G155" s="16">
        <f t="shared" ref="G155:G168" si="50">$E$154*D155</f>
        <v>4050</v>
      </c>
      <c r="H155" s="158">
        <f t="shared" ref="H155:H158" si="51">$F$154*D155</f>
        <v>4050</v>
      </c>
      <c r="I155" s="158">
        <f>VLOOKUP(C155,Ordering!A:J,6,FALSE)</f>
        <v>0.5</v>
      </c>
      <c r="J155" s="158">
        <f>VLOOKUP(C155,Ordering!A:J,10,FALSE)</f>
        <v>4.5</v>
      </c>
      <c r="K155" s="158">
        <f t="shared" si="42"/>
        <v>8.1</v>
      </c>
      <c r="L155" s="158">
        <f t="shared" si="43"/>
        <v>36.449999999999996</v>
      </c>
    </row>
    <row r="156" spans="2:12" x14ac:dyDescent="0.3">
      <c r="B156" s="72" t="s">
        <v>9</v>
      </c>
      <c r="C156" s="72" t="s">
        <v>136</v>
      </c>
      <c r="D156" s="16">
        <v>30</v>
      </c>
      <c r="G156" s="16">
        <f t="shared" si="50"/>
        <v>4050</v>
      </c>
      <c r="H156" s="158">
        <f t="shared" si="51"/>
        <v>4050</v>
      </c>
      <c r="I156" s="158">
        <f>VLOOKUP(C156,Ordering!A:J,6,FALSE)</f>
        <v>0.64900000000000002</v>
      </c>
      <c r="J156" s="158">
        <f>VLOOKUP(C156,Ordering!A:J,10,FALSE)</f>
        <v>2.6</v>
      </c>
      <c r="K156" s="158">
        <f t="shared" si="42"/>
        <v>6.2403697996918339</v>
      </c>
      <c r="L156" s="158">
        <f t="shared" si="43"/>
        <v>16.224961479198768</v>
      </c>
    </row>
    <row r="157" spans="2:12" x14ac:dyDescent="0.3">
      <c r="B157" s="72" t="s">
        <v>9</v>
      </c>
      <c r="C157" s="72" t="s">
        <v>178</v>
      </c>
      <c r="D157" s="16">
        <v>11</v>
      </c>
      <c r="G157" s="16">
        <f t="shared" si="50"/>
        <v>1485</v>
      </c>
      <c r="H157" s="158">
        <f t="shared" si="51"/>
        <v>1485</v>
      </c>
      <c r="I157" s="158">
        <f>VLOOKUP(C157,Ordering!A:J,6,FALSE)</f>
        <v>1</v>
      </c>
      <c r="J157" s="158">
        <f>VLOOKUP(C157,Ordering!A:J,10,FALSE)</f>
        <v>136</v>
      </c>
      <c r="K157" s="158">
        <f t="shared" si="42"/>
        <v>1.4850000000000001</v>
      </c>
      <c r="L157" s="158">
        <f t="shared" si="43"/>
        <v>201.96</v>
      </c>
    </row>
    <row r="158" spans="2:12" x14ac:dyDescent="0.3">
      <c r="B158" s="72" t="s">
        <v>9</v>
      </c>
      <c r="C158" s="72" t="s">
        <v>160</v>
      </c>
      <c r="D158" s="16">
        <v>40</v>
      </c>
      <c r="G158" s="16">
        <f t="shared" si="50"/>
        <v>5400</v>
      </c>
      <c r="H158" s="158">
        <f t="shared" si="51"/>
        <v>5400</v>
      </c>
      <c r="I158" s="158">
        <f>VLOOKUP(C158,Ordering!A:J,6,FALSE)</f>
        <v>1</v>
      </c>
      <c r="J158" s="158">
        <f>VLOOKUP(C158,Ordering!A:J,10,FALSE)</f>
        <v>24</v>
      </c>
      <c r="K158" s="158">
        <f t="shared" si="42"/>
        <v>5.4</v>
      </c>
      <c r="L158" s="158">
        <f t="shared" si="43"/>
        <v>129.60000000000002</v>
      </c>
    </row>
    <row r="159" spans="2:12" x14ac:dyDescent="0.3">
      <c r="B159" s="72" t="s">
        <v>9</v>
      </c>
      <c r="C159" s="72" t="s">
        <v>175</v>
      </c>
      <c r="D159" s="16">
        <v>3</v>
      </c>
      <c r="G159" s="16">
        <f t="shared" si="50"/>
        <v>405</v>
      </c>
      <c r="H159" s="158">
        <f>$F$154*D159</f>
        <v>405</v>
      </c>
      <c r="I159" s="158">
        <f>VLOOKUP(C159,Ordering!A:J,6,FALSE)</f>
        <v>1</v>
      </c>
      <c r="J159" s="158">
        <f>VLOOKUP(C159,Ordering!A:J,10,FALSE)</f>
        <v>39</v>
      </c>
      <c r="K159" s="158">
        <f t="shared" si="42"/>
        <v>0.40500000000000003</v>
      </c>
      <c r="L159" s="158">
        <f t="shared" si="43"/>
        <v>15.795000000000002</v>
      </c>
    </row>
    <row r="160" spans="2:12" x14ac:dyDescent="0.3">
      <c r="H160" s="146"/>
      <c r="I160" s="146"/>
      <c r="J160" s="146"/>
      <c r="K160" s="146"/>
      <c r="L160" s="146"/>
    </row>
    <row r="161" spans="2:12" x14ac:dyDescent="0.3">
      <c r="B161" s="93" t="s">
        <v>8</v>
      </c>
      <c r="C161" s="93" t="s">
        <v>78</v>
      </c>
      <c r="D161" s="16">
        <v>3</v>
      </c>
      <c r="E161" s="3">
        <f>E154</f>
        <v>135</v>
      </c>
      <c r="F161" s="3">
        <f>F154</f>
        <v>135</v>
      </c>
      <c r="G161" s="16">
        <f t="shared" si="50"/>
        <v>405</v>
      </c>
      <c r="H161" s="158">
        <f>$F$161*D161</f>
        <v>405</v>
      </c>
      <c r="I161" s="158">
        <f>VLOOKUP(C161,Ordering!A:J,6,FALSE)</f>
        <v>1</v>
      </c>
      <c r="J161" s="158">
        <f>VLOOKUP(C161,Ordering!A:J,10,FALSE)</f>
        <v>11.243386243386244</v>
      </c>
      <c r="K161" s="158">
        <f t="shared" si="42"/>
        <v>0.40500000000000003</v>
      </c>
      <c r="L161" s="158">
        <f t="shared" si="43"/>
        <v>4.5535714285714288</v>
      </c>
    </row>
    <row r="162" spans="2:12" x14ac:dyDescent="0.3">
      <c r="B162" s="93" t="s">
        <v>8</v>
      </c>
      <c r="C162" s="93" t="s">
        <v>80</v>
      </c>
      <c r="D162" s="16">
        <v>5</v>
      </c>
      <c r="G162" s="16">
        <f t="shared" si="50"/>
        <v>675</v>
      </c>
      <c r="H162" s="158">
        <f t="shared" ref="H162:H168" si="52">$F$161*D162</f>
        <v>675</v>
      </c>
      <c r="I162" s="158">
        <f>VLOOKUP(C162,Ordering!A:J,6,FALSE)</f>
        <v>1</v>
      </c>
      <c r="J162" s="158">
        <f>VLOOKUP(C162,Ordering!A:J,10,FALSE)</f>
        <v>17</v>
      </c>
      <c r="K162" s="158">
        <f t="shared" si="42"/>
        <v>0.67500000000000004</v>
      </c>
      <c r="L162" s="158">
        <f t="shared" si="43"/>
        <v>11.475000000000001</v>
      </c>
    </row>
    <row r="163" spans="2:12" x14ac:dyDescent="0.3">
      <c r="B163" s="93" t="s">
        <v>8</v>
      </c>
      <c r="C163" s="93" t="s">
        <v>74</v>
      </c>
      <c r="D163" s="16">
        <v>5</v>
      </c>
      <c r="G163" s="16">
        <f t="shared" si="50"/>
        <v>675</v>
      </c>
      <c r="H163" s="158">
        <f t="shared" si="52"/>
        <v>675</v>
      </c>
      <c r="I163" s="158">
        <f>VLOOKUP(C163,Ordering!A:J,6,FALSE)</f>
        <v>1</v>
      </c>
      <c r="J163" s="158">
        <f>VLOOKUP(C163,Ordering!A:J,10,FALSE)</f>
        <v>2.7</v>
      </c>
      <c r="K163" s="158">
        <f t="shared" si="42"/>
        <v>0.67500000000000004</v>
      </c>
      <c r="L163" s="158">
        <f t="shared" si="43"/>
        <v>1.8225000000000002</v>
      </c>
    </row>
    <row r="164" spans="2:12" x14ac:dyDescent="0.3">
      <c r="B164" s="93" t="s">
        <v>8</v>
      </c>
      <c r="C164" s="93" t="s">
        <v>84</v>
      </c>
      <c r="D164" s="16">
        <v>3</v>
      </c>
      <c r="G164" s="16">
        <f t="shared" si="50"/>
        <v>405</v>
      </c>
      <c r="H164" s="158">
        <f t="shared" si="52"/>
        <v>405</v>
      </c>
      <c r="I164" s="158">
        <f>VLOOKUP(C164,Ordering!A:J,6,FALSE)</f>
        <v>1</v>
      </c>
      <c r="J164" s="158">
        <f>VLOOKUP(C164,Ordering!A:J,10,FALSE)</f>
        <v>3.25</v>
      </c>
      <c r="K164" s="158">
        <f t="shared" si="42"/>
        <v>0.40500000000000003</v>
      </c>
      <c r="L164" s="158">
        <f t="shared" si="43"/>
        <v>1.3162500000000001</v>
      </c>
    </row>
    <row r="165" spans="2:12" x14ac:dyDescent="0.3">
      <c r="B165" s="93" t="s">
        <v>8</v>
      </c>
      <c r="C165" s="93" t="s">
        <v>81</v>
      </c>
      <c r="D165" s="16">
        <v>10</v>
      </c>
      <c r="G165" s="16">
        <f t="shared" si="50"/>
        <v>1350</v>
      </c>
      <c r="H165" s="158">
        <f t="shared" si="52"/>
        <v>1350</v>
      </c>
      <c r="I165" s="158">
        <f>VLOOKUP(C165,Ordering!A:J,6,FALSE)</f>
        <v>1</v>
      </c>
      <c r="J165" s="158">
        <f>VLOOKUP(C165,Ordering!A:J,10,FALSE)</f>
        <v>5</v>
      </c>
      <c r="K165" s="158">
        <f t="shared" si="42"/>
        <v>1.35</v>
      </c>
      <c r="L165" s="158">
        <f t="shared" si="43"/>
        <v>6.75</v>
      </c>
    </row>
    <row r="166" spans="2:12" x14ac:dyDescent="0.3">
      <c r="B166" s="93" t="s">
        <v>8</v>
      </c>
      <c r="C166" s="93" t="s">
        <v>86</v>
      </c>
      <c r="D166" s="16">
        <v>1</v>
      </c>
      <c r="G166" s="16">
        <f t="shared" si="50"/>
        <v>135</v>
      </c>
      <c r="H166" s="158">
        <f t="shared" si="52"/>
        <v>135</v>
      </c>
      <c r="I166" s="158">
        <f>VLOOKUP(C166,Ordering!A:J,6,FALSE)</f>
        <v>1</v>
      </c>
      <c r="J166" s="158">
        <f>VLOOKUP(C166,Ordering!A:J,10,FALSE)</f>
        <v>0.74</v>
      </c>
      <c r="K166" s="158">
        <f t="shared" si="42"/>
        <v>0.13500000000000001</v>
      </c>
      <c r="L166" s="158">
        <f t="shared" si="43"/>
        <v>9.9900000000000003E-2</v>
      </c>
    </row>
    <row r="167" spans="2:12" x14ac:dyDescent="0.3">
      <c r="B167" s="93" t="s">
        <v>8</v>
      </c>
      <c r="C167" s="93" t="s">
        <v>85</v>
      </c>
      <c r="D167" s="16">
        <v>1.5</v>
      </c>
      <c r="G167" s="16">
        <f t="shared" si="50"/>
        <v>202.5</v>
      </c>
      <c r="H167" s="158">
        <f t="shared" si="52"/>
        <v>202.5</v>
      </c>
      <c r="I167" s="158">
        <f>VLOOKUP(C167,Ordering!A:J,6,FALSE)</f>
        <v>1</v>
      </c>
      <c r="J167" s="158">
        <f>VLOOKUP(C167,Ordering!A:J,10,FALSE)</f>
        <v>31</v>
      </c>
      <c r="K167" s="158">
        <f t="shared" si="42"/>
        <v>0.20250000000000001</v>
      </c>
      <c r="L167" s="158">
        <f t="shared" si="43"/>
        <v>6.2775000000000007</v>
      </c>
    </row>
    <row r="168" spans="2:12" x14ac:dyDescent="0.3">
      <c r="B168" s="93" t="s">
        <v>8</v>
      </c>
      <c r="C168" s="93" t="s">
        <v>79</v>
      </c>
      <c r="D168" s="16">
        <v>1</v>
      </c>
      <c r="G168" s="16">
        <f t="shared" si="50"/>
        <v>135</v>
      </c>
      <c r="H168" s="158">
        <f t="shared" si="52"/>
        <v>135</v>
      </c>
      <c r="I168" s="158">
        <f>VLOOKUP(C168,Ordering!A:J,6,FALSE)</f>
        <v>1</v>
      </c>
      <c r="J168" s="158">
        <f>VLOOKUP(C168,Ordering!A:J,10,FALSE)</f>
        <v>147.88732394366198</v>
      </c>
      <c r="K168" s="158">
        <f t="shared" si="42"/>
        <v>0.13500000000000001</v>
      </c>
      <c r="L168" s="158">
        <f t="shared" si="43"/>
        <v>19.964788732394368</v>
      </c>
    </row>
    <row r="169" spans="2:12" x14ac:dyDescent="0.3">
      <c r="H169" s="146"/>
      <c r="I169" s="146"/>
      <c r="J169" s="146"/>
      <c r="K169" s="146"/>
      <c r="L169" s="146"/>
    </row>
    <row r="170" spans="2:12" x14ac:dyDescent="0.3">
      <c r="B170" s="73" t="s">
        <v>25</v>
      </c>
      <c r="C170" s="73" t="s">
        <v>159</v>
      </c>
      <c r="D170" s="17">
        <v>70</v>
      </c>
      <c r="E170" s="3">
        <f>VLOOKUP(B170,Table3[#All],2,0)</f>
        <v>244</v>
      </c>
      <c r="F170" s="3">
        <f>VLOOKUP(B170,Table32[#All],2,0)</f>
        <v>244</v>
      </c>
      <c r="G170" s="17">
        <f>$E$170*D170</f>
        <v>17080</v>
      </c>
      <c r="H170" s="159">
        <f>$F$170*D170</f>
        <v>17080</v>
      </c>
      <c r="I170" s="159">
        <f>VLOOKUP(C170,Ordering!A:J,6,FALSE)</f>
        <v>0.81</v>
      </c>
      <c r="J170" s="159">
        <f>VLOOKUP(C170,Ordering!A:J,10,FALSE)</f>
        <v>3</v>
      </c>
      <c r="K170" s="159">
        <f t="shared" si="42"/>
        <v>21.086419753086417</v>
      </c>
      <c r="L170" s="159">
        <f t="shared" si="43"/>
        <v>63.259259259259252</v>
      </c>
    </row>
    <row r="171" spans="2:12" x14ac:dyDescent="0.3">
      <c r="B171" s="73" t="s">
        <v>25</v>
      </c>
      <c r="C171" s="73" t="s">
        <v>117</v>
      </c>
      <c r="D171" s="17">
        <v>30</v>
      </c>
      <c r="G171" s="17">
        <f t="shared" ref="G171:G176" si="53">$E$170*D171</f>
        <v>7320</v>
      </c>
      <c r="H171" s="159">
        <f t="shared" ref="H171:H176" si="54">$F$170*D171</f>
        <v>7320</v>
      </c>
      <c r="I171" s="159">
        <f>VLOOKUP(C171,Ordering!A:J,6,FALSE)</f>
        <v>1</v>
      </c>
      <c r="J171" s="159">
        <f>VLOOKUP(C171,Ordering!A:J,10,FALSE)</f>
        <v>4.875</v>
      </c>
      <c r="K171" s="159">
        <f t="shared" si="42"/>
        <v>7.32</v>
      </c>
      <c r="L171" s="159">
        <f t="shared" si="43"/>
        <v>35.685000000000002</v>
      </c>
    </row>
    <row r="172" spans="2:12" x14ac:dyDescent="0.3">
      <c r="B172" s="73" t="s">
        <v>25</v>
      </c>
      <c r="C172" s="73" t="s">
        <v>69</v>
      </c>
      <c r="D172" s="17">
        <v>20</v>
      </c>
      <c r="G172" s="17">
        <f t="shared" si="53"/>
        <v>4880</v>
      </c>
      <c r="H172" s="159">
        <f t="shared" si="54"/>
        <v>4880</v>
      </c>
      <c r="I172" s="159">
        <f>VLOOKUP(C172,Ordering!A:J,6,FALSE)</f>
        <v>1</v>
      </c>
      <c r="J172" s="159">
        <f>VLOOKUP(C172,Ordering!A:J,10,FALSE)</f>
        <v>16.666666666666668</v>
      </c>
      <c r="K172" s="159">
        <f t="shared" si="42"/>
        <v>4.88</v>
      </c>
      <c r="L172" s="159">
        <f t="shared" si="43"/>
        <v>81.333333333333343</v>
      </c>
    </row>
    <row r="173" spans="2:12" x14ac:dyDescent="0.3">
      <c r="B173" s="73" t="s">
        <v>25</v>
      </c>
      <c r="C173" s="73" t="s">
        <v>120</v>
      </c>
      <c r="D173" s="17">
        <v>11</v>
      </c>
      <c r="G173" s="17">
        <f t="shared" si="53"/>
        <v>2684</v>
      </c>
      <c r="H173" s="159">
        <f t="shared" si="54"/>
        <v>2684</v>
      </c>
      <c r="I173" s="159">
        <f>VLOOKUP(C173,Ordering!A:J,6,FALSE)</f>
        <v>1</v>
      </c>
      <c r="J173" s="159">
        <f>VLOOKUP(C173,Ordering!A:J,10,FALSE)</f>
        <v>21.527777777777779</v>
      </c>
      <c r="K173" s="159">
        <f t="shared" si="42"/>
        <v>2.6840000000000002</v>
      </c>
      <c r="L173" s="159">
        <f t="shared" si="43"/>
        <v>57.780555555555559</v>
      </c>
    </row>
    <row r="174" spans="2:12" x14ac:dyDescent="0.3">
      <c r="B174" s="73" t="s">
        <v>25</v>
      </c>
      <c r="C174" s="73" t="s">
        <v>161</v>
      </c>
      <c r="D174" s="17">
        <v>20</v>
      </c>
      <c r="G174" s="17">
        <f t="shared" si="53"/>
        <v>4880</v>
      </c>
      <c r="H174" s="159">
        <f t="shared" si="54"/>
        <v>4880</v>
      </c>
      <c r="I174" s="159">
        <f>VLOOKUP(C174,Ordering!A:J,6,FALSE)</f>
        <v>0.72</v>
      </c>
      <c r="J174" s="159">
        <f>VLOOKUP(C174,Ordering!A:J,10,FALSE)</f>
        <v>8.5</v>
      </c>
      <c r="K174" s="159">
        <f t="shared" si="42"/>
        <v>6.7777777777777786</v>
      </c>
      <c r="L174" s="159">
        <f t="shared" si="43"/>
        <v>57.611111111111114</v>
      </c>
    </row>
    <row r="175" spans="2:12" x14ac:dyDescent="0.3">
      <c r="B175" s="73" t="s">
        <v>25</v>
      </c>
      <c r="C175" s="73" t="s">
        <v>188</v>
      </c>
      <c r="D175" s="17">
        <v>10</v>
      </c>
      <c r="G175" s="17">
        <f t="shared" ref="G175" si="55">$E$170*D175</f>
        <v>2440</v>
      </c>
      <c r="H175" s="159">
        <f t="shared" ref="H175" si="56">$F$170*D175</f>
        <v>2440</v>
      </c>
      <c r="I175" s="159">
        <f>VLOOKUP(C175,Ordering!A:J,6,FALSE)</f>
        <v>0.69</v>
      </c>
      <c r="J175" s="159">
        <f>VLOOKUP(C175,Ordering!A:J,10,FALSE)</f>
        <v>4</v>
      </c>
      <c r="K175" s="159">
        <f t="shared" ref="K175" si="57">((H175/(I175))/1000)</f>
        <v>3.5362318840579716</v>
      </c>
      <c r="L175" s="159">
        <f t="shared" ref="L175" si="58">J175*K175</f>
        <v>14.144927536231886</v>
      </c>
    </row>
    <row r="176" spans="2:12" x14ac:dyDescent="0.3">
      <c r="B176" s="73" t="s">
        <v>25</v>
      </c>
      <c r="C176" s="73" t="s">
        <v>175</v>
      </c>
      <c r="D176" s="17">
        <v>3</v>
      </c>
      <c r="G176" s="17">
        <f t="shared" si="53"/>
        <v>732</v>
      </c>
      <c r="H176" s="159">
        <f t="shared" si="54"/>
        <v>732</v>
      </c>
      <c r="I176" s="159">
        <f>VLOOKUP(C176,Ordering!A:J,6,FALSE)</f>
        <v>1</v>
      </c>
      <c r="J176" s="159">
        <f>VLOOKUP(C176,Ordering!A:J,10,FALSE)</f>
        <v>39</v>
      </c>
      <c r="K176" s="159">
        <f t="shared" si="42"/>
        <v>0.73199999999999998</v>
      </c>
      <c r="L176" s="159">
        <f t="shared" si="43"/>
        <v>28.547999999999998</v>
      </c>
    </row>
    <row r="177" spans="2:12" x14ac:dyDescent="0.3">
      <c r="H177" s="146"/>
      <c r="I177" s="146"/>
      <c r="J177" s="146"/>
      <c r="K177" s="146"/>
      <c r="L177" s="146"/>
    </row>
    <row r="178" spans="2:12" x14ac:dyDescent="0.3">
      <c r="B178" s="94" t="s">
        <v>18</v>
      </c>
      <c r="C178" s="94" t="s">
        <v>78</v>
      </c>
      <c r="D178" s="17">
        <v>4</v>
      </c>
      <c r="E178" s="3">
        <f>E170</f>
        <v>244</v>
      </c>
      <c r="F178" s="3">
        <f>F170</f>
        <v>244</v>
      </c>
      <c r="G178" s="17">
        <f t="shared" ref="G178:G185" si="59">$E$178*D178</f>
        <v>976</v>
      </c>
      <c r="H178" s="159">
        <f>$F$178*D178</f>
        <v>976</v>
      </c>
      <c r="I178" s="159">
        <f>VLOOKUP(C178,Ordering!A:J,6,FALSE)</f>
        <v>1</v>
      </c>
      <c r="J178" s="159">
        <f>VLOOKUP(C178,Ordering!A:J,10,FALSE)</f>
        <v>11.243386243386244</v>
      </c>
      <c r="K178" s="159">
        <f t="shared" si="42"/>
        <v>0.97599999999999998</v>
      </c>
      <c r="L178" s="159">
        <f t="shared" si="43"/>
        <v>10.973544973544973</v>
      </c>
    </row>
    <row r="179" spans="2:12" x14ac:dyDescent="0.3">
      <c r="B179" s="94" t="s">
        <v>18</v>
      </c>
      <c r="C179" s="94" t="s">
        <v>80</v>
      </c>
      <c r="D179" s="17">
        <v>5</v>
      </c>
      <c r="G179" s="17">
        <f t="shared" si="59"/>
        <v>1220</v>
      </c>
      <c r="H179" s="159">
        <f t="shared" ref="H179:H184" si="60">$F$178*D179</f>
        <v>1220</v>
      </c>
      <c r="I179" s="159">
        <f>VLOOKUP(C179,Ordering!A:J,6,FALSE)</f>
        <v>1</v>
      </c>
      <c r="J179" s="159">
        <f>VLOOKUP(C179,Ordering!A:J,10,FALSE)</f>
        <v>17</v>
      </c>
      <c r="K179" s="159">
        <f t="shared" si="42"/>
        <v>1.22</v>
      </c>
      <c r="L179" s="159">
        <f t="shared" si="43"/>
        <v>20.74</v>
      </c>
    </row>
    <row r="180" spans="2:12" x14ac:dyDescent="0.3">
      <c r="B180" s="94" t="s">
        <v>18</v>
      </c>
      <c r="C180" s="94" t="s">
        <v>84</v>
      </c>
      <c r="D180" s="17">
        <v>3</v>
      </c>
      <c r="G180" s="17">
        <f t="shared" si="59"/>
        <v>732</v>
      </c>
      <c r="H180" s="159">
        <f t="shared" si="60"/>
        <v>732</v>
      </c>
      <c r="I180" s="159">
        <f>VLOOKUP(C180,Ordering!A:J,6,FALSE)</f>
        <v>1</v>
      </c>
      <c r="J180" s="159">
        <f>VLOOKUP(C180,Ordering!A:J,10,FALSE)</f>
        <v>3.25</v>
      </c>
      <c r="K180" s="159">
        <f t="shared" si="42"/>
        <v>0.73199999999999998</v>
      </c>
      <c r="L180" s="159">
        <f t="shared" si="43"/>
        <v>2.379</v>
      </c>
    </row>
    <row r="181" spans="2:12" x14ac:dyDescent="0.3">
      <c r="B181" s="94" t="s">
        <v>18</v>
      </c>
      <c r="C181" s="94" t="s">
        <v>81</v>
      </c>
      <c r="D181" s="17">
        <v>7</v>
      </c>
      <c r="G181" s="17">
        <f t="shared" si="59"/>
        <v>1708</v>
      </c>
      <c r="H181" s="159">
        <f t="shared" si="60"/>
        <v>1708</v>
      </c>
      <c r="I181" s="159">
        <f>VLOOKUP(C181,Ordering!A:J,6,FALSE)</f>
        <v>1</v>
      </c>
      <c r="J181" s="159">
        <f>VLOOKUP(C181,Ordering!A:J,10,FALSE)</f>
        <v>5</v>
      </c>
      <c r="K181" s="159">
        <f t="shared" si="42"/>
        <v>1.708</v>
      </c>
      <c r="L181" s="159">
        <f t="shared" si="43"/>
        <v>8.5399999999999991</v>
      </c>
    </row>
    <row r="182" spans="2:12" x14ac:dyDescent="0.3">
      <c r="B182" s="94" t="s">
        <v>18</v>
      </c>
      <c r="C182" s="94" t="s">
        <v>86</v>
      </c>
      <c r="D182" s="17">
        <v>1</v>
      </c>
      <c r="G182" s="17">
        <f t="shared" si="59"/>
        <v>244</v>
      </c>
      <c r="H182" s="159">
        <f t="shared" si="60"/>
        <v>244</v>
      </c>
      <c r="I182" s="159">
        <f>VLOOKUP(C182,Ordering!A:J,6,FALSE)</f>
        <v>1</v>
      </c>
      <c r="J182" s="159">
        <f>VLOOKUP(C182,Ordering!A:J,10,FALSE)</f>
        <v>0.74</v>
      </c>
      <c r="K182" s="159">
        <f t="shared" si="42"/>
        <v>0.24399999999999999</v>
      </c>
      <c r="L182" s="159">
        <f t="shared" si="43"/>
        <v>0.18056</v>
      </c>
    </row>
    <row r="183" spans="2:12" x14ac:dyDescent="0.3">
      <c r="B183" s="94" t="s">
        <v>18</v>
      </c>
      <c r="C183" s="94" t="s">
        <v>85</v>
      </c>
      <c r="D183" s="17">
        <v>1.5</v>
      </c>
      <c r="G183" s="17">
        <f t="shared" si="59"/>
        <v>366</v>
      </c>
      <c r="H183" s="159">
        <f t="shared" si="60"/>
        <v>366</v>
      </c>
      <c r="I183" s="159">
        <f>VLOOKUP(C183,Ordering!A:J,6,FALSE)</f>
        <v>1</v>
      </c>
      <c r="J183" s="159">
        <f>VLOOKUP(C183,Ordering!A:J,10,FALSE)</f>
        <v>31</v>
      </c>
      <c r="K183" s="159">
        <f t="shared" si="42"/>
        <v>0.36599999999999999</v>
      </c>
      <c r="L183" s="159">
        <f t="shared" si="43"/>
        <v>11.346</v>
      </c>
    </row>
    <row r="184" spans="2:12" x14ac:dyDescent="0.3">
      <c r="B184" s="94" t="s">
        <v>18</v>
      </c>
      <c r="C184" s="94" t="s">
        <v>88</v>
      </c>
      <c r="D184" s="17">
        <v>5</v>
      </c>
      <c r="G184" s="17">
        <f t="shared" si="59"/>
        <v>1220</v>
      </c>
      <c r="H184" s="159">
        <f t="shared" si="60"/>
        <v>1220</v>
      </c>
      <c r="I184" s="159">
        <f>VLOOKUP(C184,Ordering!A:J,6,FALSE)</f>
        <v>1</v>
      </c>
      <c r="J184" s="159">
        <f>VLOOKUP(C184,Ordering!A:J,10,FALSE)</f>
        <v>0</v>
      </c>
      <c r="K184" s="159">
        <f t="shared" si="42"/>
        <v>1.22</v>
      </c>
      <c r="L184" s="159">
        <f t="shared" si="43"/>
        <v>0</v>
      </c>
    </row>
    <row r="185" spans="2:12" x14ac:dyDescent="0.3">
      <c r="B185" s="94" t="s">
        <v>18</v>
      </c>
      <c r="C185" s="94" t="s">
        <v>79</v>
      </c>
      <c r="D185" s="17">
        <v>1</v>
      </c>
      <c r="G185" s="17">
        <f t="shared" si="59"/>
        <v>244</v>
      </c>
      <c r="H185" s="159">
        <f>$F$178*D185</f>
        <v>244</v>
      </c>
      <c r="I185" s="159">
        <f>VLOOKUP(C185,Ordering!A:J,6,FALSE)</f>
        <v>1</v>
      </c>
      <c r="J185" s="159">
        <f>VLOOKUP(C185,Ordering!A:J,10,FALSE)</f>
        <v>147.88732394366198</v>
      </c>
      <c r="K185" s="159">
        <f t="shared" si="42"/>
        <v>0.24399999999999999</v>
      </c>
      <c r="L185" s="159">
        <f t="shared" si="43"/>
        <v>36.08450704225352</v>
      </c>
    </row>
    <row r="186" spans="2:12" x14ac:dyDescent="0.3">
      <c r="H186" s="146"/>
      <c r="I186" s="146"/>
      <c r="J186" s="146"/>
      <c r="K186" s="146"/>
      <c r="L186" s="146"/>
    </row>
    <row r="187" spans="2:12" x14ac:dyDescent="0.3">
      <c r="H187" s="146"/>
      <c r="I187" s="146"/>
      <c r="J187" s="146"/>
      <c r="K187" s="146"/>
      <c r="L187" s="146"/>
    </row>
    <row r="188" spans="2:12" ht="17.5" x14ac:dyDescent="0.35">
      <c r="B188" s="95" t="s">
        <v>21</v>
      </c>
      <c r="C188" s="74" t="s">
        <v>181</v>
      </c>
      <c r="D188" s="36">
        <v>30</v>
      </c>
      <c r="E188" s="3">
        <f>VLOOKUP(B188,Table3[#All],2,0)</f>
        <v>100</v>
      </c>
      <c r="F188" s="3">
        <f>VLOOKUP(B188,Table32[#All],2,0)</f>
        <v>511</v>
      </c>
      <c r="G188" s="36">
        <f>$E$188*D188</f>
        <v>3000</v>
      </c>
      <c r="H188" s="160">
        <f>$F$188*D188</f>
        <v>15330</v>
      </c>
      <c r="I188" s="160">
        <f>VLOOKUP(C188,Ordering!A:J,6,FALSE)</f>
        <v>0.77</v>
      </c>
      <c r="J188" s="160">
        <f>VLOOKUP(C188,Ordering!A:J,10,FALSE)</f>
        <v>9</v>
      </c>
      <c r="K188" s="160">
        <f t="shared" si="42"/>
        <v>19.909090909090907</v>
      </c>
      <c r="L188" s="160">
        <f t="shared" si="43"/>
        <v>179.18181818181816</v>
      </c>
    </row>
    <row r="189" spans="2:12" ht="17.5" x14ac:dyDescent="0.35">
      <c r="B189" s="95" t="s">
        <v>21</v>
      </c>
      <c r="C189" s="74" t="s">
        <v>157</v>
      </c>
      <c r="D189" s="36">
        <v>30</v>
      </c>
      <c r="G189" s="36">
        <f t="shared" ref="G189:G194" si="61">$E$188*D189</f>
        <v>3000</v>
      </c>
      <c r="H189" s="160">
        <f t="shared" ref="H189:H193" si="62">$F$188*D189</f>
        <v>15330</v>
      </c>
      <c r="I189" s="160">
        <f>VLOOKUP(C189,Ordering!A:J,6,FALSE)</f>
        <v>0.4</v>
      </c>
      <c r="J189" s="160">
        <f>VLOOKUP(C189,Ordering!A:J,10,FALSE)</f>
        <v>4</v>
      </c>
      <c r="K189" s="160">
        <f t="shared" si="42"/>
        <v>38.325000000000003</v>
      </c>
      <c r="L189" s="160">
        <f t="shared" si="43"/>
        <v>153.30000000000001</v>
      </c>
    </row>
    <row r="190" spans="2:12" ht="17.5" x14ac:dyDescent="0.35">
      <c r="B190" s="95" t="s">
        <v>21</v>
      </c>
      <c r="C190" s="74" t="s">
        <v>139</v>
      </c>
      <c r="D190" s="36">
        <v>30</v>
      </c>
      <c r="G190" s="36">
        <f t="shared" si="61"/>
        <v>3000</v>
      </c>
      <c r="H190" s="160">
        <f t="shared" si="62"/>
        <v>15330</v>
      </c>
      <c r="I190" s="160">
        <f>VLOOKUP(C190,Ordering!A:J,6,FALSE)</f>
        <v>0.5</v>
      </c>
      <c r="J190" s="160">
        <f>VLOOKUP(C190,Ordering!A:J,10,FALSE)</f>
        <v>4.5</v>
      </c>
      <c r="K190" s="160">
        <f t="shared" si="42"/>
        <v>30.66</v>
      </c>
      <c r="L190" s="160">
        <f t="shared" si="43"/>
        <v>137.97</v>
      </c>
    </row>
    <row r="191" spans="2:12" ht="17.5" x14ac:dyDescent="0.35">
      <c r="B191" s="95" t="s">
        <v>21</v>
      </c>
      <c r="C191" s="74" t="s">
        <v>189</v>
      </c>
      <c r="D191" s="36">
        <v>35</v>
      </c>
      <c r="G191" s="36">
        <f t="shared" si="61"/>
        <v>3500</v>
      </c>
      <c r="H191" s="160">
        <f t="shared" si="62"/>
        <v>17885</v>
      </c>
      <c r="I191" s="160">
        <f>VLOOKUP(C191,Ordering!A:J,6,FALSE)</f>
        <v>0.625</v>
      </c>
      <c r="J191" s="160">
        <f>VLOOKUP(C191,Ordering!A:J,10,FALSE)</f>
        <v>6</v>
      </c>
      <c r="K191" s="160">
        <f t="shared" si="42"/>
        <v>28.616</v>
      </c>
      <c r="L191" s="160">
        <f t="shared" si="43"/>
        <v>171.696</v>
      </c>
    </row>
    <row r="192" spans="2:12" ht="17.5" x14ac:dyDescent="0.35">
      <c r="B192" s="95" t="s">
        <v>21</v>
      </c>
      <c r="C192" s="74" t="s">
        <v>177</v>
      </c>
      <c r="D192" s="36">
        <v>8</v>
      </c>
      <c r="G192" s="36">
        <f t="shared" si="61"/>
        <v>800</v>
      </c>
      <c r="H192" s="160">
        <f t="shared" si="62"/>
        <v>4088</v>
      </c>
      <c r="I192" s="160">
        <f>VLOOKUP(C192,Ordering!A:J,6,FALSE)</f>
        <v>0.62</v>
      </c>
      <c r="J192" s="160">
        <f>VLOOKUP(C192,Ordering!A:J,10,FALSE)</f>
        <v>10</v>
      </c>
      <c r="K192" s="160">
        <f t="shared" si="42"/>
        <v>6.5935483870967744</v>
      </c>
      <c r="L192" s="160">
        <f t="shared" si="43"/>
        <v>65.935483870967744</v>
      </c>
    </row>
    <row r="193" spans="2:12" ht="17.5" x14ac:dyDescent="0.35">
      <c r="B193" s="95" t="s">
        <v>21</v>
      </c>
      <c r="C193" s="74" t="s">
        <v>182</v>
      </c>
      <c r="D193" s="36">
        <v>3</v>
      </c>
      <c r="G193" s="36">
        <f t="shared" si="61"/>
        <v>300</v>
      </c>
      <c r="H193" s="160">
        <f t="shared" si="62"/>
        <v>1533</v>
      </c>
      <c r="I193" s="160">
        <f>VLOOKUP(C193,Ordering!A:J,6,FALSE)</f>
        <v>0.9</v>
      </c>
      <c r="J193" s="160">
        <f>VLOOKUP(C193,Ordering!A:J,10,FALSE)</f>
        <v>4.5</v>
      </c>
      <c r="K193" s="160">
        <f t="shared" si="42"/>
        <v>1.7033333333333334</v>
      </c>
      <c r="L193" s="160">
        <f t="shared" si="43"/>
        <v>7.665</v>
      </c>
    </row>
    <row r="194" spans="2:12" ht="17.5" x14ac:dyDescent="0.35">
      <c r="B194" s="95" t="s">
        <v>21</v>
      </c>
      <c r="C194" s="74" t="s">
        <v>74</v>
      </c>
      <c r="D194" s="36">
        <v>2</v>
      </c>
      <c r="G194" s="36">
        <f t="shared" si="61"/>
        <v>200</v>
      </c>
      <c r="H194" s="160">
        <f>$F$188*D194</f>
        <v>1022</v>
      </c>
      <c r="I194" s="160">
        <f>VLOOKUP(C194,Ordering!A:J,6,FALSE)</f>
        <v>1</v>
      </c>
      <c r="J194" s="160">
        <f>VLOOKUP(C194,Ordering!A:J,10,FALSE)</f>
        <v>2.7</v>
      </c>
      <c r="K194" s="160">
        <f t="shared" si="42"/>
        <v>1.022</v>
      </c>
      <c r="L194" s="160">
        <f t="shared" si="43"/>
        <v>2.7594000000000003</v>
      </c>
    </row>
    <row r="195" spans="2:12" x14ac:dyDescent="0.3">
      <c r="H195" s="146"/>
      <c r="I195" s="146"/>
      <c r="J195" s="146"/>
      <c r="K195" s="146"/>
      <c r="L195" s="146"/>
    </row>
    <row r="196" spans="2:12" x14ac:dyDescent="0.3">
      <c r="B196" s="75" t="s">
        <v>190</v>
      </c>
      <c r="C196" s="75" t="s">
        <v>190</v>
      </c>
      <c r="D196" s="42"/>
      <c r="E196" s="3">
        <f>VLOOKUP(B196,Table3[#All],2,0)</f>
        <v>0</v>
      </c>
      <c r="F196" s="3">
        <f>VLOOKUP(B196,Table32[#All],2,0)</f>
        <v>60</v>
      </c>
      <c r="G196" s="42">
        <f t="shared" ref="G196:H198" si="63">E196</f>
        <v>0</v>
      </c>
      <c r="H196" s="161">
        <f t="shared" si="63"/>
        <v>60</v>
      </c>
      <c r="I196" s="161">
        <f>VLOOKUP(C196,Ordering!A:J,6,FALSE)</f>
        <v>0.95</v>
      </c>
      <c r="J196" s="161">
        <f>VLOOKUP(C196,Ordering!A:J,10,FALSE)</f>
        <v>36.36363636363636</v>
      </c>
      <c r="K196" s="161">
        <f t="shared" ref="K196:K197" si="64">((H196/(I196))/1000)</f>
        <v>6.3157894736842107E-2</v>
      </c>
      <c r="L196" s="161">
        <f t="shared" ref="L196:L198" si="65">J196*K196</f>
        <v>2.2966507177033493</v>
      </c>
    </row>
    <row r="197" spans="2:12" x14ac:dyDescent="0.3">
      <c r="B197" s="76" t="s">
        <v>162</v>
      </c>
      <c r="C197" s="76" t="s">
        <v>162</v>
      </c>
      <c r="D197" s="43"/>
      <c r="E197" s="3">
        <f>VLOOKUP(B197,Table3[#All],2,0)</f>
        <v>14</v>
      </c>
      <c r="F197" s="3">
        <f>VLOOKUP(B197,Table32[#All],2,0)</f>
        <v>65</v>
      </c>
      <c r="G197" s="43">
        <f t="shared" si="63"/>
        <v>14</v>
      </c>
      <c r="H197" s="162">
        <f t="shared" si="63"/>
        <v>65</v>
      </c>
      <c r="I197" s="162">
        <f>VLOOKUP(C197,Ordering!A:J,6,FALSE)</f>
        <v>0.95</v>
      </c>
      <c r="J197" s="162">
        <f>VLOOKUP(C197,Ordering!A:J,10,FALSE)</f>
        <v>36.36363636363636</v>
      </c>
      <c r="K197" s="162">
        <f t="shared" si="64"/>
        <v>6.8421052631578952E-2</v>
      </c>
      <c r="L197" s="162">
        <f t="shared" si="65"/>
        <v>2.4880382775119618</v>
      </c>
    </row>
    <row r="198" spans="2:12" x14ac:dyDescent="0.3">
      <c r="B198" s="77" t="s">
        <v>174</v>
      </c>
      <c r="C198" s="77" t="s">
        <v>174</v>
      </c>
      <c r="D198" s="44"/>
      <c r="E198" s="3">
        <f>VLOOKUP(B198,Table3[#All],2,0)</f>
        <v>33</v>
      </c>
      <c r="F198" s="3">
        <f>VLOOKUP(B198,Table32[#All],2,0)</f>
        <v>33</v>
      </c>
      <c r="G198" s="44">
        <f t="shared" si="63"/>
        <v>33</v>
      </c>
      <c r="H198" s="163">
        <f t="shared" si="63"/>
        <v>33</v>
      </c>
      <c r="I198" s="163">
        <f>VLOOKUP(C198,Ordering!A:J,6,FALSE)</f>
        <v>0.95</v>
      </c>
      <c r="J198" s="163">
        <f>VLOOKUP(C198,Ordering!A:J,10,FALSE)</f>
        <v>19.047619047619047</v>
      </c>
      <c r="K198" s="163">
        <f>((H198/(I198))/1000)</f>
        <v>3.4736842105263156E-2</v>
      </c>
      <c r="L198" s="163">
        <f t="shared" si="65"/>
        <v>0.66165413533834583</v>
      </c>
    </row>
    <row r="199" spans="2:12" x14ac:dyDescent="0.3">
      <c r="H199" s="146"/>
      <c r="I199" s="146"/>
      <c r="J199" s="146"/>
      <c r="K199" s="146"/>
      <c r="L199" s="1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Vegetable Receiving Order</vt:lpstr>
      <vt:lpstr>User</vt:lpstr>
      <vt:lpstr>Ordering</vt:lpstr>
      <vt:lpstr>Usage</vt:lpstr>
      <vt:lpstr>Ordering!Print_Area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Amira Fathy</dc:creator>
  <cp:lastModifiedBy>Amira Fathy</cp:lastModifiedBy>
  <cp:lastPrinted>2026-06-16T16:07:15Z</cp:lastPrinted>
  <dcterms:created xsi:type="dcterms:W3CDTF">2025-11-25T16:04:19Z</dcterms:created>
  <dcterms:modified xsi:type="dcterms:W3CDTF">2026-07-21T16:54:51Z</dcterms:modified>
</cp:coreProperties>
</file>