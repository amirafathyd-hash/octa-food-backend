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ctafoodsa-my.sharepoint.com/personal/alshareef_ka_octafoodksa_com/Documents/Octa File/SOPs &amp; Operation/Tokyo Project/Tokyo Files/July/July W4/"/>
    </mc:Choice>
  </mc:AlternateContent>
  <xr:revisionPtr revIDLastSave="30250" documentId="13_ncr:1_{EE1041A4-68F3-4386-A5C8-E0DE93711744}" xr6:coauthVersionLast="47" xr6:coauthVersionMax="47" xr10:uidLastSave="{E8F82253-35B2-4790-BA6A-6B1F1A78A6EB}"/>
  <bookViews>
    <workbookView xWindow="-93" yWindow="-93" windowWidth="20186" windowHeight="12920" tabRatio="914" xr2:uid="{00000000-000D-0000-FFFF-FFFF00000000}"/>
  </bookViews>
  <sheets>
    <sheet name="Ordering" sheetId="1" r:id="rId1"/>
    <sheet name="Zatar Pie" sheetId="19" r:id="rId2"/>
    <sheet name="Laham Pie" sheetId="22" r:id="rId3"/>
    <sheet name="Labneh Pie" sheetId="21" r:id="rId4"/>
    <sheet name="Rocky Road" sheetId="6" r:id="rId5"/>
    <sheet name="Basbusa" sheetId="11" r:id="rId6"/>
    <sheet name="Blueberry Cheese Cake" sheetId="5" r:id="rId7"/>
    <sheet name="Mixed Nuts" sheetId="35" r:id="rId8"/>
    <sheet name="Raspberry Chooclate Cheese Cake" sheetId="15" r:id="rId9"/>
    <sheet name="Brownie " sheetId="3" r:id="rId10"/>
    <sheet name="Baboffee Pie" sheetId="2" r:id="rId11"/>
    <sheet name="Sabestien" sheetId="4" r:id="rId12"/>
    <sheet name="Mixed Nuts (2)" sheetId="34" r:id="rId13"/>
    <sheet name="Labneh Pie (2)" sheetId="30" r:id="rId14"/>
    <sheet name="Laham Pie (2)" sheetId="29" r:id="rId15"/>
    <sheet name="Zatar Pie (2)" sheetId="28" r:id="rId16"/>
    <sheet name="Lemon Cake" sheetId="14" r:id="rId17"/>
    <sheet name="Cookies" sheetId="18" r:id="rId18"/>
    <sheet name="Saffron Cake" sheetId="8" r:id="rId19"/>
    <sheet name="Pistachio Profiterole" sheetId="40" r:id="rId20"/>
    <sheet name="Mixed Nuts (3)" sheetId="36" r:id="rId21"/>
    <sheet name="Lotuse Cheese Cake" sheetId="12" r:id="rId22"/>
    <sheet name="Carrot Cake" sheetId="38" r:id="rId23"/>
    <sheet name="Almond Chooclate Cake" sheetId="16" r:id="rId24"/>
    <sheet name="Mixed Nuts (4)" sheetId="31" r:id="rId25"/>
    <sheet name="Mango Cheese Cake" sheetId="7" r:id="rId26"/>
    <sheet name="Chocolate Profiterole" sheetId="39" r:id="rId27"/>
    <sheet name="Muffin" sheetId="13" r:id="rId28"/>
    <sheet name="Mixed Nuts (5)" sheetId="32" r:id="rId29"/>
    <sheet name="Orange Cake" sheetId="20" r:id="rId30"/>
    <sheet name="Dukhun Cake" sheetId="10" r:id="rId31"/>
    <sheet name="Saffron Cake (2)" sheetId="23" r:id="rId32"/>
    <sheet name="Mixed Nuts (6)" sheetId="33" r:id="rId33"/>
  </sheets>
  <definedNames>
    <definedName name="_xlnm._FilterDatabase" localSheetId="0" hidden="1">Ordering!$A$1:$O$89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34" i="1" l="1"/>
  <c r="AC33" i="1"/>
  <c r="AC32" i="1"/>
  <c r="AC31" i="1"/>
  <c r="AC26" i="1"/>
  <c r="AC25" i="1"/>
  <c r="AC24" i="1"/>
  <c r="AC23" i="1"/>
  <c r="AC22" i="1"/>
  <c r="AC20" i="1"/>
  <c r="AC19" i="1"/>
  <c r="AC18" i="1"/>
  <c r="AC16" i="1"/>
  <c r="AC28" i="1"/>
  <c r="AC14" i="1"/>
  <c r="AC13" i="1"/>
  <c r="AC12" i="1"/>
  <c r="AC11" i="1"/>
  <c r="AC10" i="1"/>
  <c r="AC9" i="1"/>
  <c r="AC8" i="1"/>
  <c r="AC7" i="1"/>
  <c r="AC6" i="1"/>
  <c r="AC5" i="1"/>
  <c r="AC4" i="1"/>
  <c r="AC3" i="1"/>
  <c r="AC30" i="1"/>
  <c r="AC29" i="1"/>
  <c r="AC27" i="1"/>
  <c r="I82" i="1"/>
  <c r="AC17" i="1"/>
  <c r="AC15" i="1"/>
  <c r="L30" i="1"/>
  <c r="O30" i="1" s="1"/>
  <c r="K30" i="1"/>
  <c r="N30" i="1" s="1"/>
  <c r="J30" i="1"/>
  <c r="I9" i="38"/>
  <c r="J9" i="38"/>
  <c r="K75" i="1" l="1"/>
  <c r="N75" i="1" s="1"/>
  <c r="L75" i="1"/>
  <c r="O75" i="1" s="1"/>
  <c r="K43" i="1"/>
  <c r="N43" i="1" s="1"/>
  <c r="L43" i="1"/>
  <c r="O43" i="1" s="1"/>
  <c r="J75" i="1"/>
  <c r="J14" i="38"/>
  <c r="S13" i="40"/>
  <c r="S15" i="40" s="1"/>
  <c r="F1" i="40" s="1"/>
  <c r="I1" i="40" s="1"/>
  <c r="S13" i="38"/>
  <c r="S15" i="38" s="1"/>
  <c r="F1" i="38" s="1"/>
  <c r="I1" i="38" s="1"/>
  <c r="S13" i="39"/>
  <c r="S15" i="39" s="1"/>
  <c r="F1" i="39" s="1"/>
  <c r="I1" i="39" s="1"/>
  <c r="I6" i="40"/>
  <c r="J6" i="40"/>
  <c r="I7" i="40"/>
  <c r="I8" i="40"/>
  <c r="I9" i="40"/>
  <c r="I10" i="40"/>
  <c r="I11" i="40"/>
  <c r="I12" i="40"/>
  <c r="I13" i="40"/>
  <c r="I14" i="40"/>
  <c r="I15" i="40"/>
  <c r="I16" i="40"/>
  <c r="I6" i="39"/>
  <c r="J6" i="39"/>
  <c r="I7" i="39"/>
  <c r="I8" i="39"/>
  <c r="I9" i="39"/>
  <c r="I10" i="39"/>
  <c r="I11" i="39"/>
  <c r="I12" i="39"/>
  <c r="I13" i="39"/>
  <c r="I14" i="39"/>
  <c r="I15" i="39"/>
  <c r="I16" i="39"/>
  <c r="I20" i="38"/>
  <c r="J20" i="38"/>
  <c r="I6" i="38"/>
  <c r="I7" i="38"/>
  <c r="I8" i="38"/>
  <c r="I10" i="38"/>
  <c r="I11" i="38"/>
  <c r="I12" i="38"/>
  <c r="I13" i="38"/>
  <c r="I14" i="38"/>
  <c r="I15" i="38"/>
  <c r="J15" i="38"/>
  <c r="I16" i="38"/>
  <c r="I17" i="38"/>
  <c r="I18" i="38"/>
  <c r="I19" i="38"/>
  <c r="I5" i="40"/>
  <c r="I5" i="39"/>
  <c r="I5" i="38"/>
  <c r="D16" i="40"/>
  <c r="D15" i="40"/>
  <c r="D14" i="40"/>
  <c r="D13" i="40"/>
  <c r="D12" i="40"/>
  <c r="D11" i="40"/>
  <c r="D10" i="40"/>
  <c r="D9" i="40"/>
  <c r="D8" i="40"/>
  <c r="D7" i="40"/>
  <c r="D6" i="40"/>
  <c r="D5" i="40"/>
  <c r="D16" i="39"/>
  <c r="D15" i="39"/>
  <c r="D14" i="39"/>
  <c r="D13" i="39"/>
  <c r="D12" i="39"/>
  <c r="D11" i="39"/>
  <c r="D10" i="39"/>
  <c r="D9" i="39"/>
  <c r="D8" i="39"/>
  <c r="D7" i="39"/>
  <c r="D6" i="39"/>
  <c r="D5" i="39"/>
  <c r="D20" i="38"/>
  <c r="D19" i="38"/>
  <c r="D18" i="38"/>
  <c r="D17" i="38"/>
  <c r="D16" i="38"/>
  <c r="D15" i="38"/>
  <c r="D14" i="38"/>
  <c r="D13" i="38"/>
  <c r="D12" i="38"/>
  <c r="D11" i="38"/>
  <c r="D10" i="38"/>
  <c r="D9" i="38"/>
  <c r="D8" i="38"/>
  <c r="D7" i="38"/>
  <c r="D6" i="38"/>
  <c r="D5" i="38"/>
  <c r="S13" i="3"/>
  <c r="S15" i="3" s="1"/>
  <c r="J82" i="1"/>
  <c r="E5" i="40" l="1"/>
  <c r="G5" i="40" s="1"/>
  <c r="H5" i="40" s="1"/>
  <c r="K5" i="40" s="1"/>
  <c r="E6" i="40"/>
  <c r="G6" i="40" s="1"/>
  <c r="H6" i="40" s="1"/>
  <c r="E9" i="40"/>
  <c r="G9" i="40" s="1"/>
  <c r="H9" i="40" s="1"/>
  <c r="K9" i="40" s="1"/>
  <c r="E7" i="40"/>
  <c r="G7" i="40" s="1"/>
  <c r="H7" i="40" s="1"/>
  <c r="K7" i="40" s="1"/>
  <c r="E8" i="40"/>
  <c r="G8" i="40" s="1"/>
  <c r="H8" i="40" s="1"/>
  <c r="K8" i="40" s="1"/>
  <c r="E10" i="40"/>
  <c r="G10" i="40" s="1"/>
  <c r="H10" i="40" s="1"/>
  <c r="K10" i="40" s="1"/>
  <c r="E11" i="40"/>
  <c r="G11" i="40" s="1"/>
  <c r="H11" i="40" s="1"/>
  <c r="K11" i="40" s="1"/>
  <c r="E12" i="40"/>
  <c r="G12" i="40" s="1"/>
  <c r="H12" i="40" s="1"/>
  <c r="K12" i="40" s="1"/>
  <c r="E13" i="40"/>
  <c r="G13" i="40" s="1"/>
  <c r="H13" i="40" s="1"/>
  <c r="K13" i="40" s="1"/>
  <c r="E14" i="40"/>
  <c r="G14" i="40" s="1"/>
  <c r="H14" i="40" s="1"/>
  <c r="K14" i="40" s="1"/>
  <c r="E15" i="40"/>
  <c r="G15" i="40" s="1"/>
  <c r="H15" i="40" s="1"/>
  <c r="K15" i="40" s="1"/>
  <c r="E16" i="40"/>
  <c r="G16" i="40" s="1"/>
  <c r="H16" i="40" s="1"/>
  <c r="K16" i="40" s="1"/>
  <c r="E7" i="39"/>
  <c r="G7" i="39" s="1"/>
  <c r="H7" i="39" s="1"/>
  <c r="K7" i="39" s="1"/>
  <c r="E6" i="39"/>
  <c r="G6" i="39" s="1"/>
  <c r="H6" i="39" s="1"/>
  <c r="E8" i="39"/>
  <c r="G8" i="39" s="1"/>
  <c r="H8" i="39" s="1"/>
  <c r="K8" i="39" s="1"/>
  <c r="E13" i="39"/>
  <c r="G13" i="39" s="1"/>
  <c r="H13" i="39" s="1"/>
  <c r="K13" i="39" s="1"/>
  <c r="E14" i="39"/>
  <c r="G14" i="39" s="1"/>
  <c r="H14" i="39" s="1"/>
  <c r="K14" i="39" s="1"/>
  <c r="E11" i="39"/>
  <c r="G11" i="39" s="1"/>
  <c r="H11" i="39" s="1"/>
  <c r="K11" i="39" s="1"/>
  <c r="E15" i="39"/>
  <c r="G15" i="39" s="1"/>
  <c r="H15" i="39" s="1"/>
  <c r="K15" i="39" s="1"/>
  <c r="E5" i="39"/>
  <c r="G5" i="39" s="1"/>
  <c r="H5" i="39" s="1"/>
  <c r="K5" i="39" s="1"/>
  <c r="E9" i="39"/>
  <c r="G9" i="39" s="1"/>
  <c r="H9" i="39" s="1"/>
  <c r="K9" i="39" s="1"/>
  <c r="E10" i="39"/>
  <c r="G10" i="39" s="1"/>
  <c r="H10" i="39" s="1"/>
  <c r="K10" i="39" s="1"/>
  <c r="E12" i="39"/>
  <c r="G12" i="39" s="1"/>
  <c r="H12" i="39" s="1"/>
  <c r="K12" i="39" s="1"/>
  <c r="E16" i="39"/>
  <c r="G16" i="39" s="1"/>
  <c r="H16" i="39" s="1"/>
  <c r="K16" i="39" s="1"/>
  <c r="E15" i="38"/>
  <c r="G15" i="38" s="1"/>
  <c r="H15" i="38" s="1"/>
  <c r="E19" i="38"/>
  <c r="G19" i="38" s="1"/>
  <c r="H19" i="38" s="1"/>
  <c r="K19" i="38" s="1"/>
  <c r="E16" i="38"/>
  <c r="G16" i="38" s="1"/>
  <c r="H16" i="38" s="1"/>
  <c r="K16" i="38" s="1"/>
  <c r="E5" i="38"/>
  <c r="G5" i="38" s="1"/>
  <c r="H5" i="38" s="1"/>
  <c r="K5" i="38" s="1"/>
  <c r="E12" i="38"/>
  <c r="G12" i="38" s="1"/>
  <c r="H12" i="38" s="1"/>
  <c r="K12" i="38" s="1"/>
  <c r="E14" i="38"/>
  <c r="G14" i="38" s="1"/>
  <c r="H14" i="38" s="1"/>
  <c r="E18" i="38"/>
  <c r="G18" i="38" s="1"/>
  <c r="H18" i="38" s="1"/>
  <c r="K18" i="38" s="1"/>
  <c r="E9" i="38"/>
  <c r="G9" i="38" s="1"/>
  <c r="H9" i="38" s="1"/>
  <c r="K9" i="38" s="1"/>
  <c r="L9" i="38" s="1"/>
  <c r="E10" i="38"/>
  <c r="G10" i="38" s="1"/>
  <c r="H10" i="38" s="1"/>
  <c r="K10" i="38" s="1"/>
  <c r="E13" i="38"/>
  <c r="G13" i="38" s="1"/>
  <c r="H13" i="38" s="1"/>
  <c r="K13" i="38" s="1"/>
  <c r="E6" i="38"/>
  <c r="G6" i="38" s="1"/>
  <c r="H6" i="38" s="1"/>
  <c r="K6" i="38" s="1"/>
  <c r="E11" i="38"/>
  <c r="G11" i="38" s="1"/>
  <c r="H11" i="38" s="1"/>
  <c r="K11" i="38" s="1"/>
  <c r="E17" i="38"/>
  <c r="G17" i="38" s="1"/>
  <c r="H17" i="38" s="1"/>
  <c r="K17" i="38" s="1"/>
  <c r="E20" i="38"/>
  <c r="G20" i="38" s="1"/>
  <c r="H20" i="38" s="1"/>
  <c r="E7" i="38"/>
  <c r="G7" i="38" s="1"/>
  <c r="H7" i="38" s="1"/>
  <c r="K7" i="38" s="1"/>
  <c r="E8" i="38"/>
  <c r="G8" i="38" s="1"/>
  <c r="H8" i="38" s="1"/>
  <c r="K8" i="38" s="1"/>
  <c r="S13" i="22"/>
  <c r="S13" i="21"/>
  <c r="S13" i="6"/>
  <c r="S13" i="11"/>
  <c r="S13" i="5"/>
  <c r="S13" i="35"/>
  <c r="S15" i="35" s="1"/>
  <c r="F1" i="35" s="1"/>
  <c r="I1" i="35" s="1"/>
  <c r="S13" i="15"/>
  <c r="S13" i="2"/>
  <c r="S13" i="4"/>
  <c r="S13" i="34"/>
  <c r="S15" i="34" s="1"/>
  <c r="F1" i="34" s="1"/>
  <c r="I1" i="34" s="1"/>
  <c r="S13" i="30"/>
  <c r="S13" i="29"/>
  <c r="S13" i="28"/>
  <c r="S13" i="14"/>
  <c r="S13" i="18"/>
  <c r="S13" i="8"/>
  <c r="S13" i="36"/>
  <c r="S15" i="36" s="1"/>
  <c r="F1" i="36" s="1"/>
  <c r="I1" i="36" s="1"/>
  <c r="S13" i="12"/>
  <c r="S13" i="16"/>
  <c r="S13" i="31"/>
  <c r="S13" i="7"/>
  <c r="S13" i="13"/>
  <c r="S13" i="32"/>
  <c r="S15" i="32" s="1"/>
  <c r="F1" i="32" s="1"/>
  <c r="I1" i="32" s="1"/>
  <c r="S13" i="20"/>
  <c r="S13" i="10"/>
  <c r="S13" i="23"/>
  <c r="S13" i="33"/>
  <c r="S15" i="33" s="1"/>
  <c r="F1" i="33" s="1"/>
  <c r="I1" i="33" s="1"/>
  <c r="S13" i="19"/>
  <c r="I7" i="36"/>
  <c r="I6" i="36"/>
  <c r="I5" i="36"/>
  <c r="I7" i="35"/>
  <c r="I6" i="35"/>
  <c r="I5" i="35"/>
  <c r="I7" i="34"/>
  <c r="I6" i="34"/>
  <c r="I5" i="34"/>
  <c r="I7" i="33"/>
  <c r="I6" i="33"/>
  <c r="I5" i="33"/>
  <c r="I12" i="20"/>
  <c r="J44" i="1"/>
  <c r="J7" i="36" s="1"/>
  <c r="K44" i="1"/>
  <c r="N44" i="1" s="1"/>
  <c r="L44" i="1"/>
  <c r="O44" i="1" s="1"/>
  <c r="J42" i="1"/>
  <c r="J6" i="34" s="1"/>
  <c r="K42" i="1"/>
  <c r="N42" i="1" s="1"/>
  <c r="L42" i="1"/>
  <c r="O42" i="1" s="1"/>
  <c r="J7" i="32"/>
  <c r="I7" i="32"/>
  <c r="I6" i="32"/>
  <c r="I5" i="32"/>
  <c r="N15" i="1"/>
  <c r="O15" i="1"/>
  <c r="N19" i="1"/>
  <c r="O19" i="1"/>
  <c r="N25" i="1"/>
  <c r="O25" i="1"/>
  <c r="N34" i="1"/>
  <c r="O34" i="1"/>
  <c r="N38" i="1"/>
  <c r="O38" i="1"/>
  <c r="N45" i="1"/>
  <c r="O45" i="1"/>
  <c r="N60" i="1"/>
  <c r="O60" i="1"/>
  <c r="N70" i="1"/>
  <c r="O70" i="1"/>
  <c r="N73" i="1"/>
  <c r="O73" i="1"/>
  <c r="N81" i="1"/>
  <c r="O81" i="1"/>
  <c r="K74" i="1"/>
  <c r="N74" i="1" s="1"/>
  <c r="L74" i="1"/>
  <c r="O74" i="1" s="1"/>
  <c r="K76" i="1"/>
  <c r="N76" i="1" s="1"/>
  <c r="L76" i="1"/>
  <c r="O76" i="1" s="1"/>
  <c r="K77" i="1"/>
  <c r="N77" i="1" s="1"/>
  <c r="L77" i="1"/>
  <c r="O77" i="1" s="1"/>
  <c r="K78" i="1"/>
  <c r="N78" i="1" s="1"/>
  <c r="L78" i="1"/>
  <c r="O78" i="1" s="1"/>
  <c r="K79" i="1"/>
  <c r="N79" i="1" s="1"/>
  <c r="L79" i="1"/>
  <c r="O79" i="1" s="1"/>
  <c r="K80" i="1"/>
  <c r="N80" i="1" s="1"/>
  <c r="L80" i="1"/>
  <c r="O80" i="1" s="1"/>
  <c r="K82" i="1"/>
  <c r="N82" i="1" s="1"/>
  <c r="L82" i="1"/>
  <c r="O82" i="1" s="1"/>
  <c r="K5" i="1"/>
  <c r="N5" i="1" s="1"/>
  <c r="L5" i="1"/>
  <c r="O5" i="1" s="1"/>
  <c r="K6" i="1"/>
  <c r="N6" i="1" s="1"/>
  <c r="L6" i="1"/>
  <c r="O6" i="1" s="1"/>
  <c r="K7" i="1"/>
  <c r="N7" i="1" s="1"/>
  <c r="L7" i="1"/>
  <c r="O7" i="1" s="1"/>
  <c r="K8" i="1"/>
  <c r="N8" i="1" s="1"/>
  <c r="L8" i="1"/>
  <c r="O8" i="1" s="1"/>
  <c r="K9" i="1"/>
  <c r="N9" i="1" s="1"/>
  <c r="L9" i="1"/>
  <c r="O9" i="1" s="1"/>
  <c r="K12" i="1"/>
  <c r="N12" i="1" s="1"/>
  <c r="L12" i="1"/>
  <c r="O12" i="1" s="1"/>
  <c r="K13" i="1"/>
  <c r="N13" i="1" s="1"/>
  <c r="L13" i="1"/>
  <c r="O13" i="1" s="1"/>
  <c r="K14" i="1"/>
  <c r="N14" i="1" s="1"/>
  <c r="L14" i="1"/>
  <c r="O14" i="1" s="1"/>
  <c r="K16" i="1"/>
  <c r="L16" i="1"/>
  <c r="K17" i="1"/>
  <c r="N17" i="1" s="1"/>
  <c r="L17" i="1"/>
  <c r="O17" i="1" s="1"/>
  <c r="K18" i="1"/>
  <c r="N18" i="1" s="1"/>
  <c r="L18" i="1"/>
  <c r="O18" i="1" s="1"/>
  <c r="K20" i="1"/>
  <c r="N20" i="1" s="1"/>
  <c r="L20" i="1"/>
  <c r="O20" i="1" s="1"/>
  <c r="K21" i="1"/>
  <c r="N21" i="1" s="1"/>
  <c r="L21" i="1"/>
  <c r="O21" i="1" s="1"/>
  <c r="K22" i="1"/>
  <c r="N22" i="1" s="1"/>
  <c r="L22" i="1"/>
  <c r="O22" i="1" s="1"/>
  <c r="K23" i="1"/>
  <c r="N23" i="1" s="1"/>
  <c r="L23" i="1"/>
  <c r="O23" i="1" s="1"/>
  <c r="K24" i="1"/>
  <c r="N24" i="1" s="1"/>
  <c r="L24" i="1"/>
  <c r="O24" i="1" s="1"/>
  <c r="K26" i="1"/>
  <c r="N26" i="1" s="1"/>
  <c r="L26" i="1"/>
  <c r="O26" i="1" s="1"/>
  <c r="K29" i="1"/>
  <c r="N29" i="1" s="1"/>
  <c r="L29" i="1"/>
  <c r="O29" i="1" s="1"/>
  <c r="K31" i="1"/>
  <c r="N31" i="1" s="1"/>
  <c r="L31" i="1"/>
  <c r="O31" i="1" s="1"/>
  <c r="K32" i="1"/>
  <c r="N32" i="1" s="1"/>
  <c r="L32" i="1"/>
  <c r="O32" i="1" s="1"/>
  <c r="K39" i="1"/>
  <c r="N39" i="1" s="1"/>
  <c r="L39" i="1"/>
  <c r="O39" i="1" s="1"/>
  <c r="K40" i="1"/>
  <c r="N40" i="1" s="1"/>
  <c r="L40" i="1"/>
  <c r="O40" i="1" s="1"/>
  <c r="K41" i="1"/>
  <c r="N41" i="1" s="1"/>
  <c r="L41" i="1"/>
  <c r="O41" i="1" s="1"/>
  <c r="K46" i="1"/>
  <c r="N46" i="1" s="1"/>
  <c r="L46" i="1"/>
  <c r="O46" i="1" s="1"/>
  <c r="K49" i="1"/>
  <c r="N49" i="1" s="1"/>
  <c r="L49" i="1"/>
  <c r="O49" i="1" s="1"/>
  <c r="K50" i="1"/>
  <c r="N50" i="1" s="1"/>
  <c r="L50" i="1"/>
  <c r="O50" i="1" s="1"/>
  <c r="K52" i="1"/>
  <c r="N52" i="1" s="1"/>
  <c r="L52" i="1"/>
  <c r="O52" i="1" s="1"/>
  <c r="K53" i="1"/>
  <c r="N53" i="1" s="1"/>
  <c r="L53" i="1"/>
  <c r="O53" i="1" s="1"/>
  <c r="K54" i="1"/>
  <c r="L54" i="1"/>
  <c r="K55" i="1"/>
  <c r="N55" i="1" s="1"/>
  <c r="L55" i="1"/>
  <c r="O55" i="1" s="1"/>
  <c r="K56" i="1"/>
  <c r="N56" i="1" s="1"/>
  <c r="L56" i="1"/>
  <c r="O56" i="1" s="1"/>
  <c r="K57" i="1"/>
  <c r="N57" i="1" s="1"/>
  <c r="L57" i="1"/>
  <c r="O57" i="1" s="1"/>
  <c r="K59" i="1"/>
  <c r="N59" i="1" s="1"/>
  <c r="L59" i="1"/>
  <c r="O59" i="1" s="1"/>
  <c r="K61" i="1"/>
  <c r="L61" i="1"/>
  <c r="K62" i="1"/>
  <c r="L62" i="1"/>
  <c r="K63" i="1"/>
  <c r="N63" i="1" s="1"/>
  <c r="L63" i="1"/>
  <c r="O63" i="1" s="1"/>
  <c r="K64" i="1"/>
  <c r="N64" i="1" s="1"/>
  <c r="L64" i="1"/>
  <c r="O64" i="1" s="1"/>
  <c r="K67" i="1"/>
  <c r="N67" i="1" s="1"/>
  <c r="L67" i="1"/>
  <c r="O67" i="1" s="1"/>
  <c r="K68" i="1"/>
  <c r="N68" i="1" s="1"/>
  <c r="L68" i="1"/>
  <c r="O68" i="1" s="1"/>
  <c r="K71" i="1"/>
  <c r="N71" i="1" s="1"/>
  <c r="L71" i="1"/>
  <c r="O71" i="1" s="1"/>
  <c r="K72" i="1"/>
  <c r="N72" i="1" s="1"/>
  <c r="L72" i="1"/>
  <c r="O72" i="1" s="1"/>
  <c r="K3" i="1"/>
  <c r="N3" i="1" s="1"/>
  <c r="L3" i="1"/>
  <c r="O3" i="1" s="1"/>
  <c r="K15" i="38" l="1"/>
  <c r="L15" i="38" s="1"/>
  <c r="K20" i="38"/>
  <c r="L20" i="38" s="1"/>
  <c r="K14" i="38"/>
  <c r="L14" i="38" s="1"/>
  <c r="K6" i="39"/>
  <c r="L6" i="39" s="1"/>
  <c r="K6" i="40"/>
  <c r="L6" i="40" s="1"/>
  <c r="J7" i="33"/>
  <c r="E5" i="36"/>
  <c r="G5" i="36" s="1"/>
  <c r="H5" i="36" s="1"/>
  <c r="K5" i="36" s="1"/>
  <c r="E6" i="36"/>
  <c r="G6" i="36" s="1"/>
  <c r="H6" i="36" s="1"/>
  <c r="K6" i="36" s="1"/>
  <c r="E6" i="34"/>
  <c r="G6" i="34" s="1"/>
  <c r="H6" i="34" s="1"/>
  <c r="K6" i="34" s="1"/>
  <c r="L6" i="34" s="1"/>
  <c r="E5" i="34"/>
  <c r="G5" i="34" s="1"/>
  <c r="H5" i="34" s="1"/>
  <c r="K5" i="34" s="1"/>
  <c r="J7" i="34"/>
  <c r="J6" i="35"/>
  <c r="J6" i="32"/>
  <c r="J6" i="33"/>
  <c r="J7" i="35"/>
  <c r="J6" i="36"/>
  <c r="E7" i="36"/>
  <c r="G7" i="36" s="1"/>
  <c r="H7" i="36" s="1"/>
  <c r="K7" i="36" s="1"/>
  <c r="L7" i="36" s="1"/>
  <c r="E6" i="35"/>
  <c r="G6" i="35" s="1"/>
  <c r="H6" i="35" s="1"/>
  <c r="K6" i="35" s="1"/>
  <c r="E5" i="35"/>
  <c r="G5" i="35" s="1"/>
  <c r="H5" i="35" s="1"/>
  <c r="K5" i="35" s="1"/>
  <c r="E7" i="35"/>
  <c r="G7" i="35" s="1"/>
  <c r="H7" i="35" s="1"/>
  <c r="K7" i="35" s="1"/>
  <c r="E7" i="34"/>
  <c r="G7" i="34" s="1"/>
  <c r="H7" i="34" s="1"/>
  <c r="K7" i="34" s="1"/>
  <c r="E5" i="33"/>
  <c r="G5" i="33" s="1"/>
  <c r="H5" i="33" s="1"/>
  <c r="K5" i="33" s="1"/>
  <c r="E6" i="33"/>
  <c r="G6" i="33" s="1"/>
  <c r="H6" i="33" s="1"/>
  <c r="K6" i="33" s="1"/>
  <c r="E7" i="33"/>
  <c r="G7" i="33" s="1"/>
  <c r="H7" i="33" s="1"/>
  <c r="K7" i="33" s="1"/>
  <c r="E5" i="32"/>
  <c r="G5" i="32" s="1"/>
  <c r="H5" i="32" s="1"/>
  <c r="K5" i="32" s="1"/>
  <c r="E6" i="32"/>
  <c r="G6" i="32" s="1"/>
  <c r="H6" i="32" s="1"/>
  <c r="K6" i="32" s="1"/>
  <c r="E7" i="32"/>
  <c r="G7" i="32" s="1"/>
  <c r="H7" i="32" s="1"/>
  <c r="K7" i="32" s="1"/>
  <c r="L7" i="32" s="1"/>
  <c r="I12" i="14"/>
  <c r="J41" i="1"/>
  <c r="L7" i="33" l="1"/>
  <c r="L6" i="35"/>
  <c r="L7" i="34"/>
  <c r="L6" i="36"/>
  <c r="L6" i="32"/>
  <c r="L7" i="35"/>
  <c r="L6" i="33"/>
  <c r="J5" i="34"/>
  <c r="L5" i="34" s="1"/>
  <c r="J5" i="35"/>
  <c r="L5" i="35" s="1"/>
  <c r="J5" i="36"/>
  <c r="L5" i="36" s="1"/>
  <c r="J5" i="32"/>
  <c r="L5" i="32" s="1"/>
  <c r="J5" i="33"/>
  <c r="L5" i="33" s="1"/>
  <c r="I17" i="23"/>
  <c r="I18" i="23"/>
  <c r="I5" i="8"/>
  <c r="I17" i="8"/>
  <c r="I18" i="8"/>
  <c r="I17" i="29"/>
  <c r="I18" i="29"/>
  <c r="I19" i="29"/>
  <c r="I20" i="29"/>
  <c r="I21" i="29"/>
  <c r="I17" i="30"/>
  <c r="I18" i="30"/>
  <c r="I19" i="30"/>
  <c r="I20" i="30"/>
  <c r="I17" i="21"/>
  <c r="I18" i="21"/>
  <c r="I19" i="21"/>
  <c r="I20" i="21"/>
  <c r="I17" i="22"/>
  <c r="I18" i="22"/>
  <c r="I19" i="22"/>
  <c r="I20" i="22"/>
  <c r="I21" i="22"/>
  <c r="J15" i="22"/>
  <c r="J10" i="15"/>
  <c r="J9" i="2"/>
  <c r="J15" i="29"/>
  <c r="J8" i="18"/>
  <c r="J6" i="31"/>
  <c r="J7" i="31"/>
  <c r="J7" i="13"/>
  <c r="J5" i="31"/>
  <c r="J5" i="10"/>
  <c r="I6" i="22"/>
  <c r="I7" i="22"/>
  <c r="I8" i="22"/>
  <c r="I9" i="22"/>
  <c r="I10" i="22"/>
  <c r="I11" i="22"/>
  <c r="I12" i="22"/>
  <c r="I13" i="22"/>
  <c r="I14" i="22"/>
  <c r="I15" i="22"/>
  <c r="I16" i="22"/>
  <c r="I6" i="21"/>
  <c r="I7" i="21"/>
  <c r="I8" i="21"/>
  <c r="I9" i="21"/>
  <c r="I10" i="21"/>
  <c r="I11" i="21"/>
  <c r="I12" i="21"/>
  <c r="I13" i="21"/>
  <c r="I14" i="21"/>
  <c r="I15" i="21"/>
  <c r="I16" i="21"/>
  <c r="I6" i="6"/>
  <c r="I7" i="6"/>
  <c r="I8" i="6"/>
  <c r="I6" i="11"/>
  <c r="I7" i="11"/>
  <c r="I8" i="11"/>
  <c r="I9" i="11"/>
  <c r="I10" i="11"/>
  <c r="I11" i="11"/>
  <c r="I12" i="11"/>
  <c r="I6" i="5"/>
  <c r="I7" i="5"/>
  <c r="I8" i="5"/>
  <c r="I9" i="5"/>
  <c r="I6" i="15"/>
  <c r="I7" i="15"/>
  <c r="I8" i="15"/>
  <c r="I9" i="15"/>
  <c r="I10" i="15"/>
  <c r="I11" i="15"/>
  <c r="I12" i="15"/>
  <c r="I13" i="15"/>
  <c r="I14" i="15"/>
  <c r="I7" i="3"/>
  <c r="I8" i="3"/>
  <c r="I9" i="3"/>
  <c r="I10" i="3"/>
  <c r="I11" i="3"/>
  <c r="I12" i="3"/>
  <c r="I13" i="3"/>
  <c r="I6" i="2"/>
  <c r="I7" i="2"/>
  <c r="I8" i="2"/>
  <c r="I9" i="2"/>
  <c r="I10" i="2"/>
  <c r="I11" i="2"/>
  <c r="I12" i="2"/>
  <c r="I13" i="2"/>
  <c r="I14" i="2"/>
  <c r="I6" i="4"/>
  <c r="I7" i="4"/>
  <c r="I8" i="4"/>
  <c r="I9" i="4"/>
  <c r="I6" i="30"/>
  <c r="I7" i="30"/>
  <c r="I8" i="30"/>
  <c r="I9" i="30"/>
  <c r="I10" i="30"/>
  <c r="I11" i="30"/>
  <c r="I12" i="30"/>
  <c r="I13" i="30"/>
  <c r="I14" i="30"/>
  <c r="I15" i="30"/>
  <c r="I16" i="30"/>
  <c r="I6" i="29"/>
  <c r="I7" i="29"/>
  <c r="I8" i="29"/>
  <c r="I9" i="29"/>
  <c r="I10" i="29"/>
  <c r="I11" i="29"/>
  <c r="I12" i="29"/>
  <c r="I13" i="29"/>
  <c r="I14" i="29"/>
  <c r="I15" i="29"/>
  <c r="I16" i="29"/>
  <c r="I6" i="28"/>
  <c r="I7" i="28"/>
  <c r="I8" i="28"/>
  <c r="I9" i="28"/>
  <c r="I10" i="28"/>
  <c r="I11" i="28"/>
  <c r="I12" i="28"/>
  <c r="I13" i="28"/>
  <c r="I14" i="28"/>
  <c r="I15" i="28"/>
  <c r="I16" i="28"/>
  <c r="I6" i="14"/>
  <c r="I7" i="14"/>
  <c r="I8" i="14"/>
  <c r="I9" i="14"/>
  <c r="I10" i="14"/>
  <c r="I11" i="14"/>
  <c r="I13" i="14"/>
  <c r="I6" i="18"/>
  <c r="I7" i="18"/>
  <c r="I8" i="18"/>
  <c r="I9" i="18"/>
  <c r="I6" i="8"/>
  <c r="I7" i="8"/>
  <c r="I8" i="8"/>
  <c r="I9" i="8"/>
  <c r="I10" i="8"/>
  <c r="I11" i="8"/>
  <c r="I12" i="8"/>
  <c r="I13" i="8"/>
  <c r="I14" i="8"/>
  <c r="I15" i="8"/>
  <c r="I16" i="8"/>
  <c r="I6" i="12"/>
  <c r="I7" i="12"/>
  <c r="I8" i="12"/>
  <c r="I9" i="12"/>
  <c r="I6" i="16"/>
  <c r="I7" i="16"/>
  <c r="I8" i="16"/>
  <c r="I9" i="16"/>
  <c r="I10" i="16"/>
  <c r="I11" i="16"/>
  <c r="I12" i="16"/>
  <c r="I6" i="31"/>
  <c r="I7" i="31"/>
  <c r="I6" i="7"/>
  <c r="I7" i="7"/>
  <c r="I8" i="7"/>
  <c r="I9" i="7"/>
  <c r="I10" i="7"/>
  <c r="I11" i="7"/>
  <c r="I12" i="7"/>
  <c r="I6" i="13"/>
  <c r="I7" i="13"/>
  <c r="I8" i="13"/>
  <c r="I9" i="13"/>
  <c r="I10" i="13"/>
  <c r="I11" i="13"/>
  <c r="I12" i="13"/>
  <c r="I6" i="20"/>
  <c r="I7" i="20"/>
  <c r="I8" i="20"/>
  <c r="I9" i="20"/>
  <c r="I10" i="20"/>
  <c r="I11" i="20"/>
  <c r="I6" i="10"/>
  <c r="I7" i="10"/>
  <c r="I8" i="10"/>
  <c r="I9" i="10"/>
  <c r="I10" i="10"/>
  <c r="I11" i="10"/>
  <c r="I12" i="10"/>
  <c r="I13" i="10"/>
  <c r="I14" i="10"/>
  <c r="I15" i="10"/>
  <c r="I16" i="10"/>
  <c r="I6" i="23"/>
  <c r="I7" i="23"/>
  <c r="I8" i="23"/>
  <c r="I9" i="23"/>
  <c r="I10" i="23"/>
  <c r="I11" i="23"/>
  <c r="I12" i="23"/>
  <c r="I13" i="23"/>
  <c r="I14" i="23"/>
  <c r="I15" i="23"/>
  <c r="I16" i="23"/>
  <c r="I6" i="19"/>
  <c r="I7" i="19"/>
  <c r="I8" i="19"/>
  <c r="I9" i="19"/>
  <c r="I10" i="19"/>
  <c r="I11" i="19"/>
  <c r="I12" i="19"/>
  <c r="I13" i="19"/>
  <c r="I14" i="19"/>
  <c r="I15" i="19"/>
  <c r="I16" i="19"/>
  <c r="I5" i="22"/>
  <c r="I5" i="21"/>
  <c r="I5" i="6"/>
  <c r="I5" i="11"/>
  <c r="I5" i="5"/>
  <c r="I5" i="15"/>
  <c r="I5" i="3"/>
  <c r="I5" i="2"/>
  <c r="I5" i="4"/>
  <c r="I5" i="30"/>
  <c r="I5" i="29"/>
  <c r="I5" i="28"/>
  <c r="I5" i="14"/>
  <c r="I5" i="18"/>
  <c r="I5" i="12"/>
  <c r="I5" i="16"/>
  <c r="I5" i="31"/>
  <c r="I5" i="7"/>
  <c r="I5" i="13"/>
  <c r="I5" i="20"/>
  <c r="I5" i="10"/>
  <c r="I5" i="23"/>
  <c r="I5" i="19"/>
  <c r="S15" i="31"/>
  <c r="F1" i="31" s="1"/>
  <c r="I1" i="31" s="1"/>
  <c r="J59" i="1"/>
  <c r="J5" i="13" s="1"/>
  <c r="G58" i="1"/>
  <c r="I16" i="1"/>
  <c r="J39" i="1"/>
  <c r="J16" i="10" s="1"/>
  <c r="I37" i="1"/>
  <c r="G37" i="1"/>
  <c r="J53" i="1"/>
  <c r="I62" i="1"/>
  <c r="G47" i="1"/>
  <c r="I47" i="1"/>
  <c r="J26" i="1"/>
  <c r="J15" i="10" s="1"/>
  <c r="I61" i="1"/>
  <c r="J46" i="1"/>
  <c r="J14" i="1"/>
  <c r="J6" i="15" l="1"/>
  <c r="J17" i="38"/>
  <c r="L17" i="38" s="1"/>
  <c r="J12" i="39"/>
  <c r="L12" i="39" s="1"/>
  <c r="J11" i="40"/>
  <c r="L11" i="40" s="1"/>
  <c r="J6" i="14"/>
  <c r="J6" i="38"/>
  <c r="L6" i="38" s="1"/>
  <c r="J11" i="13"/>
  <c r="J16" i="39"/>
  <c r="L16" i="39" s="1"/>
  <c r="J15" i="40"/>
  <c r="L15" i="40" s="1"/>
  <c r="X8" i="34"/>
  <c r="X8" i="32"/>
  <c r="S16" i="35"/>
  <c r="X8" i="36"/>
  <c r="S16" i="36"/>
  <c r="X8" i="33"/>
  <c r="S16" i="34"/>
  <c r="S16" i="33"/>
  <c r="S16" i="32"/>
  <c r="K37" i="1"/>
  <c r="N37" i="1" s="1"/>
  <c r="L37" i="1"/>
  <c r="O37" i="1" s="1"/>
  <c r="J61" i="1"/>
  <c r="J9" i="28" s="1"/>
  <c r="L9" i="28" s="1"/>
  <c r="O61" i="1"/>
  <c r="N61" i="1"/>
  <c r="J16" i="1"/>
  <c r="J6" i="11" s="1"/>
  <c r="N16" i="1"/>
  <c r="O16" i="1"/>
  <c r="J58" i="1"/>
  <c r="J5" i="18" s="1"/>
  <c r="K58" i="1"/>
  <c r="N58" i="1" s="1"/>
  <c r="L58" i="1"/>
  <c r="O58" i="1" s="1"/>
  <c r="K47" i="1"/>
  <c r="N47" i="1" s="1"/>
  <c r="L47" i="1"/>
  <c r="O47" i="1" s="1"/>
  <c r="X8" i="35"/>
  <c r="J62" i="1"/>
  <c r="J8" i="22" s="1"/>
  <c r="O62" i="1"/>
  <c r="N62" i="1"/>
  <c r="J8" i="28"/>
  <c r="L8" i="28" s="1"/>
  <c r="J6" i="16"/>
  <c r="J9" i="15"/>
  <c r="J6" i="20"/>
  <c r="J8" i="29"/>
  <c r="L8" i="29" s="1"/>
  <c r="J8" i="21"/>
  <c r="J8" i="19"/>
  <c r="J8" i="30"/>
  <c r="L8" i="30" s="1"/>
  <c r="L15" i="29"/>
  <c r="E7" i="31"/>
  <c r="G7" i="31" s="1"/>
  <c r="H7" i="31" s="1"/>
  <c r="K7" i="31" s="1"/>
  <c r="L7" i="31" s="1"/>
  <c r="E6" i="31"/>
  <c r="G6" i="31" s="1"/>
  <c r="H6" i="31" s="1"/>
  <c r="K6" i="31" s="1"/>
  <c r="L6" i="31" s="1"/>
  <c r="E5" i="31"/>
  <c r="G5" i="31" s="1"/>
  <c r="H5" i="31" s="1"/>
  <c r="K5" i="31" s="1"/>
  <c r="L5" i="31" s="1"/>
  <c r="J37" i="1"/>
  <c r="J11" i="3" s="1"/>
  <c r="J47" i="1"/>
  <c r="J71" i="1"/>
  <c r="J80" i="1"/>
  <c r="J10" i="7" s="1"/>
  <c r="J72" i="1"/>
  <c r="J7" i="28" l="1"/>
  <c r="L7" i="28" s="1"/>
  <c r="J6" i="10"/>
  <c r="J7" i="18"/>
  <c r="J7" i="22"/>
  <c r="J11" i="15"/>
  <c r="J7" i="19"/>
  <c r="J6" i="13"/>
  <c r="J7" i="21"/>
  <c r="J7" i="20"/>
  <c r="J7" i="29"/>
  <c r="L7" i="29" s="1"/>
  <c r="J7" i="30"/>
  <c r="L7" i="30" s="1"/>
  <c r="J7" i="38"/>
  <c r="L7" i="38" s="1"/>
  <c r="J9" i="29"/>
  <c r="L9" i="29" s="1"/>
  <c r="J9" i="19"/>
  <c r="J9" i="30"/>
  <c r="L9" i="30" s="1"/>
  <c r="J9" i="22"/>
  <c r="J9" i="21"/>
  <c r="J18" i="30"/>
  <c r="L18" i="30" s="1"/>
  <c r="J18" i="21"/>
  <c r="J5" i="5"/>
  <c r="J5" i="2"/>
  <c r="J5" i="12"/>
  <c r="J11" i="7"/>
  <c r="J8" i="6"/>
  <c r="J15" i="19"/>
  <c r="J15" i="28"/>
  <c r="L15" i="28" s="1"/>
  <c r="S16" i="31"/>
  <c r="X8" i="31"/>
  <c r="J40" i="1"/>
  <c r="J12" i="16" s="1"/>
  <c r="I69" i="1"/>
  <c r="G69" i="1"/>
  <c r="J68" i="1"/>
  <c r="J9" i="11" s="1"/>
  <c r="J67" i="1"/>
  <c r="J9" i="12" s="1"/>
  <c r="G66" i="1"/>
  <c r="I65" i="1"/>
  <c r="G65" i="1"/>
  <c r="J64" i="1"/>
  <c r="J11" i="2" s="1"/>
  <c r="J63" i="1"/>
  <c r="J14" i="10" s="1"/>
  <c r="J57" i="1"/>
  <c r="J13" i="10" s="1"/>
  <c r="J52" i="1"/>
  <c r="G51" i="1"/>
  <c r="J50" i="1"/>
  <c r="G48" i="1"/>
  <c r="J8" i="40" l="1"/>
  <c r="L8" i="40" s="1"/>
  <c r="J8" i="39"/>
  <c r="L8" i="39" s="1"/>
  <c r="K69" i="1"/>
  <c r="N69" i="1" s="1"/>
  <c r="L69" i="1"/>
  <c r="O69" i="1" s="1"/>
  <c r="L48" i="1"/>
  <c r="O48" i="1" s="1"/>
  <c r="K48" i="1"/>
  <c r="N48" i="1" s="1"/>
  <c r="K65" i="1"/>
  <c r="N65" i="1" s="1"/>
  <c r="L65" i="1"/>
  <c r="O65" i="1" s="1"/>
  <c r="J51" i="1"/>
  <c r="J6" i="4" s="1"/>
  <c r="K51" i="1"/>
  <c r="N51" i="1" s="1"/>
  <c r="L51" i="1"/>
  <c r="O51" i="1" s="1"/>
  <c r="J66" i="1"/>
  <c r="J12" i="29" s="1"/>
  <c r="L12" i="29" s="1"/>
  <c r="K66" i="1"/>
  <c r="N66" i="1" s="1"/>
  <c r="L66" i="1"/>
  <c r="O66" i="1" s="1"/>
  <c r="J9" i="5"/>
  <c r="J12" i="22"/>
  <c r="J12" i="30"/>
  <c r="L12" i="30" s="1"/>
  <c r="J12" i="19"/>
  <c r="J12" i="21"/>
  <c r="J7" i="11"/>
  <c r="J5" i="3"/>
  <c r="J11" i="28"/>
  <c r="L11" i="28" s="1"/>
  <c r="J11" i="22"/>
  <c r="J7" i="2"/>
  <c r="J7" i="10"/>
  <c r="J11" i="30"/>
  <c r="L11" i="30" s="1"/>
  <c r="J7" i="8"/>
  <c r="J11" i="19"/>
  <c r="J11" i="21"/>
  <c r="J7" i="23"/>
  <c r="J11" i="29"/>
  <c r="L11" i="29" s="1"/>
  <c r="J69" i="1"/>
  <c r="J65" i="1"/>
  <c r="I36" i="1"/>
  <c r="G36" i="1"/>
  <c r="J29" i="1"/>
  <c r="G11" i="1"/>
  <c r="G33" i="1"/>
  <c r="J31" i="1"/>
  <c r="I28" i="1"/>
  <c r="G28" i="1"/>
  <c r="J24" i="1"/>
  <c r="G27" i="1"/>
  <c r="J13" i="1"/>
  <c r="J12" i="1"/>
  <c r="G10" i="1"/>
  <c r="J8" i="1"/>
  <c r="G4" i="1"/>
  <c r="J12" i="28" l="1"/>
  <c r="L12" i="28" s="1"/>
  <c r="J14" i="23"/>
  <c r="J14" i="8"/>
  <c r="J8" i="38"/>
  <c r="L8" i="38" s="1"/>
  <c r="J10" i="40"/>
  <c r="L10" i="40" s="1"/>
  <c r="J11" i="39"/>
  <c r="L11" i="39" s="1"/>
  <c r="J10" i="39"/>
  <c r="L10" i="39" s="1"/>
  <c r="J12" i="40"/>
  <c r="L12" i="40" s="1"/>
  <c r="J12" i="13"/>
  <c r="J16" i="40"/>
  <c r="L16" i="40" s="1"/>
  <c r="J14" i="39"/>
  <c r="L14" i="39" s="1"/>
  <c r="J19" i="38"/>
  <c r="L19" i="38" s="1"/>
  <c r="J14" i="40"/>
  <c r="L14" i="40" s="1"/>
  <c r="J4" i="1"/>
  <c r="L4" i="1"/>
  <c r="O4" i="1" s="1"/>
  <c r="K4" i="1"/>
  <c r="N4" i="1" s="1"/>
  <c r="J11" i="1"/>
  <c r="K11" i="1"/>
  <c r="N11" i="1" s="1"/>
  <c r="L11" i="1"/>
  <c r="O11" i="1" s="1"/>
  <c r="J10" i="1"/>
  <c r="K10" i="1"/>
  <c r="N10" i="1" s="1"/>
  <c r="L10" i="1"/>
  <c r="O10" i="1" s="1"/>
  <c r="J33" i="1"/>
  <c r="J12" i="23" s="1"/>
  <c r="K33" i="1"/>
  <c r="N33" i="1" s="1"/>
  <c r="L33" i="1"/>
  <c r="O33" i="1" s="1"/>
  <c r="J27" i="1"/>
  <c r="J17" i="8" s="1"/>
  <c r="L27" i="1"/>
  <c r="O27" i="1" s="1"/>
  <c r="K27" i="1"/>
  <c r="N27" i="1" s="1"/>
  <c r="K36" i="1"/>
  <c r="N36" i="1" s="1"/>
  <c r="L36" i="1"/>
  <c r="O36" i="1" s="1"/>
  <c r="K28" i="1"/>
  <c r="N28" i="1" s="1"/>
  <c r="L28" i="1"/>
  <c r="O28" i="1" s="1"/>
  <c r="J8" i="5"/>
  <c r="J8" i="12"/>
  <c r="J7" i="7"/>
  <c r="J13" i="2"/>
  <c r="J17" i="29"/>
  <c r="L17" i="29" s="1"/>
  <c r="J17" i="22"/>
  <c r="J13" i="21"/>
  <c r="J8" i="16"/>
  <c r="J13" i="29"/>
  <c r="L13" i="29" s="1"/>
  <c r="J8" i="14"/>
  <c r="J13" i="8"/>
  <c r="J13" i="28"/>
  <c r="L13" i="28" s="1"/>
  <c r="J13" i="23"/>
  <c r="J13" i="22"/>
  <c r="J13" i="19"/>
  <c r="J10" i="3"/>
  <c r="J13" i="30"/>
  <c r="L13" i="30" s="1"/>
  <c r="J8" i="20"/>
  <c r="J9" i="18"/>
  <c r="J12" i="3"/>
  <c r="J12" i="2"/>
  <c r="J18" i="8"/>
  <c r="J8" i="7"/>
  <c r="J7" i="15"/>
  <c r="J18" i="23"/>
  <c r="J15" i="8"/>
  <c r="J15" i="23"/>
  <c r="J8" i="11"/>
  <c r="J10" i="28"/>
  <c r="L10" i="28" s="1"/>
  <c r="J11" i="10"/>
  <c r="J10" i="22"/>
  <c r="J10" i="30"/>
  <c r="L10" i="30" s="1"/>
  <c r="J10" i="19"/>
  <c r="J10" i="21"/>
  <c r="J10" i="29"/>
  <c r="L10" i="29" s="1"/>
  <c r="J9" i="23"/>
  <c r="J16" i="23"/>
  <c r="J6" i="8"/>
  <c r="J16" i="8"/>
  <c r="J6" i="23"/>
  <c r="J13" i="14"/>
  <c r="J9" i="8"/>
  <c r="J28" i="1"/>
  <c r="J13" i="38" s="1"/>
  <c r="L13" i="38" s="1"/>
  <c r="J36" i="1"/>
  <c r="G35" i="1"/>
  <c r="J56" i="1"/>
  <c r="J9" i="7" s="1"/>
  <c r="J49" i="1"/>
  <c r="J13" i="15" s="1"/>
  <c r="J48" i="1"/>
  <c r="J55" i="1"/>
  <c r="J15" i="39" s="1"/>
  <c r="L15" i="39" s="1"/>
  <c r="I54" i="1"/>
  <c r="J12" i="8" l="1"/>
  <c r="J12" i="15"/>
  <c r="J7" i="16"/>
  <c r="J5" i="23"/>
  <c r="J6" i="18"/>
  <c r="J5" i="22"/>
  <c r="J7" i="3"/>
  <c r="J5" i="20"/>
  <c r="J5" i="19"/>
  <c r="J5" i="8"/>
  <c r="J5" i="29"/>
  <c r="L5" i="29" s="1"/>
  <c r="J7" i="14"/>
  <c r="J7" i="4"/>
  <c r="J8" i="13"/>
  <c r="J5" i="11"/>
  <c r="J5" i="28"/>
  <c r="L5" i="28" s="1"/>
  <c r="J9" i="39"/>
  <c r="L9" i="39" s="1"/>
  <c r="J5" i="38"/>
  <c r="L5" i="38" s="1"/>
  <c r="J9" i="40"/>
  <c r="L9" i="40" s="1"/>
  <c r="J5" i="15"/>
  <c r="J16" i="38"/>
  <c r="L16" i="38" s="1"/>
  <c r="J5" i="21"/>
  <c r="J5" i="30"/>
  <c r="L5" i="30" s="1"/>
  <c r="J6" i="7"/>
  <c r="J5" i="4"/>
  <c r="J17" i="23"/>
  <c r="J35" i="1"/>
  <c r="J19" i="21" s="1"/>
  <c r="K35" i="1"/>
  <c r="N35" i="1" s="1"/>
  <c r="L35" i="1"/>
  <c r="O35" i="1" s="1"/>
  <c r="J54" i="1"/>
  <c r="J8" i="4" s="1"/>
  <c r="O54" i="1"/>
  <c r="N54" i="1"/>
  <c r="J19" i="30"/>
  <c r="L19" i="30" s="1"/>
  <c r="J20" i="30"/>
  <c r="L20" i="30" s="1"/>
  <c r="J20" i="21"/>
  <c r="J10" i="20"/>
  <c r="J10" i="23"/>
  <c r="J11" i="16"/>
  <c r="J10" i="8"/>
  <c r="J11" i="11"/>
  <c r="J10" i="14"/>
  <c r="J10" i="10"/>
  <c r="J9" i="16"/>
  <c r="J8" i="15"/>
  <c r="J9" i="13"/>
  <c r="J13" i="3"/>
  <c r="J14" i="15"/>
  <c r="J14" i="2"/>
  <c r="J8" i="3"/>
  <c r="J5" i="6"/>
  <c r="J17" i="1"/>
  <c r="J32" i="1"/>
  <c r="J10" i="38" s="1"/>
  <c r="L10" i="38" s="1"/>
  <c r="J77" i="1"/>
  <c r="J78" i="1"/>
  <c r="J76" i="1"/>
  <c r="J74" i="1"/>
  <c r="J79" i="1"/>
  <c r="J9" i="1"/>
  <c r="J5" i="1"/>
  <c r="J6" i="1"/>
  <c r="J7" i="1"/>
  <c r="J3" i="1"/>
  <c r="J5" i="40" l="1"/>
  <c r="L5" i="40" s="1"/>
  <c r="J5" i="39"/>
  <c r="L5" i="39" s="1"/>
  <c r="J13" i="39"/>
  <c r="L13" i="39" s="1"/>
  <c r="J13" i="40"/>
  <c r="L13" i="40" s="1"/>
  <c r="J7" i="39"/>
  <c r="L7" i="39" s="1"/>
  <c r="J18" i="38"/>
  <c r="L18" i="38" s="1"/>
  <c r="J7" i="40"/>
  <c r="L7" i="40" s="1"/>
  <c r="J11" i="20"/>
  <c r="J12" i="20"/>
  <c r="J7" i="6"/>
  <c r="J12" i="11"/>
  <c r="J12" i="10"/>
  <c r="J10" i="16"/>
  <c r="J10" i="11"/>
  <c r="J9" i="14"/>
  <c r="J9" i="20"/>
  <c r="J14" i="19"/>
  <c r="J14" i="29"/>
  <c r="L14" i="29" s="1"/>
  <c r="J14" i="28"/>
  <c r="L14" i="28" s="1"/>
  <c r="J14" i="22"/>
  <c r="J16" i="30"/>
  <c r="L16" i="30" s="1"/>
  <c r="J16" i="21"/>
  <c r="J17" i="30"/>
  <c r="L17" i="30" s="1"/>
  <c r="J17" i="21"/>
  <c r="J6" i="2"/>
  <c r="J5" i="14"/>
  <c r="J6" i="6"/>
  <c r="J8" i="2"/>
  <c r="J5" i="16"/>
  <c r="J9" i="3"/>
  <c r="J12" i="7"/>
  <c r="J6" i="5"/>
  <c r="J6" i="12"/>
  <c r="J16" i="22"/>
  <c r="J15" i="30"/>
  <c r="L15" i="30" s="1"/>
  <c r="J15" i="21"/>
  <c r="J16" i="29"/>
  <c r="L16" i="29" s="1"/>
  <c r="J16" i="28"/>
  <c r="L16" i="28" s="1"/>
  <c r="J16" i="19"/>
  <c r="J6" i="19"/>
  <c r="J6" i="21"/>
  <c r="J10" i="13"/>
  <c r="J6" i="29"/>
  <c r="L6" i="29" s="1"/>
  <c r="J6" i="28"/>
  <c r="L6" i="28" s="1"/>
  <c r="J8" i="8"/>
  <c r="J8" i="23"/>
  <c r="J6" i="22"/>
  <c r="J10" i="2"/>
  <c r="J9" i="4"/>
  <c r="J6" i="30"/>
  <c r="L6" i="30" s="1"/>
  <c r="J14" i="21"/>
  <c r="J7" i="12"/>
  <c r="J5" i="7"/>
  <c r="J7" i="5"/>
  <c r="J14" i="30"/>
  <c r="L14" i="30" s="1"/>
  <c r="J12" i="14"/>
  <c r="J11" i="14"/>
  <c r="J20" i="1"/>
  <c r="J21" i="1"/>
  <c r="J12" i="38" s="1"/>
  <c r="L12" i="38" s="1"/>
  <c r="J23" i="1"/>
  <c r="J22" i="1"/>
  <c r="J11" i="38" s="1"/>
  <c r="L11" i="38" s="1"/>
  <c r="D16" i="10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20" i="30"/>
  <c r="D19" i="30"/>
  <c r="D18" i="30"/>
  <c r="D17" i="30"/>
  <c r="D16" i="30"/>
  <c r="S15" i="30"/>
  <c r="D15" i="30"/>
  <c r="D14" i="30"/>
  <c r="D13" i="30"/>
  <c r="D12" i="30"/>
  <c r="D11" i="30"/>
  <c r="D10" i="30"/>
  <c r="D9" i="30"/>
  <c r="D8" i="30"/>
  <c r="D7" i="30"/>
  <c r="D6" i="30"/>
  <c r="D5" i="30"/>
  <c r="D21" i="29"/>
  <c r="D20" i="29"/>
  <c r="D19" i="29"/>
  <c r="D18" i="29"/>
  <c r="D17" i="29"/>
  <c r="D16" i="29"/>
  <c r="S15" i="29"/>
  <c r="F1" i="29" s="1"/>
  <c r="I1" i="29" s="1"/>
  <c r="D15" i="29"/>
  <c r="D14" i="29"/>
  <c r="D13" i="29"/>
  <c r="D12" i="29"/>
  <c r="D11" i="29"/>
  <c r="D10" i="29"/>
  <c r="D9" i="29"/>
  <c r="D8" i="29"/>
  <c r="D7" i="29"/>
  <c r="D6" i="29"/>
  <c r="D5" i="29"/>
  <c r="D16" i="28"/>
  <c r="S15" i="28"/>
  <c r="F1" i="28" s="1"/>
  <c r="I1" i="28" s="1"/>
  <c r="D15" i="28"/>
  <c r="D14" i="28"/>
  <c r="D13" i="28"/>
  <c r="D12" i="28"/>
  <c r="D11" i="28"/>
  <c r="D10" i="28"/>
  <c r="D9" i="28"/>
  <c r="D8" i="28"/>
  <c r="D7" i="28"/>
  <c r="D6" i="28"/>
  <c r="D5" i="28"/>
  <c r="D5" i="14"/>
  <c r="D18" i="23"/>
  <c r="D17" i="23"/>
  <c r="D16" i="23"/>
  <c r="D15" i="23"/>
  <c r="S15" i="23"/>
  <c r="F1" i="23" s="1"/>
  <c r="I1" i="23" s="1"/>
  <c r="D14" i="23"/>
  <c r="D13" i="23"/>
  <c r="D12" i="23"/>
  <c r="D11" i="23"/>
  <c r="D10" i="23"/>
  <c r="D9" i="23"/>
  <c r="D8" i="23"/>
  <c r="D7" i="23"/>
  <c r="D6" i="23"/>
  <c r="D5" i="23"/>
  <c r="D21" i="22"/>
  <c r="D20" i="22"/>
  <c r="D19" i="22"/>
  <c r="D18" i="22"/>
  <c r="D17" i="22"/>
  <c r="D16" i="22"/>
  <c r="S15" i="22"/>
  <c r="F1" i="22" s="1"/>
  <c r="I1" i="22" s="1"/>
  <c r="D15" i="22"/>
  <c r="D14" i="22"/>
  <c r="D13" i="22"/>
  <c r="D12" i="22"/>
  <c r="D11" i="22"/>
  <c r="D10" i="22"/>
  <c r="D9" i="22"/>
  <c r="D8" i="22"/>
  <c r="D7" i="22"/>
  <c r="D6" i="22"/>
  <c r="D5" i="22"/>
  <c r="S15" i="20"/>
  <c r="F1" i="20" s="1"/>
  <c r="I1" i="20" s="1"/>
  <c r="D12" i="20"/>
  <c r="D11" i="20"/>
  <c r="D10" i="20"/>
  <c r="D9" i="20"/>
  <c r="D8" i="20"/>
  <c r="D7" i="20"/>
  <c r="D6" i="20"/>
  <c r="D5" i="20"/>
  <c r="D16" i="19"/>
  <c r="S15" i="19"/>
  <c r="F1" i="19" s="1"/>
  <c r="I1" i="19" s="1"/>
  <c r="D15" i="19"/>
  <c r="D14" i="19"/>
  <c r="D13" i="19"/>
  <c r="D12" i="19"/>
  <c r="D11" i="19"/>
  <c r="D10" i="19"/>
  <c r="D9" i="19"/>
  <c r="D8" i="19"/>
  <c r="D7" i="19"/>
  <c r="D6" i="19"/>
  <c r="D5" i="19"/>
  <c r="S15" i="18"/>
  <c r="D9" i="18"/>
  <c r="D8" i="18"/>
  <c r="D7" i="18"/>
  <c r="D6" i="18"/>
  <c r="D5" i="18"/>
  <c r="S15" i="16"/>
  <c r="F1" i="16" s="1"/>
  <c r="I1" i="16" s="1"/>
  <c r="D12" i="16"/>
  <c r="D11" i="16"/>
  <c r="D10" i="16"/>
  <c r="D9" i="16"/>
  <c r="D8" i="16"/>
  <c r="D7" i="16"/>
  <c r="D6" i="16"/>
  <c r="D5" i="16"/>
  <c r="S15" i="15"/>
  <c r="F1" i="15" s="1"/>
  <c r="I1" i="15" s="1"/>
  <c r="D14" i="15"/>
  <c r="D13" i="15"/>
  <c r="D12" i="15"/>
  <c r="D11" i="15"/>
  <c r="D10" i="15"/>
  <c r="D9" i="15"/>
  <c r="D8" i="15"/>
  <c r="D7" i="15"/>
  <c r="D6" i="15"/>
  <c r="D5" i="15"/>
  <c r="S15" i="14"/>
  <c r="F1" i="14" s="1"/>
  <c r="I1" i="14" s="1"/>
  <c r="E5" i="14" s="1"/>
  <c r="D13" i="14"/>
  <c r="D12" i="14"/>
  <c r="D11" i="14"/>
  <c r="D10" i="14"/>
  <c r="D9" i="14"/>
  <c r="D8" i="14"/>
  <c r="D7" i="14"/>
  <c r="D6" i="14"/>
  <c r="S15" i="13"/>
  <c r="F1" i="13" s="1"/>
  <c r="I1" i="13" s="1"/>
  <c r="D12" i="13"/>
  <c r="D11" i="13"/>
  <c r="D10" i="13"/>
  <c r="D9" i="13"/>
  <c r="D8" i="13"/>
  <c r="D7" i="13"/>
  <c r="D6" i="13"/>
  <c r="D5" i="13"/>
  <c r="S15" i="12"/>
  <c r="F1" i="12" s="1"/>
  <c r="I1" i="12" s="1"/>
  <c r="D9" i="12"/>
  <c r="D8" i="12"/>
  <c r="D7" i="12"/>
  <c r="D6" i="12"/>
  <c r="D5" i="12"/>
  <c r="S15" i="11"/>
  <c r="F1" i="11" s="1"/>
  <c r="I1" i="11" s="1"/>
  <c r="D12" i="11"/>
  <c r="D11" i="11"/>
  <c r="D10" i="11"/>
  <c r="D9" i="11"/>
  <c r="D8" i="11"/>
  <c r="D7" i="11"/>
  <c r="D6" i="11"/>
  <c r="D5" i="11"/>
  <c r="S15" i="10"/>
  <c r="F1" i="10" s="1"/>
  <c r="I1" i="10" s="1"/>
  <c r="D15" i="10"/>
  <c r="D13" i="10"/>
  <c r="D12" i="10"/>
  <c r="D11" i="10"/>
  <c r="D10" i="10"/>
  <c r="D9" i="10"/>
  <c r="D8" i="10"/>
  <c r="D7" i="10"/>
  <c r="D6" i="10"/>
  <c r="D5" i="10"/>
  <c r="S15" i="8"/>
  <c r="F1" i="8" s="1"/>
  <c r="I1" i="8" s="1"/>
  <c r="S15" i="7"/>
  <c r="F1" i="7" s="1"/>
  <c r="I1" i="7" s="1"/>
  <c r="D12" i="7"/>
  <c r="D10" i="7"/>
  <c r="D9" i="7"/>
  <c r="D8" i="7"/>
  <c r="D7" i="7"/>
  <c r="D6" i="7"/>
  <c r="D5" i="7"/>
  <c r="S15" i="6"/>
  <c r="F1" i="6" s="1"/>
  <c r="I1" i="6" s="1"/>
  <c r="D8" i="6"/>
  <c r="D7" i="6"/>
  <c r="D6" i="6"/>
  <c r="D5" i="6"/>
  <c r="S15" i="5"/>
  <c r="F1" i="5" s="1"/>
  <c r="I1" i="5" s="1"/>
  <c r="D9" i="5"/>
  <c r="D8" i="5"/>
  <c r="D7" i="5"/>
  <c r="D6" i="5"/>
  <c r="D5" i="5"/>
  <c r="S15" i="4"/>
  <c r="F1" i="4" s="1"/>
  <c r="I1" i="4" s="1"/>
  <c r="D9" i="4"/>
  <c r="D8" i="4"/>
  <c r="D7" i="4"/>
  <c r="D6" i="4"/>
  <c r="D5" i="4"/>
  <c r="F1" i="3"/>
  <c r="I1" i="3" s="1"/>
  <c r="D13" i="3"/>
  <c r="D12" i="3"/>
  <c r="D11" i="3"/>
  <c r="D10" i="3"/>
  <c r="D9" i="3"/>
  <c r="D8" i="3"/>
  <c r="D7" i="3"/>
  <c r="D6" i="3"/>
  <c r="D5" i="3"/>
  <c r="S15" i="2"/>
  <c r="F1" i="2" s="1"/>
  <c r="I1" i="2" s="1"/>
  <c r="D14" i="2"/>
  <c r="D13" i="2"/>
  <c r="D12" i="2"/>
  <c r="D11" i="2"/>
  <c r="D10" i="2"/>
  <c r="D9" i="2"/>
  <c r="D8" i="2"/>
  <c r="D7" i="2"/>
  <c r="D6" i="2"/>
  <c r="D5" i="2"/>
  <c r="D20" i="21"/>
  <c r="D19" i="21"/>
  <c r="D18" i="21"/>
  <c r="D17" i="21"/>
  <c r="D16" i="21"/>
  <c r="S15" i="21"/>
  <c r="F1" i="21" s="1"/>
  <c r="I1" i="21" s="1"/>
  <c r="D15" i="21"/>
  <c r="D14" i="21"/>
  <c r="D13" i="21"/>
  <c r="D12" i="21"/>
  <c r="D11" i="21"/>
  <c r="D10" i="21"/>
  <c r="D9" i="21"/>
  <c r="D8" i="21"/>
  <c r="D7" i="21"/>
  <c r="D6" i="21"/>
  <c r="D5" i="21"/>
  <c r="S16" i="38" l="1"/>
  <c r="X8" i="38" s="1"/>
  <c r="S16" i="39"/>
  <c r="X8" i="39" s="1"/>
  <c r="S16" i="40"/>
  <c r="X8" i="40" s="1"/>
  <c r="F1" i="18"/>
  <c r="I1" i="18" s="1"/>
  <c r="E6" i="18" s="1"/>
  <c r="G6" i="18" s="1"/>
  <c r="H6" i="18" s="1"/>
  <c r="K6" i="18" s="1"/>
  <c r="L6" i="18" s="1"/>
  <c r="J11" i="8"/>
  <c r="J20" i="29"/>
  <c r="L20" i="29" s="1"/>
  <c r="J11" i="23"/>
  <c r="J20" i="22"/>
  <c r="J21" i="29"/>
  <c r="L21" i="29" s="1"/>
  <c r="J21" i="22"/>
  <c r="J8" i="10"/>
  <c r="J18" i="29"/>
  <c r="L18" i="29" s="1"/>
  <c r="J18" i="22"/>
  <c r="J19" i="22"/>
  <c r="J9" i="10"/>
  <c r="J19" i="29"/>
  <c r="L19" i="29" s="1"/>
  <c r="F1" i="30"/>
  <c r="I1" i="30" s="1"/>
  <c r="E16" i="10"/>
  <c r="G16" i="10" s="1"/>
  <c r="H16" i="10" s="1"/>
  <c r="K16" i="10" s="1"/>
  <c r="L16" i="10" s="1"/>
  <c r="E14" i="10"/>
  <c r="G14" i="10" s="1"/>
  <c r="H14" i="10" s="1"/>
  <c r="K14" i="10" s="1"/>
  <c r="L14" i="10" s="1"/>
  <c r="E18" i="8"/>
  <c r="G18" i="8" s="1"/>
  <c r="H18" i="8" s="1"/>
  <c r="K18" i="8" s="1"/>
  <c r="L18" i="8" s="1"/>
  <c r="E17" i="8"/>
  <c r="G17" i="8" s="1"/>
  <c r="H17" i="8" s="1"/>
  <c r="K17" i="8" s="1"/>
  <c r="L17" i="8" s="1"/>
  <c r="E16" i="8"/>
  <c r="G16" i="8" s="1"/>
  <c r="H16" i="8" s="1"/>
  <c r="K16" i="8" s="1"/>
  <c r="L16" i="8" s="1"/>
  <c r="E15" i="8"/>
  <c r="G15" i="8" s="1"/>
  <c r="H15" i="8" s="1"/>
  <c r="K15" i="8" s="1"/>
  <c r="L15" i="8" s="1"/>
  <c r="E14" i="8"/>
  <c r="G14" i="8" s="1"/>
  <c r="H14" i="8" s="1"/>
  <c r="K14" i="8" s="1"/>
  <c r="L14" i="8" s="1"/>
  <c r="E13" i="8"/>
  <c r="G13" i="8" s="1"/>
  <c r="H13" i="8" s="1"/>
  <c r="K13" i="8" s="1"/>
  <c r="L13" i="8" s="1"/>
  <c r="E8" i="8"/>
  <c r="G8" i="8" s="1"/>
  <c r="H8" i="8" s="1"/>
  <c r="K8" i="8" s="1"/>
  <c r="L8" i="8" s="1"/>
  <c r="E7" i="8"/>
  <c r="G7" i="8" s="1"/>
  <c r="H7" i="8" s="1"/>
  <c r="K7" i="8" s="1"/>
  <c r="L7" i="8" s="1"/>
  <c r="E6" i="8"/>
  <c r="G6" i="8" s="1"/>
  <c r="H6" i="8" s="1"/>
  <c r="K6" i="8" s="1"/>
  <c r="L6" i="8" s="1"/>
  <c r="E9" i="8"/>
  <c r="G9" i="8" s="1"/>
  <c r="H9" i="8" s="1"/>
  <c r="K9" i="8" s="1"/>
  <c r="L9" i="8" s="1"/>
  <c r="E12" i="8"/>
  <c r="G12" i="8" s="1"/>
  <c r="H12" i="8" s="1"/>
  <c r="K12" i="8" s="1"/>
  <c r="L12" i="8" s="1"/>
  <c r="E10" i="8"/>
  <c r="G10" i="8" s="1"/>
  <c r="H10" i="8" s="1"/>
  <c r="K10" i="8" s="1"/>
  <c r="L10" i="8" s="1"/>
  <c r="E11" i="8"/>
  <c r="G11" i="8" s="1"/>
  <c r="H11" i="8" s="1"/>
  <c r="K11" i="8" s="1"/>
  <c r="E5" i="8"/>
  <c r="G5" i="8" s="1"/>
  <c r="H5" i="8" s="1"/>
  <c r="K5" i="8" s="1"/>
  <c r="L5" i="8" s="1"/>
  <c r="E8" i="29"/>
  <c r="G8" i="29" s="1"/>
  <c r="H8" i="29" s="1"/>
  <c r="K8" i="29" s="1"/>
  <c r="E12" i="29"/>
  <c r="G12" i="29" s="1"/>
  <c r="H12" i="29" s="1"/>
  <c r="K12" i="29" s="1"/>
  <c r="E20" i="29"/>
  <c r="G20" i="29" s="1"/>
  <c r="H20" i="29" s="1"/>
  <c r="K20" i="29" s="1"/>
  <c r="E13" i="29"/>
  <c r="G13" i="29" s="1"/>
  <c r="H13" i="29" s="1"/>
  <c r="K13" i="29" s="1"/>
  <c r="E19" i="29"/>
  <c r="G19" i="29" s="1"/>
  <c r="H19" i="29" s="1"/>
  <c r="K19" i="29" s="1"/>
  <c r="E18" i="29"/>
  <c r="G18" i="29" s="1"/>
  <c r="H18" i="29" s="1"/>
  <c r="K18" i="29" s="1"/>
  <c r="E7" i="29"/>
  <c r="G7" i="29" s="1"/>
  <c r="H7" i="29" s="1"/>
  <c r="K7" i="29" s="1"/>
  <c r="E5" i="29"/>
  <c r="G5" i="29" s="1"/>
  <c r="H5" i="29" s="1"/>
  <c r="K5" i="29" s="1"/>
  <c r="E10" i="29"/>
  <c r="G10" i="29" s="1"/>
  <c r="H10" i="29" s="1"/>
  <c r="K10" i="29" s="1"/>
  <c r="E17" i="29"/>
  <c r="G17" i="29" s="1"/>
  <c r="H17" i="29" s="1"/>
  <c r="K17" i="29" s="1"/>
  <c r="E14" i="29"/>
  <c r="G14" i="29" s="1"/>
  <c r="H14" i="29" s="1"/>
  <c r="K14" i="29" s="1"/>
  <c r="E15" i="29"/>
  <c r="G15" i="29" s="1"/>
  <c r="H15" i="29" s="1"/>
  <c r="K15" i="29" s="1"/>
  <c r="E16" i="29"/>
  <c r="G16" i="29" s="1"/>
  <c r="H16" i="29" s="1"/>
  <c r="K16" i="29" s="1"/>
  <c r="E21" i="29"/>
  <c r="G21" i="29" s="1"/>
  <c r="H21" i="29" s="1"/>
  <c r="K21" i="29" s="1"/>
  <c r="E6" i="29"/>
  <c r="G6" i="29" s="1"/>
  <c r="H6" i="29" s="1"/>
  <c r="K6" i="29" s="1"/>
  <c r="E9" i="29"/>
  <c r="G9" i="29" s="1"/>
  <c r="H9" i="29" s="1"/>
  <c r="K9" i="29" s="1"/>
  <c r="E11" i="29"/>
  <c r="G11" i="29" s="1"/>
  <c r="H11" i="29" s="1"/>
  <c r="K11" i="29" s="1"/>
  <c r="E11" i="28"/>
  <c r="G11" i="28" s="1"/>
  <c r="H11" i="28" s="1"/>
  <c r="K11" i="28" s="1"/>
  <c r="E9" i="28"/>
  <c r="G9" i="28" s="1"/>
  <c r="H9" i="28" s="1"/>
  <c r="K9" i="28" s="1"/>
  <c r="E7" i="28"/>
  <c r="G7" i="28" s="1"/>
  <c r="H7" i="28" s="1"/>
  <c r="K7" i="28" s="1"/>
  <c r="E8" i="28"/>
  <c r="G8" i="28" s="1"/>
  <c r="H8" i="28" s="1"/>
  <c r="K8" i="28" s="1"/>
  <c r="E5" i="28"/>
  <c r="G5" i="28" s="1"/>
  <c r="H5" i="28" s="1"/>
  <c r="K5" i="28" s="1"/>
  <c r="E14" i="28"/>
  <c r="G14" i="28" s="1"/>
  <c r="H14" i="28" s="1"/>
  <c r="K14" i="28" s="1"/>
  <c r="E10" i="28"/>
  <c r="G10" i="28" s="1"/>
  <c r="H10" i="28" s="1"/>
  <c r="K10" i="28" s="1"/>
  <c r="E13" i="28"/>
  <c r="G13" i="28" s="1"/>
  <c r="H13" i="28" s="1"/>
  <c r="K13" i="28" s="1"/>
  <c r="E16" i="28"/>
  <c r="G16" i="28" s="1"/>
  <c r="H16" i="28" s="1"/>
  <c r="K16" i="28" s="1"/>
  <c r="E15" i="28"/>
  <c r="G15" i="28" s="1"/>
  <c r="H15" i="28" s="1"/>
  <c r="K15" i="28" s="1"/>
  <c r="E12" i="28"/>
  <c r="G12" i="28" s="1"/>
  <c r="H12" i="28" s="1"/>
  <c r="K12" i="28" s="1"/>
  <c r="E6" i="28"/>
  <c r="G6" i="28" s="1"/>
  <c r="H6" i="28" s="1"/>
  <c r="K6" i="28" s="1"/>
  <c r="E7" i="23"/>
  <c r="G7" i="23" s="1"/>
  <c r="H7" i="23" s="1"/>
  <c r="K7" i="23" s="1"/>
  <c r="L7" i="23" s="1"/>
  <c r="E16" i="23"/>
  <c r="G16" i="23" s="1"/>
  <c r="H16" i="23" s="1"/>
  <c r="K16" i="23" s="1"/>
  <c r="L16" i="23" s="1"/>
  <c r="E17" i="23"/>
  <c r="G17" i="23" s="1"/>
  <c r="H17" i="23" s="1"/>
  <c r="K17" i="23" s="1"/>
  <c r="L17" i="23" s="1"/>
  <c r="E5" i="23"/>
  <c r="G5" i="23" s="1"/>
  <c r="H5" i="23" s="1"/>
  <c r="K5" i="23" s="1"/>
  <c r="L5" i="23" s="1"/>
  <c r="E10" i="23"/>
  <c r="G10" i="23" s="1"/>
  <c r="H10" i="23" s="1"/>
  <c r="K10" i="23" s="1"/>
  <c r="L10" i="23" s="1"/>
  <c r="E11" i="23"/>
  <c r="G11" i="23" s="1"/>
  <c r="H11" i="23" s="1"/>
  <c r="K11" i="23" s="1"/>
  <c r="E6" i="23"/>
  <c r="G6" i="23" s="1"/>
  <c r="H6" i="23" s="1"/>
  <c r="K6" i="23" s="1"/>
  <c r="L6" i="23" s="1"/>
  <c r="E8" i="23"/>
  <c r="G8" i="23" s="1"/>
  <c r="H8" i="23" s="1"/>
  <c r="K8" i="23" s="1"/>
  <c r="L8" i="23" s="1"/>
  <c r="E12" i="23"/>
  <c r="G12" i="23" s="1"/>
  <c r="H12" i="23" s="1"/>
  <c r="K12" i="23" s="1"/>
  <c r="L12" i="23" s="1"/>
  <c r="E9" i="23"/>
  <c r="G9" i="23" s="1"/>
  <c r="H9" i="23" s="1"/>
  <c r="K9" i="23" s="1"/>
  <c r="L9" i="23" s="1"/>
  <c r="E13" i="23"/>
  <c r="G13" i="23" s="1"/>
  <c r="H13" i="23" s="1"/>
  <c r="K13" i="23" s="1"/>
  <c r="L13" i="23" s="1"/>
  <c r="E14" i="23"/>
  <c r="G14" i="23" s="1"/>
  <c r="H14" i="23" s="1"/>
  <c r="K14" i="23" s="1"/>
  <c r="L14" i="23" s="1"/>
  <c r="E15" i="23"/>
  <c r="G15" i="23" s="1"/>
  <c r="H15" i="23" s="1"/>
  <c r="K15" i="23" s="1"/>
  <c r="L15" i="23" s="1"/>
  <c r="E18" i="23"/>
  <c r="G18" i="23" s="1"/>
  <c r="H18" i="23" s="1"/>
  <c r="K18" i="23" s="1"/>
  <c r="L18" i="23" s="1"/>
  <c r="E5" i="22"/>
  <c r="G5" i="22" s="1"/>
  <c r="H5" i="22" s="1"/>
  <c r="K5" i="22" s="1"/>
  <c r="L5" i="22" s="1"/>
  <c r="E6" i="22"/>
  <c r="G6" i="22" s="1"/>
  <c r="H6" i="22" s="1"/>
  <c r="K6" i="22" s="1"/>
  <c r="L6" i="22" s="1"/>
  <c r="E9" i="22"/>
  <c r="G9" i="22" s="1"/>
  <c r="H9" i="22" s="1"/>
  <c r="K9" i="22" s="1"/>
  <c r="L9" i="22" s="1"/>
  <c r="E10" i="22"/>
  <c r="G10" i="22" s="1"/>
  <c r="H10" i="22" s="1"/>
  <c r="K10" i="22" s="1"/>
  <c r="L10" i="22" s="1"/>
  <c r="E13" i="22"/>
  <c r="G13" i="22" s="1"/>
  <c r="H13" i="22" s="1"/>
  <c r="K13" i="22" s="1"/>
  <c r="L13" i="22" s="1"/>
  <c r="E15" i="22"/>
  <c r="G15" i="22" s="1"/>
  <c r="H15" i="22" s="1"/>
  <c r="K15" i="22" s="1"/>
  <c r="L15" i="22" s="1"/>
  <c r="E17" i="22"/>
  <c r="G17" i="22" s="1"/>
  <c r="H17" i="22" s="1"/>
  <c r="K17" i="22" s="1"/>
  <c r="L17" i="22" s="1"/>
  <c r="E11" i="22"/>
  <c r="G11" i="22" s="1"/>
  <c r="H11" i="22" s="1"/>
  <c r="K11" i="22" s="1"/>
  <c r="L11" i="22" s="1"/>
  <c r="E18" i="22"/>
  <c r="G18" i="22" s="1"/>
  <c r="H18" i="22" s="1"/>
  <c r="K18" i="22" s="1"/>
  <c r="E8" i="22"/>
  <c r="G8" i="22" s="1"/>
  <c r="H8" i="22" s="1"/>
  <c r="K8" i="22" s="1"/>
  <c r="L8" i="22" s="1"/>
  <c r="E16" i="22"/>
  <c r="G16" i="22" s="1"/>
  <c r="H16" i="22" s="1"/>
  <c r="K16" i="22" s="1"/>
  <c r="L16" i="22" s="1"/>
  <c r="E19" i="22"/>
  <c r="G19" i="22" s="1"/>
  <c r="H19" i="22" s="1"/>
  <c r="K19" i="22" s="1"/>
  <c r="E20" i="22"/>
  <c r="G20" i="22" s="1"/>
  <c r="H20" i="22" s="1"/>
  <c r="K20" i="22" s="1"/>
  <c r="E21" i="22"/>
  <c r="G21" i="22" s="1"/>
  <c r="H21" i="22" s="1"/>
  <c r="K21" i="22" s="1"/>
  <c r="E7" i="22"/>
  <c r="G7" i="22" s="1"/>
  <c r="H7" i="22" s="1"/>
  <c r="K7" i="22" s="1"/>
  <c r="L7" i="22" s="1"/>
  <c r="E12" i="22"/>
  <c r="G12" i="22" s="1"/>
  <c r="H12" i="22" s="1"/>
  <c r="K12" i="22" s="1"/>
  <c r="L12" i="22" s="1"/>
  <c r="E14" i="22"/>
  <c r="G14" i="22" s="1"/>
  <c r="H14" i="22" s="1"/>
  <c r="K14" i="22" s="1"/>
  <c r="L14" i="22" s="1"/>
  <c r="E11" i="20"/>
  <c r="G11" i="20" s="1"/>
  <c r="H11" i="20" s="1"/>
  <c r="K11" i="20" s="1"/>
  <c r="L11" i="20" s="1"/>
  <c r="E6" i="20"/>
  <c r="G6" i="20" s="1"/>
  <c r="H6" i="20" s="1"/>
  <c r="K6" i="20" s="1"/>
  <c r="L6" i="20" s="1"/>
  <c r="E5" i="20"/>
  <c r="G5" i="20" s="1"/>
  <c r="H5" i="20" s="1"/>
  <c r="K5" i="20" s="1"/>
  <c r="L5" i="20" s="1"/>
  <c r="E8" i="20"/>
  <c r="G8" i="20" s="1"/>
  <c r="H8" i="20" s="1"/>
  <c r="K8" i="20" s="1"/>
  <c r="L8" i="20" s="1"/>
  <c r="E7" i="20"/>
  <c r="G7" i="20" s="1"/>
  <c r="H7" i="20" s="1"/>
  <c r="K7" i="20" s="1"/>
  <c r="L7" i="20" s="1"/>
  <c r="E9" i="20"/>
  <c r="G9" i="20" s="1"/>
  <c r="H9" i="20" s="1"/>
  <c r="K9" i="20" s="1"/>
  <c r="L9" i="20" s="1"/>
  <c r="E10" i="20"/>
  <c r="G10" i="20" s="1"/>
  <c r="H10" i="20" s="1"/>
  <c r="K10" i="20" s="1"/>
  <c r="L10" i="20" s="1"/>
  <c r="E12" i="20"/>
  <c r="G12" i="20" s="1"/>
  <c r="H12" i="20" s="1"/>
  <c r="K12" i="20" s="1"/>
  <c r="L12" i="20" s="1"/>
  <c r="E6" i="19"/>
  <c r="G6" i="19" s="1"/>
  <c r="H6" i="19" s="1"/>
  <c r="K6" i="19" s="1"/>
  <c r="L6" i="19" s="1"/>
  <c r="E12" i="19"/>
  <c r="G12" i="19" s="1"/>
  <c r="H12" i="19" s="1"/>
  <c r="K12" i="19" s="1"/>
  <c r="L12" i="19" s="1"/>
  <c r="E5" i="19"/>
  <c r="G5" i="19" s="1"/>
  <c r="H5" i="19" s="1"/>
  <c r="K5" i="19" s="1"/>
  <c r="L5" i="19" s="1"/>
  <c r="E14" i="19"/>
  <c r="G14" i="19" s="1"/>
  <c r="H14" i="19" s="1"/>
  <c r="K14" i="19" s="1"/>
  <c r="L14" i="19" s="1"/>
  <c r="E7" i="19"/>
  <c r="G7" i="19" s="1"/>
  <c r="H7" i="19" s="1"/>
  <c r="K7" i="19" s="1"/>
  <c r="L7" i="19" s="1"/>
  <c r="E16" i="19"/>
  <c r="G16" i="19" s="1"/>
  <c r="H16" i="19" s="1"/>
  <c r="K16" i="19" s="1"/>
  <c r="L16" i="19" s="1"/>
  <c r="E11" i="19"/>
  <c r="G11" i="19" s="1"/>
  <c r="H11" i="19" s="1"/>
  <c r="K11" i="19" s="1"/>
  <c r="L11" i="19" s="1"/>
  <c r="E8" i="19"/>
  <c r="G8" i="19" s="1"/>
  <c r="H8" i="19" s="1"/>
  <c r="K8" i="19" s="1"/>
  <c r="L8" i="19" s="1"/>
  <c r="E9" i="19"/>
  <c r="G9" i="19" s="1"/>
  <c r="H9" i="19" s="1"/>
  <c r="K9" i="19" s="1"/>
  <c r="L9" i="19" s="1"/>
  <c r="E10" i="19"/>
  <c r="G10" i="19" s="1"/>
  <c r="H10" i="19" s="1"/>
  <c r="K10" i="19" s="1"/>
  <c r="L10" i="19" s="1"/>
  <c r="E13" i="19"/>
  <c r="G13" i="19" s="1"/>
  <c r="H13" i="19" s="1"/>
  <c r="K13" i="19" s="1"/>
  <c r="L13" i="19" s="1"/>
  <c r="E15" i="19"/>
  <c r="G15" i="19" s="1"/>
  <c r="H15" i="19" s="1"/>
  <c r="K15" i="19" s="1"/>
  <c r="L15" i="19" s="1"/>
  <c r="E5" i="16"/>
  <c r="G5" i="16" s="1"/>
  <c r="H5" i="16" s="1"/>
  <c r="K5" i="16" s="1"/>
  <c r="L5" i="16" s="1"/>
  <c r="E6" i="16"/>
  <c r="G6" i="16" s="1"/>
  <c r="H6" i="16" s="1"/>
  <c r="K6" i="16" s="1"/>
  <c r="L6" i="16" s="1"/>
  <c r="E7" i="16"/>
  <c r="G7" i="16" s="1"/>
  <c r="H7" i="16" s="1"/>
  <c r="K7" i="16" s="1"/>
  <c r="L7" i="16" s="1"/>
  <c r="E8" i="16"/>
  <c r="G8" i="16" s="1"/>
  <c r="H8" i="16" s="1"/>
  <c r="K8" i="16" s="1"/>
  <c r="L8" i="16" s="1"/>
  <c r="E9" i="16"/>
  <c r="G9" i="16" s="1"/>
  <c r="H9" i="16" s="1"/>
  <c r="K9" i="16" s="1"/>
  <c r="L9" i="16" s="1"/>
  <c r="E10" i="16"/>
  <c r="G10" i="16" s="1"/>
  <c r="H10" i="16" s="1"/>
  <c r="K10" i="16" s="1"/>
  <c r="L10" i="16" s="1"/>
  <c r="E11" i="16"/>
  <c r="G11" i="16" s="1"/>
  <c r="H11" i="16" s="1"/>
  <c r="K11" i="16" s="1"/>
  <c r="L11" i="16" s="1"/>
  <c r="E12" i="16"/>
  <c r="G12" i="16" s="1"/>
  <c r="H12" i="16" s="1"/>
  <c r="K12" i="16" s="1"/>
  <c r="L12" i="16" s="1"/>
  <c r="E5" i="15"/>
  <c r="G5" i="15" s="1"/>
  <c r="H5" i="15" s="1"/>
  <c r="K5" i="15" s="1"/>
  <c r="L5" i="15" s="1"/>
  <c r="E6" i="15"/>
  <c r="G6" i="15" s="1"/>
  <c r="H6" i="15" s="1"/>
  <c r="K6" i="15" s="1"/>
  <c r="L6" i="15" s="1"/>
  <c r="E7" i="15"/>
  <c r="G7" i="15" s="1"/>
  <c r="H7" i="15" s="1"/>
  <c r="K7" i="15" s="1"/>
  <c r="L7" i="15" s="1"/>
  <c r="E8" i="15"/>
  <c r="G8" i="15" s="1"/>
  <c r="H8" i="15" s="1"/>
  <c r="K8" i="15" s="1"/>
  <c r="L8" i="15" s="1"/>
  <c r="E9" i="15"/>
  <c r="G9" i="15" s="1"/>
  <c r="H9" i="15" s="1"/>
  <c r="K9" i="15" s="1"/>
  <c r="L9" i="15" s="1"/>
  <c r="E10" i="15"/>
  <c r="G10" i="15" s="1"/>
  <c r="H10" i="15" s="1"/>
  <c r="K10" i="15" s="1"/>
  <c r="L10" i="15" s="1"/>
  <c r="E11" i="15"/>
  <c r="G11" i="15" s="1"/>
  <c r="H11" i="15" s="1"/>
  <c r="K11" i="15" s="1"/>
  <c r="L11" i="15" s="1"/>
  <c r="E12" i="15"/>
  <c r="G12" i="15" s="1"/>
  <c r="H12" i="15" s="1"/>
  <c r="K12" i="15" s="1"/>
  <c r="L12" i="15" s="1"/>
  <c r="E13" i="15"/>
  <c r="G13" i="15" s="1"/>
  <c r="H13" i="15" s="1"/>
  <c r="K13" i="15" s="1"/>
  <c r="L13" i="15" s="1"/>
  <c r="E14" i="15"/>
  <c r="G14" i="15" s="1"/>
  <c r="H14" i="15" s="1"/>
  <c r="K14" i="15" s="1"/>
  <c r="L14" i="15" s="1"/>
  <c r="G5" i="14"/>
  <c r="H5" i="14" s="1"/>
  <c r="K5" i="14" s="1"/>
  <c r="L5" i="14" s="1"/>
  <c r="E6" i="14"/>
  <c r="G6" i="14" s="1"/>
  <c r="H6" i="14" s="1"/>
  <c r="K6" i="14" s="1"/>
  <c r="L6" i="14" s="1"/>
  <c r="E7" i="14"/>
  <c r="G7" i="14" s="1"/>
  <c r="H7" i="14" s="1"/>
  <c r="K7" i="14" s="1"/>
  <c r="L7" i="14" s="1"/>
  <c r="E8" i="14"/>
  <c r="G8" i="14" s="1"/>
  <c r="H8" i="14" s="1"/>
  <c r="K8" i="14" s="1"/>
  <c r="L8" i="14" s="1"/>
  <c r="E9" i="14"/>
  <c r="G9" i="14" s="1"/>
  <c r="H9" i="14" s="1"/>
  <c r="K9" i="14" s="1"/>
  <c r="L9" i="14" s="1"/>
  <c r="E10" i="14"/>
  <c r="G10" i="14" s="1"/>
  <c r="H10" i="14" s="1"/>
  <c r="K10" i="14" s="1"/>
  <c r="L10" i="14" s="1"/>
  <c r="E11" i="14"/>
  <c r="G11" i="14" s="1"/>
  <c r="H11" i="14" s="1"/>
  <c r="K11" i="14" s="1"/>
  <c r="L11" i="14" s="1"/>
  <c r="E12" i="14"/>
  <c r="G12" i="14" s="1"/>
  <c r="H12" i="14" s="1"/>
  <c r="K12" i="14" s="1"/>
  <c r="L12" i="14" s="1"/>
  <c r="E13" i="14"/>
  <c r="G13" i="14" s="1"/>
  <c r="H13" i="14" s="1"/>
  <c r="K13" i="14" s="1"/>
  <c r="L13" i="14" s="1"/>
  <c r="E5" i="13"/>
  <c r="G5" i="13" s="1"/>
  <c r="H5" i="13" s="1"/>
  <c r="K5" i="13" s="1"/>
  <c r="L5" i="13" s="1"/>
  <c r="E6" i="13"/>
  <c r="G6" i="13" s="1"/>
  <c r="H6" i="13" s="1"/>
  <c r="K6" i="13" s="1"/>
  <c r="L6" i="13" s="1"/>
  <c r="E7" i="13"/>
  <c r="G7" i="13" s="1"/>
  <c r="H7" i="13" s="1"/>
  <c r="K7" i="13" s="1"/>
  <c r="L7" i="13" s="1"/>
  <c r="E8" i="13"/>
  <c r="G8" i="13" s="1"/>
  <c r="H8" i="13" s="1"/>
  <c r="K8" i="13" s="1"/>
  <c r="L8" i="13" s="1"/>
  <c r="E9" i="13"/>
  <c r="G9" i="13" s="1"/>
  <c r="H9" i="13" s="1"/>
  <c r="K9" i="13" s="1"/>
  <c r="L9" i="13" s="1"/>
  <c r="E10" i="13"/>
  <c r="G10" i="13" s="1"/>
  <c r="H10" i="13" s="1"/>
  <c r="K10" i="13" s="1"/>
  <c r="L10" i="13" s="1"/>
  <c r="E11" i="13"/>
  <c r="G11" i="13" s="1"/>
  <c r="H11" i="13" s="1"/>
  <c r="K11" i="13" s="1"/>
  <c r="L11" i="13" s="1"/>
  <c r="E12" i="13"/>
  <c r="G12" i="13" s="1"/>
  <c r="H12" i="13" s="1"/>
  <c r="K12" i="13" s="1"/>
  <c r="L12" i="13" s="1"/>
  <c r="E5" i="12"/>
  <c r="G5" i="12" s="1"/>
  <c r="H5" i="12" s="1"/>
  <c r="K5" i="12" s="1"/>
  <c r="L5" i="12" s="1"/>
  <c r="E6" i="12"/>
  <c r="G6" i="12" s="1"/>
  <c r="H6" i="12" s="1"/>
  <c r="K6" i="12" s="1"/>
  <c r="L6" i="12" s="1"/>
  <c r="E7" i="12"/>
  <c r="G7" i="12" s="1"/>
  <c r="H7" i="12" s="1"/>
  <c r="K7" i="12" s="1"/>
  <c r="L7" i="12" s="1"/>
  <c r="E9" i="12"/>
  <c r="G9" i="12" s="1"/>
  <c r="H9" i="12" s="1"/>
  <c r="K9" i="12" s="1"/>
  <c r="L9" i="12" s="1"/>
  <c r="E8" i="12"/>
  <c r="G8" i="12" s="1"/>
  <c r="H8" i="12" s="1"/>
  <c r="K8" i="12" s="1"/>
  <c r="L8" i="12" s="1"/>
  <c r="E5" i="11"/>
  <c r="G5" i="11" s="1"/>
  <c r="H5" i="11" s="1"/>
  <c r="K5" i="11" s="1"/>
  <c r="L5" i="11" s="1"/>
  <c r="E6" i="11"/>
  <c r="G6" i="11" s="1"/>
  <c r="H6" i="11" s="1"/>
  <c r="K6" i="11" s="1"/>
  <c r="L6" i="11" s="1"/>
  <c r="E7" i="11"/>
  <c r="G7" i="11" s="1"/>
  <c r="H7" i="11" s="1"/>
  <c r="K7" i="11" s="1"/>
  <c r="L7" i="11" s="1"/>
  <c r="E8" i="11"/>
  <c r="G8" i="11" s="1"/>
  <c r="H8" i="11" s="1"/>
  <c r="K8" i="11" s="1"/>
  <c r="L8" i="11" s="1"/>
  <c r="E9" i="11"/>
  <c r="G9" i="11" s="1"/>
  <c r="H9" i="11" s="1"/>
  <c r="K9" i="11" s="1"/>
  <c r="L9" i="11" s="1"/>
  <c r="E10" i="11"/>
  <c r="G10" i="11" s="1"/>
  <c r="H10" i="11" s="1"/>
  <c r="K10" i="11" s="1"/>
  <c r="L10" i="11" s="1"/>
  <c r="E11" i="11"/>
  <c r="G11" i="11" s="1"/>
  <c r="H11" i="11" s="1"/>
  <c r="K11" i="11" s="1"/>
  <c r="L11" i="11" s="1"/>
  <c r="E12" i="11"/>
  <c r="G12" i="11" s="1"/>
  <c r="H12" i="11" s="1"/>
  <c r="K12" i="11" s="1"/>
  <c r="L12" i="11" s="1"/>
  <c r="E5" i="10"/>
  <c r="G5" i="10" s="1"/>
  <c r="H5" i="10" s="1"/>
  <c r="K5" i="10" s="1"/>
  <c r="L5" i="10" s="1"/>
  <c r="E6" i="10"/>
  <c r="G6" i="10" s="1"/>
  <c r="H6" i="10" s="1"/>
  <c r="K6" i="10" s="1"/>
  <c r="L6" i="10" s="1"/>
  <c r="E7" i="10"/>
  <c r="G7" i="10" s="1"/>
  <c r="H7" i="10" s="1"/>
  <c r="K7" i="10" s="1"/>
  <c r="L7" i="10" s="1"/>
  <c r="E8" i="10"/>
  <c r="G8" i="10" s="1"/>
  <c r="H8" i="10" s="1"/>
  <c r="K8" i="10" s="1"/>
  <c r="E9" i="10"/>
  <c r="G9" i="10" s="1"/>
  <c r="H9" i="10" s="1"/>
  <c r="K9" i="10" s="1"/>
  <c r="E10" i="10"/>
  <c r="G10" i="10" s="1"/>
  <c r="H10" i="10" s="1"/>
  <c r="K10" i="10" s="1"/>
  <c r="L10" i="10" s="1"/>
  <c r="E13" i="10"/>
  <c r="G13" i="10" s="1"/>
  <c r="H13" i="10" s="1"/>
  <c r="K13" i="10" s="1"/>
  <c r="L13" i="10" s="1"/>
  <c r="E15" i="10"/>
  <c r="G15" i="10" s="1"/>
  <c r="H15" i="10" s="1"/>
  <c r="K15" i="10" s="1"/>
  <c r="L15" i="10" s="1"/>
  <c r="E11" i="10"/>
  <c r="G11" i="10" s="1"/>
  <c r="H11" i="10" s="1"/>
  <c r="K11" i="10" s="1"/>
  <c r="L11" i="10" s="1"/>
  <c r="E12" i="10"/>
  <c r="G12" i="10" s="1"/>
  <c r="H12" i="10" s="1"/>
  <c r="K12" i="10" s="1"/>
  <c r="L12" i="10" s="1"/>
  <c r="E5" i="7"/>
  <c r="G5" i="7" s="1"/>
  <c r="H5" i="7" s="1"/>
  <c r="K5" i="7" s="1"/>
  <c r="L5" i="7" s="1"/>
  <c r="E6" i="7"/>
  <c r="G6" i="7" s="1"/>
  <c r="H6" i="7" s="1"/>
  <c r="K6" i="7" s="1"/>
  <c r="L6" i="7" s="1"/>
  <c r="E7" i="7"/>
  <c r="G7" i="7" s="1"/>
  <c r="H7" i="7" s="1"/>
  <c r="K7" i="7" s="1"/>
  <c r="L7" i="7" s="1"/>
  <c r="E8" i="7"/>
  <c r="G8" i="7" s="1"/>
  <c r="H8" i="7" s="1"/>
  <c r="K8" i="7" s="1"/>
  <c r="L8" i="7" s="1"/>
  <c r="E9" i="7"/>
  <c r="G9" i="7" s="1"/>
  <c r="H9" i="7" s="1"/>
  <c r="K9" i="7" s="1"/>
  <c r="L9" i="7" s="1"/>
  <c r="E10" i="7"/>
  <c r="G10" i="7" s="1"/>
  <c r="H10" i="7" s="1"/>
  <c r="K10" i="7" s="1"/>
  <c r="L10" i="7" s="1"/>
  <c r="E11" i="7"/>
  <c r="G11" i="7" s="1"/>
  <c r="H11" i="7" s="1"/>
  <c r="K11" i="7" s="1"/>
  <c r="L11" i="7" s="1"/>
  <c r="E12" i="7"/>
  <c r="G12" i="7" s="1"/>
  <c r="H12" i="7" s="1"/>
  <c r="K12" i="7" s="1"/>
  <c r="L12" i="7" s="1"/>
  <c r="E5" i="6"/>
  <c r="G5" i="6" s="1"/>
  <c r="H5" i="6" s="1"/>
  <c r="K5" i="6" s="1"/>
  <c r="L5" i="6" s="1"/>
  <c r="E6" i="6"/>
  <c r="G6" i="6" s="1"/>
  <c r="H6" i="6" s="1"/>
  <c r="K6" i="6" s="1"/>
  <c r="L6" i="6" s="1"/>
  <c r="E7" i="6"/>
  <c r="G7" i="6" s="1"/>
  <c r="H7" i="6" s="1"/>
  <c r="K7" i="6" s="1"/>
  <c r="L7" i="6" s="1"/>
  <c r="E8" i="6"/>
  <c r="G8" i="6" s="1"/>
  <c r="H8" i="6" s="1"/>
  <c r="K8" i="6" s="1"/>
  <c r="L8" i="6" s="1"/>
  <c r="E5" i="5"/>
  <c r="G5" i="5" s="1"/>
  <c r="H5" i="5" s="1"/>
  <c r="K5" i="5" s="1"/>
  <c r="L5" i="5" s="1"/>
  <c r="E6" i="5"/>
  <c r="G6" i="5" s="1"/>
  <c r="H6" i="5" s="1"/>
  <c r="K6" i="5" s="1"/>
  <c r="L6" i="5" s="1"/>
  <c r="E7" i="5"/>
  <c r="G7" i="5" s="1"/>
  <c r="H7" i="5" s="1"/>
  <c r="K7" i="5" s="1"/>
  <c r="L7" i="5" s="1"/>
  <c r="E8" i="5"/>
  <c r="G8" i="5" s="1"/>
  <c r="H8" i="5" s="1"/>
  <c r="K8" i="5" s="1"/>
  <c r="L8" i="5" s="1"/>
  <c r="E9" i="5"/>
  <c r="G9" i="5" s="1"/>
  <c r="H9" i="5" s="1"/>
  <c r="K9" i="5" s="1"/>
  <c r="L9" i="5" s="1"/>
  <c r="E5" i="4"/>
  <c r="G5" i="4" s="1"/>
  <c r="H5" i="4" s="1"/>
  <c r="K5" i="4" s="1"/>
  <c r="L5" i="4" s="1"/>
  <c r="E6" i="4"/>
  <c r="G6" i="4" s="1"/>
  <c r="H6" i="4" s="1"/>
  <c r="K6" i="4" s="1"/>
  <c r="L6" i="4" s="1"/>
  <c r="E7" i="4"/>
  <c r="G7" i="4" s="1"/>
  <c r="H7" i="4" s="1"/>
  <c r="K7" i="4" s="1"/>
  <c r="L7" i="4" s="1"/>
  <c r="E8" i="4"/>
  <c r="G8" i="4" s="1"/>
  <c r="H8" i="4" s="1"/>
  <c r="K8" i="4" s="1"/>
  <c r="L8" i="4" s="1"/>
  <c r="E9" i="4"/>
  <c r="G9" i="4" s="1"/>
  <c r="H9" i="4" s="1"/>
  <c r="K9" i="4" s="1"/>
  <c r="L9" i="4" s="1"/>
  <c r="E5" i="3"/>
  <c r="G5" i="3" s="1"/>
  <c r="H5" i="3" s="1"/>
  <c r="K5" i="3" s="1"/>
  <c r="L5" i="3" s="1"/>
  <c r="E6" i="3"/>
  <c r="G6" i="3" s="1"/>
  <c r="H6" i="3" s="1"/>
  <c r="E7" i="3"/>
  <c r="G7" i="3" s="1"/>
  <c r="H7" i="3" s="1"/>
  <c r="K7" i="3" s="1"/>
  <c r="L7" i="3" s="1"/>
  <c r="E8" i="3"/>
  <c r="G8" i="3" s="1"/>
  <c r="H8" i="3" s="1"/>
  <c r="K8" i="3" s="1"/>
  <c r="L8" i="3" s="1"/>
  <c r="E9" i="3"/>
  <c r="G9" i="3" s="1"/>
  <c r="H9" i="3" s="1"/>
  <c r="K9" i="3" s="1"/>
  <c r="L9" i="3" s="1"/>
  <c r="E10" i="3"/>
  <c r="G10" i="3" s="1"/>
  <c r="H10" i="3" s="1"/>
  <c r="K10" i="3" s="1"/>
  <c r="L10" i="3" s="1"/>
  <c r="E11" i="3"/>
  <c r="G11" i="3" s="1"/>
  <c r="H11" i="3" s="1"/>
  <c r="K11" i="3" s="1"/>
  <c r="L11" i="3" s="1"/>
  <c r="E12" i="3"/>
  <c r="G12" i="3" s="1"/>
  <c r="H12" i="3" s="1"/>
  <c r="K12" i="3" s="1"/>
  <c r="L12" i="3" s="1"/>
  <c r="E13" i="3"/>
  <c r="G13" i="3" s="1"/>
  <c r="H13" i="3" s="1"/>
  <c r="K13" i="3" s="1"/>
  <c r="L13" i="3" s="1"/>
  <c r="E5" i="2"/>
  <c r="G5" i="2" s="1"/>
  <c r="H5" i="2" s="1"/>
  <c r="K5" i="2" s="1"/>
  <c r="L5" i="2" s="1"/>
  <c r="E6" i="2"/>
  <c r="G6" i="2" s="1"/>
  <c r="H6" i="2" s="1"/>
  <c r="K6" i="2" s="1"/>
  <c r="L6" i="2" s="1"/>
  <c r="E8" i="2"/>
  <c r="G8" i="2" s="1"/>
  <c r="H8" i="2" s="1"/>
  <c r="K8" i="2" s="1"/>
  <c r="L8" i="2" s="1"/>
  <c r="E10" i="2"/>
  <c r="G10" i="2" s="1"/>
  <c r="H10" i="2" s="1"/>
  <c r="K10" i="2" s="1"/>
  <c r="L10" i="2" s="1"/>
  <c r="E12" i="2"/>
  <c r="G12" i="2" s="1"/>
  <c r="H12" i="2" s="1"/>
  <c r="K12" i="2" s="1"/>
  <c r="L12" i="2" s="1"/>
  <c r="E13" i="2"/>
  <c r="G13" i="2" s="1"/>
  <c r="H13" i="2" s="1"/>
  <c r="K13" i="2" s="1"/>
  <c r="L13" i="2" s="1"/>
  <c r="E14" i="2"/>
  <c r="G14" i="2" s="1"/>
  <c r="H14" i="2" s="1"/>
  <c r="K14" i="2" s="1"/>
  <c r="L14" i="2" s="1"/>
  <c r="E7" i="2"/>
  <c r="G7" i="2" s="1"/>
  <c r="H7" i="2" s="1"/>
  <c r="K7" i="2" s="1"/>
  <c r="L7" i="2" s="1"/>
  <c r="E9" i="2"/>
  <c r="G9" i="2" s="1"/>
  <c r="H9" i="2" s="1"/>
  <c r="K9" i="2" s="1"/>
  <c r="L9" i="2" s="1"/>
  <c r="E11" i="2"/>
  <c r="G11" i="2" s="1"/>
  <c r="H11" i="2" s="1"/>
  <c r="K11" i="2" s="1"/>
  <c r="L11" i="2" s="1"/>
  <c r="E5" i="21"/>
  <c r="G5" i="21" s="1"/>
  <c r="H5" i="21" s="1"/>
  <c r="K5" i="21" s="1"/>
  <c r="L5" i="21" s="1"/>
  <c r="E6" i="21"/>
  <c r="G6" i="21" s="1"/>
  <c r="H6" i="21" s="1"/>
  <c r="K6" i="21" s="1"/>
  <c r="L6" i="21" s="1"/>
  <c r="E7" i="21"/>
  <c r="G7" i="21" s="1"/>
  <c r="H7" i="21" s="1"/>
  <c r="K7" i="21" s="1"/>
  <c r="L7" i="21" s="1"/>
  <c r="E8" i="21"/>
  <c r="G8" i="21" s="1"/>
  <c r="H8" i="21" s="1"/>
  <c r="K8" i="21" s="1"/>
  <c r="L8" i="21" s="1"/>
  <c r="E9" i="21"/>
  <c r="G9" i="21" s="1"/>
  <c r="H9" i="21" s="1"/>
  <c r="K9" i="21" s="1"/>
  <c r="L9" i="21" s="1"/>
  <c r="E10" i="21"/>
  <c r="G10" i="21" s="1"/>
  <c r="H10" i="21" s="1"/>
  <c r="K10" i="21" s="1"/>
  <c r="L10" i="21" s="1"/>
  <c r="E11" i="21"/>
  <c r="G11" i="21" s="1"/>
  <c r="H11" i="21" s="1"/>
  <c r="K11" i="21" s="1"/>
  <c r="L11" i="21" s="1"/>
  <c r="E12" i="21"/>
  <c r="G12" i="21" s="1"/>
  <c r="H12" i="21" s="1"/>
  <c r="K12" i="21" s="1"/>
  <c r="L12" i="21" s="1"/>
  <c r="E13" i="21"/>
  <c r="G13" i="21" s="1"/>
  <c r="H13" i="21" s="1"/>
  <c r="K13" i="21" s="1"/>
  <c r="L13" i="21" s="1"/>
  <c r="E14" i="21"/>
  <c r="G14" i="21" s="1"/>
  <c r="H14" i="21" s="1"/>
  <c r="K14" i="21" s="1"/>
  <c r="L14" i="21" s="1"/>
  <c r="E15" i="21"/>
  <c r="G15" i="21" s="1"/>
  <c r="H15" i="21" s="1"/>
  <c r="K15" i="21" s="1"/>
  <c r="L15" i="21" s="1"/>
  <c r="E16" i="21"/>
  <c r="G16" i="21" s="1"/>
  <c r="H16" i="21" s="1"/>
  <c r="K16" i="21" s="1"/>
  <c r="L16" i="21" s="1"/>
  <c r="E17" i="21"/>
  <c r="G17" i="21" s="1"/>
  <c r="H17" i="21" s="1"/>
  <c r="K17" i="21" s="1"/>
  <c r="L17" i="21" s="1"/>
  <c r="E18" i="21"/>
  <c r="G18" i="21" s="1"/>
  <c r="H18" i="21" s="1"/>
  <c r="K18" i="21" s="1"/>
  <c r="L18" i="21" s="1"/>
  <c r="E19" i="21"/>
  <c r="G19" i="21" s="1"/>
  <c r="H19" i="21" s="1"/>
  <c r="K19" i="21" s="1"/>
  <c r="L19" i="21" s="1"/>
  <c r="E20" i="21"/>
  <c r="G20" i="21" s="1"/>
  <c r="H20" i="21" s="1"/>
  <c r="K20" i="21" s="1"/>
  <c r="L20" i="21" s="1"/>
  <c r="E8" i="18" l="1"/>
  <c r="G8" i="18" s="1"/>
  <c r="H8" i="18" s="1"/>
  <c r="K8" i="18" s="1"/>
  <c r="L8" i="18" s="1"/>
  <c r="E7" i="18"/>
  <c r="G7" i="18" s="1"/>
  <c r="H7" i="18" s="1"/>
  <c r="K7" i="18" s="1"/>
  <c r="L7" i="18" s="1"/>
  <c r="E9" i="18"/>
  <c r="G9" i="18" s="1"/>
  <c r="H9" i="18" s="1"/>
  <c r="K9" i="18" s="1"/>
  <c r="L9" i="18" s="1"/>
  <c r="E5" i="18"/>
  <c r="G5" i="18" s="1"/>
  <c r="H5" i="18" s="1"/>
  <c r="K5" i="18" s="1"/>
  <c r="L5" i="18" s="1"/>
  <c r="X8" i="16"/>
  <c r="S16" i="16"/>
  <c r="S16" i="12"/>
  <c r="Y8" i="12"/>
  <c r="L11" i="8"/>
  <c r="Y8" i="14"/>
  <c r="S16" i="14"/>
  <c r="Y8" i="3"/>
  <c r="Y8" i="4"/>
  <c r="S16" i="4"/>
  <c r="S16" i="2"/>
  <c r="Y8" i="2"/>
  <c r="S16" i="3"/>
  <c r="S16" i="15"/>
  <c r="Y8" i="15"/>
  <c r="Y8" i="11"/>
  <c r="S16" i="6"/>
  <c r="S16" i="19"/>
  <c r="S16" i="11"/>
  <c r="Y8" i="6"/>
  <c r="Y8" i="21"/>
  <c r="S16" i="21"/>
  <c r="L19" i="22"/>
  <c r="L18" i="22"/>
  <c r="L21" i="22"/>
  <c r="L20" i="22"/>
  <c r="Y8" i="19"/>
  <c r="L11" i="23"/>
  <c r="L8" i="10"/>
  <c r="L9" i="10"/>
  <c r="S16" i="20"/>
  <c r="Y8" i="20"/>
  <c r="S16" i="13"/>
  <c r="Y8" i="13"/>
  <c r="Y8" i="7"/>
  <c r="S16" i="7"/>
  <c r="S16" i="5"/>
  <c r="Y8" i="5"/>
  <c r="E18" i="30"/>
  <c r="G18" i="30" s="1"/>
  <c r="H18" i="30" s="1"/>
  <c r="K18" i="30" s="1"/>
  <c r="E6" i="30"/>
  <c r="G6" i="30" s="1"/>
  <c r="H6" i="30" s="1"/>
  <c r="K6" i="30" s="1"/>
  <c r="E16" i="30"/>
  <c r="G16" i="30" s="1"/>
  <c r="H16" i="30" s="1"/>
  <c r="K16" i="30" s="1"/>
  <c r="E17" i="30"/>
  <c r="G17" i="30" s="1"/>
  <c r="H17" i="30" s="1"/>
  <c r="K17" i="30" s="1"/>
  <c r="E20" i="30"/>
  <c r="G20" i="30" s="1"/>
  <c r="H20" i="30" s="1"/>
  <c r="K20" i="30" s="1"/>
  <c r="E7" i="30"/>
  <c r="G7" i="30" s="1"/>
  <c r="H7" i="30" s="1"/>
  <c r="K7" i="30" s="1"/>
  <c r="E8" i="30"/>
  <c r="G8" i="30" s="1"/>
  <c r="H8" i="30" s="1"/>
  <c r="K8" i="30" s="1"/>
  <c r="E9" i="30"/>
  <c r="G9" i="30" s="1"/>
  <c r="H9" i="30" s="1"/>
  <c r="K9" i="30" s="1"/>
  <c r="E10" i="30"/>
  <c r="G10" i="30" s="1"/>
  <c r="H10" i="30" s="1"/>
  <c r="K10" i="30" s="1"/>
  <c r="E13" i="30"/>
  <c r="G13" i="30" s="1"/>
  <c r="H13" i="30" s="1"/>
  <c r="K13" i="30" s="1"/>
  <c r="E15" i="30"/>
  <c r="G15" i="30" s="1"/>
  <c r="H15" i="30" s="1"/>
  <c r="K15" i="30" s="1"/>
  <c r="E19" i="30"/>
  <c r="G19" i="30" s="1"/>
  <c r="H19" i="30" s="1"/>
  <c r="K19" i="30" s="1"/>
  <c r="E12" i="30"/>
  <c r="G12" i="30" s="1"/>
  <c r="H12" i="30" s="1"/>
  <c r="K12" i="30" s="1"/>
  <c r="E14" i="30"/>
  <c r="G14" i="30" s="1"/>
  <c r="H14" i="30" s="1"/>
  <c r="K14" i="30" s="1"/>
  <c r="E11" i="30"/>
  <c r="G11" i="30" s="1"/>
  <c r="H11" i="30" s="1"/>
  <c r="K11" i="30" s="1"/>
  <c r="E5" i="30"/>
  <c r="G5" i="30" s="1"/>
  <c r="H5" i="30" s="1"/>
  <c r="K5" i="30" s="1"/>
  <c r="S16" i="18" l="1"/>
  <c r="Y8" i="8"/>
  <c r="S16" i="8"/>
  <c r="Y8" i="18"/>
  <c r="S16" i="23"/>
  <c r="Y8" i="23"/>
  <c r="S16" i="22"/>
  <c r="S16" i="10"/>
  <c r="Y8" i="10"/>
  <c r="Y8" i="22"/>
</calcChain>
</file>

<file path=xl/sharedStrings.xml><?xml version="1.0" encoding="utf-8"?>
<sst xmlns="http://schemas.openxmlformats.org/spreadsheetml/2006/main" count="2167" uniqueCount="299">
  <si>
    <t>Base Recipe (1 Portion)</t>
  </si>
  <si>
    <t xml:space="preserve">Required Quantity </t>
  </si>
  <si>
    <t>Conversion Factor</t>
  </si>
  <si>
    <t>Labneh Pie</t>
  </si>
  <si>
    <t>Category</t>
  </si>
  <si>
    <t>Ingredient</t>
  </si>
  <si>
    <t xml:space="preserve">Unit </t>
  </si>
  <si>
    <t>Base Recipe
 (1 Portion)</t>
  </si>
  <si>
    <t>Corrected Conversion Factor</t>
  </si>
  <si>
    <t>Scaling Factor 
(1-10KG)</t>
  </si>
  <si>
    <t xml:space="preserve">Linear Scaled Amount </t>
  </si>
  <si>
    <t>Scaled Amount Post Conversion Factor</t>
  </si>
  <si>
    <t>Price Per KG or L</t>
  </si>
  <si>
    <t>Ordering quantity (KG or L)</t>
  </si>
  <si>
    <t>Cost</t>
  </si>
  <si>
    <t>Piece</t>
  </si>
  <si>
    <t>ml</t>
  </si>
  <si>
    <t>gm</t>
  </si>
  <si>
    <t>Dessert</t>
  </si>
  <si>
    <t xml:space="preserve">Actuals </t>
  </si>
  <si>
    <t xml:space="preserve">Quantity </t>
  </si>
  <si>
    <t>Required</t>
  </si>
  <si>
    <t xml:space="preserve">Safety </t>
  </si>
  <si>
    <t xml:space="preserve">Total </t>
  </si>
  <si>
    <t>SHEET REFERENCE</t>
  </si>
  <si>
    <t>SHEET NAME</t>
  </si>
  <si>
    <t>DAY رقم اليوم</t>
  </si>
  <si>
    <t>Biscuit Bases - قواعد البسكويت</t>
  </si>
  <si>
    <t>Baboffee Pie</t>
  </si>
  <si>
    <t xml:space="preserve">Brownie </t>
  </si>
  <si>
    <t>Dairy &amp; Eggs - الألبان والبيض</t>
  </si>
  <si>
    <t>Sabestien</t>
  </si>
  <si>
    <t>Blueberry Cheese Cake</t>
  </si>
  <si>
    <t>Rocky Road</t>
  </si>
  <si>
    <t>Mango Cheese Cake</t>
  </si>
  <si>
    <t>Saffron Cake</t>
  </si>
  <si>
    <t>Dukhun Cake</t>
  </si>
  <si>
    <t>Basbusa</t>
  </si>
  <si>
    <t>Lotuse Cheese Cake</t>
  </si>
  <si>
    <t>Muffin</t>
  </si>
  <si>
    <t>Lemon Cake</t>
  </si>
  <si>
    <t>Raspberry Chooclate Cheese Cake</t>
  </si>
  <si>
    <t>Cookies</t>
  </si>
  <si>
    <t>Zatar Pie</t>
  </si>
  <si>
    <t>Orange Cake</t>
  </si>
  <si>
    <t>Laham Pie</t>
  </si>
  <si>
    <t>Sugar &amp; Sweeteners - السكريات</t>
  </si>
  <si>
    <t>Baking Essentials - مستلزمات الخبز</t>
  </si>
  <si>
    <t>Flour, Starch &amp; Grains - الدقيق والنشا والحبوب</t>
  </si>
  <si>
    <t>Chocolate &amp; Cocoa - الشوكولاتة</t>
  </si>
  <si>
    <t>Fruits &amp; Fillings - الفواكه والحشوات</t>
  </si>
  <si>
    <t>Spices, Nuts &amp; Extras - التوابل والمكسرات</t>
  </si>
  <si>
    <t>Savory Fillings - الحشوات المالحة</t>
  </si>
  <si>
    <t xml:space="preserve">Scaling Factor 
</t>
  </si>
  <si>
    <t>DAY SELECTOR</t>
  </si>
  <si>
    <t>Zatar Pie (2)</t>
  </si>
  <si>
    <t>Laham Pie (2)</t>
  </si>
  <si>
    <t>Labneh Pie (2)</t>
  </si>
  <si>
    <t>Almond Chooclate Cake</t>
  </si>
  <si>
    <t>Saffron Cake (2)</t>
  </si>
  <si>
    <t>كيك إنجليزى بالليمون</t>
  </si>
  <si>
    <t>كوكيز</t>
  </si>
  <si>
    <t>Cookies - كوكيز</t>
  </si>
  <si>
    <t>كيك الزعفران</t>
  </si>
  <si>
    <t>Saffron Cake - كيك الزعفران</t>
  </si>
  <si>
    <t>تشيز كيك مانجو</t>
  </si>
  <si>
    <t>Mango Cheese Cake - مانجو تشيز كيك</t>
  </si>
  <si>
    <t>مافن</t>
  </si>
  <si>
    <t>Muffin - مافن</t>
  </si>
  <si>
    <t>Orange Cake - كيكة البرتقال</t>
  </si>
  <si>
    <t>Dukhun Cake - كيكة الدخن</t>
  </si>
  <si>
    <t>كيكة الزعفران</t>
  </si>
  <si>
    <t>كيكة الدخن</t>
  </si>
  <si>
    <t>كيكة البرتقال</t>
  </si>
  <si>
    <t>فطيرة الزعتر</t>
  </si>
  <si>
    <t>فطيرة لحمة و جبنة</t>
  </si>
  <si>
    <t>Zatar Pie - فطيرة زعتر</t>
  </si>
  <si>
    <t>Labneh Pie - مناقيش لبنة</t>
  </si>
  <si>
    <t>مناقيش لبنة بالخضار</t>
  </si>
  <si>
    <t>بسبوسة</t>
  </si>
  <si>
    <t>Basbusa - بسبوسة</t>
  </si>
  <si>
    <t>Blueberry Cheese Cake - تشيز كيك التوت الأزرق</t>
  </si>
  <si>
    <t>تشيز كيك التوت الأزرق</t>
  </si>
  <si>
    <t>Rocky Road - روكي رود</t>
  </si>
  <si>
    <t>روكي رود</t>
  </si>
  <si>
    <t>براونى بايتس</t>
  </si>
  <si>
    <t>Brownie - براونى بايتس</t>
  </si>
  <si>
    <t>سان سباستيان تشيز كيك</t>
  </si>
  <si>
    <t>كيك الشكولاته</t>
  </si>
  <si>
    <t>Raspberry Chooclate Cheese Cake - كيك الشكولاته</t>
  </si>
  <si>
    <t>بانوفى باى</t>
  </si>
  <si>
    <t>Baboffee Pie - بانوفى باى</t>
  </si>
  <si>
    <t>English Chooclate Cake - كيك بالشوكولاته و اللوز</t>
  </si>
  <si>
    <t>Lotuse Cheese Cake - تشيز كيك اللوتس</t>
  </si>
  <si>
    <t>Yield</t>
  </si>
  <si>
    <t>Order Unit</t>
  </si>
  <si>
    <t>Weekly Order</t>
  </si>
  <si>
    <t>Daily Order</t>
  </si>
  <si>
    <t>Weekly Price</t>
  </si>
  <si>
    <t>Daily Price</t>
  </si>
  <si>
    <t>Egg - بيضة</t>
  </si>
  <si>
    <t>Milk - حليب</t>
  </si>
  <si>
    <t>Mozzarella Cheese - جبنة موتزاريلا</t>
  </si>
  <si>
    <t>White Pepper - فلفل أبيض</t>
  </si>
  <si>
    <t>Butter - زبدة</t>
  </si>
  <si>
    <t>Labneh - لبنة</t>
  </si>
  <si>
    <t>Water - ماء</t>
  </si>
  <si>
    <t>Milk powder - حليب بودرة</t>
  </si>
  <si>
    <t>Dry yeast - خميرة جافة</t>
  </si>
  <si>
    <t>Bread improver - محسن خبز</t>
  </si>
  <si>
    <t>Salt - ملح</t>
  </si>
  <si>
    <t>Wheat flour - دقيق بر</t>
  </si>
  <si>
    <t>Cucumber - خيار</t>
  </si>
  <si>
    <t>Corn Starch - نشا ذرة</t>
  </si>
  <si>
    <t>Flour - دقيق</t>
  </si>
  <si>
    <t>Dry Thyme - زعتر مجفف</t>
  </si>
  <si>
    <t>Nigella Seeds - حبة البركة</t>
  </si>
  <si>
    <t>Cinnamon Powder - قرفة مطحونة</t>
  </si>
  <si>
    <t>Cardamom Powder - هيل مطحون</t>
  </si>
  <si>
    <t>Black Pepper Powder - فلفل أسود مطحون</t>
  </si>
  <si>
    <t>Tomato - طماطم</t>
  </si>
  <si>
    <t>Green Bell Pepper - فلفل أخضر رومى</t>
  </si>
  <si>
    <t>Orange - برتقال</t>
  </si>
  <si>
    <t>Brown Sugar - سكر بني</t>
  </si>
  <si>
    <t>Dried Mint Leaves - نعناع مجفف</t>
  </si>
  <si>
    <t>Olive Oil - زيت زيتون</t>
  </si>
  <si>
    <t>Corn Oil - زيت ذرة</t>
  </si>
  <si>
    <t>ITEMS</t>
  </si>
  <si>
    <t>Unit</t>
  </si>
  <si>
    <t>Daily Weight</t>
  </si>
  <si>
    <t>Weekly Weight</t>
  </si>
  <si>
    <t>Indian Meat Tammam Mafroom - مفروم هندى</t>
  </si>
  <si>
    <t>منتجات ألبان</t>
  </si>
  <si>
    <t>محليات</t>
  </si>
  <si>
    <t>توابل</t>
  </si>
  <si>
    <t>مكسرات</t>
  </si>
  <si>
    <t>أعشاب مجففة</t>
  </si>
  <si>
    <t>ألوان وإضافات</t>
  </si>
  <si>
    <t>خضروات</t>
  </si>
  <si>
    <t>حبوب ودقيق</t>
  </si>
  <si>
    <t>سوائل ومرق</t>
  </si>
  <si>
    <t>معلبات و مجمدات</t>
  </si>
  <si>
    <t>Order Base Unit وحدة الطلب الأساسية</t>
  </si>
  <si>
    <t>Order Unit وحدة الطلب</t>
  </si>
  <si>
    <t>Price of ordering unit سعر وحدة الطلب</t>
  </si>
  <si>
    <t>50 Kg</t>
  </si>
  <si>
    <t>Kg</t>
  </si>
  <si>
    <t>25 Kg</t>
  </si>
  <si>
    <t>12 L / Carton</t>
  </si>
  <si>
    <t>11 Kg / Carton</t>
  </si>
  <si>
    <t>kg</t>
  </si>
  <si>
    <t>9.2 Kg / Carton</t>
  </si>
  <si>
    <t>10,000 KG/Carton</t>
  </si>
  <si>
    <t>10,000 KG/Can</t>
  </si>
  <si>
    <t>5000 KG per Bag</t>
  </si>
  <si>
    <t>6000 KG/Pail</t>
  </si>
  <si>
    <t>3750 gm/can</t>
  </si>
  <si>
    <t>16000 / Carton</t>
  </si>
  <si>
    <t>12,000 KG/Carton</t>
  </si>
  <si>
    <t>بروتين</t>
  </si>
  <si>
    <t>360 Egg/Carton</t>
  </si>
  <si>
    <t>Cost Per KG or L السعر للكيلو او للتر أو الحبة</t>
  </si>
  <si>
    <t>10,000 KG/Bag</t>
  </si>
  <si>
    <t>6600 KG/Carton</t>
  </si>
  <si>
    <t>12000 L / Carton</t>
  </si>
  <si>
    <t>KG</t>
  </si>
  <si>
    <t xml:space="preserve">720gm Per Bundle </t>
  </si>
  <si>
    <t>2880gm Per Carton</t>
  </si>
  <si>
    <t>100 gm/Can</t>
  </si>
  <si>
    <t>280 gm/Carton</t>
  </si>
  <si>
    <t>18480 ml/Carton</t>
  </si>
  <si>
    <t>19800 KG/Carton</t>
  </si>
  <si>
    <t>17760 KG/Carton</t>
  </si>
  <si>
    <t>15,000 KG/Carton</t>
  </si>
  <si>
    <t>10,000 KG/Bundle</t>
  </si>
  <si>
    <t>8,000 KG/Pail</t>
  </si>
  <si>
    <t>10,800 KG/Carton</t>
  </si>
  <si>
    <t>200 g / Pack</t>
  </si>
  <si>
    <t>5000 KG/Bag</t>
  </si>
  <si>
    <t>20 Kg</t>
  </si>
  <si>
    <t>500 gm/Pack</t>
  </si>
  <si>
    <t>2400 KG/Carton</t>
  </si>
  <si>
    <t>3000 KG/Bag</t>
  </si>
  <si>
    <t>20,000 KG/ Bag</t>
  </si>
  <si>
    <t>15,000 KG/ Bag</t>
  </si>
  <si>
    <t>5952 KG/Carton</t>
  </si>
  <si>
    <t>5600 KG/Carton</t>
  </si>
  <si>
    <t>17000 /Tank</t>
  </si>
  <si>
    <t>Mixed Nuts - مكسرات مشكلة</t>
  </si>
  <si>
    <t>snacks</t>
  </si>
  <si>
    <t>Cashew Nut - كاجو</t>
  </si>
  <si>
    <t>Mixed Nuts</t>
  </si>
  <si>
    <t>PreCooking Yield</t>
  </si>
  <si>
    <t>Size</t>
  </si>
  <si>
    <t>Carton</t>
  </si>
  <si>
    <t>Bag</t>
  </si>
  <si>
    <t>Can</t>
  </si>
  <si>
    <t>Pail</t>
  </si>
  <si>
    <t>Pack</t>
  </si>
  <si>
    <t>Mixed Nuts (2)</t>
  </si>
  <si>
    <t>Pistachio - فستق محمص بالليمون</t>
  </si>
  <si>
    <t>Orange Zest - برش برتقال</t>
  </si>
  <si>
    <t>Mixed Nuts (3)</t>
  </si>
  <si>
    <t>Mixed Nuts (6)</t>
  </si>
  <si>
    <t>Mixed Nuts (5)</t>
  </si>
  <si>
    <t>Mixed Nuts (4)</t>
  </si>
  <si>
    <t>Count</t>
  </si>
  <si>
    <t>Meal name</t>
  </si>
  <si>
    <t>Total Count</t>
  </si>
  <si>
    <t>بسبوسة بالقشطة</t>
  </si>
  <si>
    <t>مكسرات مشكلة</t>
  </si>
  <si>
    <t>براوني بايتس بالروزميري</t>
  </si>
  <si>
    <t>بانوفي باي</t>
  </si>
  <si>
    <t>كيك إنجليزي بالليمون</t>
  </si>
  <si>
    <t>كوكيز الشوفان</t>
  </si>
  <si>
    <t>مناقيش لحمة وجبنة</t>
  </si>
  <si>
    <t>فطيرة الزعتر بالجبنة</t>
  </si>
  <si>
    <t>تشيز كيك اللوتس</t>
  </si>
  <si>
    <t>كيك بالشكولاته واللوز</t>
  </si>
  <si>
    <t>تشيز كيك المانجو</t>
  </si>
  <si>
    <t>مافن الشكولاته بالفستق</t>
  </si>
  <si>
    <t>18 Kg / Carton</t>
  </si>
  <si>
    <t>Bundle</t>
  </si>
  <si>
    <t>Tank</t>
  </si>
  <si>
    <t>Fresh Cream (Qishta) - قشطة</t>
  </si>
  <si>
    <t>Philadelphia cheese - جبنة فيلادلفيا</t>
  </si>
  <si>
    <t>Evaporated milk - حليب مبخر</t>
  </si>
  <si>
    <t>Whipping cream - كريمة خفق</t>
  </si>
  <si>
    <t>Chantilly cream - كريمة شانتيل</t>
  </si>
  <si>
    <t>Pistachio cream - كريمة فستق</t>
  </si>
  <si>
    <t>Sesame seeds - بذور سمسم</t>
  </si>
  <si>
    <t>Saffron flavored powder - بودرة بنكهة الزعفران</t>
  </si>
  <si>
    <t>Vanilla powder - بودرة فانيليا</t>
  </si>
  <si>
    <t>Pistachio powder - بودرة فستق</t>
  </si>
  <si>
    <t>Saffron yellow color powder - لون صفار زعفران بودر</t>
  </si>
  <si>
    <t>Baking powder - بيكنج باودر</t>
  </si>
  <si>
    <t>Fresh saffron - زعفران طازج</t>
  </si>
  <si>
    <t>Sliced black olives - زيتون أسود شرائح</t>
  </si>
  <si>
    <t>Sliced green olives - زيتون أخضر شرائح</t>
  </si>
  <si>
    <t>Frozen raspberry - توت العليق مجمد</t>
  </si>
  <si>
    <t>Sliced almond - لوز شرائح</t>
  </si>
  <si>
    <t>Almond - لوز بالليمون</t>
  </si>
  <si>
    <t>Digestive biscuits - بسكويت دايجستف</t>
  </si>
  <si>
    <t>Cocoa powder - بودرة كاكاو</t>
  </si>
  <si>
    <t>Raspberry filling - حشوة توت العليق</t>
  </si>
  <si>
    <t>Blueberry filling - حشوة توت أزرق</t>
  </si>
  <si>
    <t>Condensed milk - حليب مكثف محلى</t>
  </si>
  <si>
    <t>White sugar - سكر أبيض</t>
  </si>
  <si>
    <t>Powdered sugar - سكر بودرة</t>
  </si>
  <si>
    <t>Belgian chocolate - شوكولاتة بلجيكية</t>
  </si>
  <si>
    <t>Dark chocolate - شوكولاتة داكنة</t>
  </si>
  <si>
    <t>Frozen mango puree - لب مانجو مجمد</t>
  </si>
  <si>
    <t>Date Paste - معجون تمر</t>
  </si>
  <si>
    <t>Double Chocolate Chip powder - حبيبات الشوكولاتة المزدوجة</t>
  </si>
  <si>
    <t>Chocolate Muffin Mix(pillsbury) - خليط المافن بالشوكولاتة</t>
  </si>
  <si>
    <t>Millets Powder - مسحوق الدخن</t>
  </si>
  <si>
    <t>Lotus spread - سبريد لوتس</t>
  </si>
  <si>
    <t>Semolina powder - سميد بودرة</t>
  </si>
  <si>
    <t>Whole oats - شوفان كامل</t>
  </si>
  <si>
    <t>Lemon - ليمون</t>
  </si>
  <si>
    <t>Mango - مانجو</t>
  </si>
  <si>
    <t>Laham Pie - مناقيش لحمة</t>
  </si>
  <si>
    <t>Chocolate crumb - فتات شوكولاتة</t>
  </si>
  <si>
    <t>Sansbtian - سان سباستيان</t>
  </si>
  <si>
    <t>Lemon Cake - كيك إنجليزى بالليمون</t>
  </si>
  <si>
    <t>Lemon zest - برش ليمون</t>
  </si>
  <si>
    <t>Pre Mixes &amp; Powders - المزيج الجاهز</t>
  </si>
  <si>
    <t>Carrot Cake</t>
  </si>
  <si>
    <t>كيك الجزر</t>
  </si>
  <si>
    <r>
      <rPr>
        <sz val="11"/>
        <color theme="1"/>
        <rFont val="Calibri"/>
        <family val="2"/>
        <scheme val="minor"/>
      </rPr>
      <t xml:space="preserve">Dairy &amp; Eggs - </t>
    </r>
    <r>
      <rPr>
        <sz val="11"/>
        <color theme="1"/>
        <rFont val="FreeSans"/>
        <family val="2"/>
      </rPr>
      <t>الألبان والبيض</t>
    </r>
  </si>
  <si>
    <r>
      <rPr>
        <sz val="11"/>
        <color theme="1"/>
        <rFont val="Calibri"/>
        <family val="2"/>
        <scheme val="minor"/>
      </rPr>
      <t xml:space="preserve">Egg - </t>
    </r>
    <r>
      <rPr>
        <sz val="11"/>
        <color theme="1"/>
        <rFont val="FreeSans"/>
        <family val="2"/>
      </rPr>
      <t>بيضة</t>
    </r>
  </si>
  <si>
    <r>
      <rPr>
        <sz val="11"/>
        <color theme="1"/>
        <rFont val="Calibri"/>
        <family val="2"/>
        <scheme val="minor"/>
      </rPr>
      <t xml:space="preserve">Sugar &amp; Sweeteners - </t>
    </r>
    <r>
      <rPr>
        <sz val="11"/>
        <color theme="1"/>
        <rFont val="FreeSans"/>
        <family val="2"/>
      </rPr>
      <t>السكريات</t>
    </r>
  </si>
  <si>
    <r>
      <rPr>
        <sz val="11"/>
        <color theme="1"/>
        <rFont val="Calibri"/>
        <family val="2"/>
        <scheme val="minor"/>
      </rPr>
      <t xml:space="preserve">Brown Sugar - </t>
    </r>
    <r>
      <rPr>
        <sz val="11"/>
        <color theme="1"/>
        <rFont val="FreeSans"/>
        <family val="2"/>
      </rPr>
      <t>سكر بني</t>
    </r>
  </si>
  <si>
    <r>
      <rPr>
        <sz val="11"/>
        <color theme="1"/>
        <rFont val="Calibri"/>
        <family val="2"/>
        <scheme val="minor"/>
      </rPr>
      <t xml:space="preserve">Baking Essentials - </t>
    </r>
    <r>
      <rPr>
        <sz val="11"/>
        <color theme="1"/>
        <rFont val="FreeSans"/>
        <family val="2"/>
      </rPr>
      <t>مستلزمات الخبز</t>
    </r>
  </si>
  <si>
    <r>
      <rPr>
        <sz val="11"/>
        <color theme="1"/>
        <rFont val="Calibri"/>
        <family val="2"/>
        <scheme val="minor"/>
      </rPr>
      <t xml:space="preserve">Corn Oil - </t>
    </r>
    <r>
      <rPr>
        <sz val="11"/>
        <color theme="1"/>
        <rFont val="FreeSans"/>
        <family val="2"/>
      </rPr>
      <t>زيت ذرة</t>
    </r>
  </si>
  <si>
    <r>
      <rPr>
        <sz val="11"/>
        <color theme="1"/>
        <rFont val="Calibri"/>
        <family val="2"/>
        <scheme val="minor"/>
      </rPr>
      <t xml:space="preserve">Flour, Starch &amp; Grains - </t>
    </r>
    <r>
      <rPr>
        <sz val="11"/>
        <color theme="1"/>
        <rFont val="FreeSans"/>
        <family val="2"/>
      </rPr>
      <t>الدقيق والنشا والحبوب</t>
    </r>
  </si>
  <si>
    <r>
      <rPr>
        <sz val="11"/>
        <color theme="1"/>
        <rFont val="Calibri"/>
        <family val="2"/>
        <scheme val="minor"/>
      </rPr>
      <t xml:space="preserve">Flour - </t>
    </r>
    <r>
      <rPr>
        <sz val="11"/>
        <color theme="1"/>
        <rFont val="FreeSans"/>
        <family val="2"/>
      </rPr>
      <t>دقيق</t>
    </r>
  </si>
  <si>
    <r>
      <rPr>
        <sz val="10"/>
        <color theme="0"/>
        <rFont val="Calibri"/>
        <family val="2"/>
        <charset val="1"/>
      </rPr>
      <t xml:space="preserve">Carrot Cake - </t>
    </r>
    <r>
      <rPr>
        <sz val="10"/>
        <color theme="0"/>
        <rFont val="FreeSans"/>
        <family val="2"/>
      </rPr>
      <t>كيك الجزر</t>
    </r>
  </si>
  <si>
    <r>
      <rPr>
        <sz val="11"/>
        <color theme="1"/>
        <rFont val="Calibri"/>
        <family val="2"/>
        <scheme val="minor"/>
      </rPr>
      <t xml:space="preserve">Salt - </t>
    </r>
    <r>
      <rPr>
        <sz val="11"/>
        <color theme="1"/>
        <rFont val="FreeSans"/>
        <family val="2"/>
      </rPr>
      <t>ملح</t>
    </r>
  </si>
  <si>
    <r>
      <rPr>
        <sz val="11"/>
        <color theme="1"/>
        <rFont val="Calibri"/>
        <family val="2"/>
        <scheme val="minor"/>
      </rPr>
      <t xml:space="preserve">Spices, Nuts &amp; Extras - </t>
    </r>
    <r>
      <rPr>
        <sz val="11"/>
        <color theme="1"/>
        <rFont val="FreeSans"/>
        <family val="2"/>
      </rPr>
      <t>التوابل والمكسرات</t>
    </r>
  </si>
  <si>
    <r>
      <rPr>
        <sz val="11"/>
        <color theme="1"/>
        <rFont val="Calibri"/>
        <family val="2"/>
        <scheme val="minor"/>
      </rPr>
      <t xml:space="preserve">Cinnamon Powder - </t>
    </r>
    <r>
      <rPr>
        <sz val="11"/>
        <color theme="1"/>
        <rFont val="FreeSans"/>
        <family val="2"/>
      </rPr>
      <t>قرفة مطحونة</t>
    </r>
  </si>
  <si>
    <r>
      <rPr>
        <sz val="11"/>
        <color theme="1"/>
        <rFont val="Calibri"/>
        <family val="2"/>
        <scheme val="minor"/>
      </rPr>
      <t xml:space="preserve">Fruits &amp; Fillings - </t>
    </r>
    <r>
      <rPr>
        <sz val="11"/>
        <color theme="1"/>
        <rFont val="FreeSans"/>
        <family val="2"/>
      </rPr>
      <t>الفواكه والحشوات</t>
    </r>
  </si>
  <si>
    <r>
      <rPr>
        <sz val="11"/>
        <color theme="1"/>
        <rFont val="Calibri"/>
        <family val="2"/>
        <scheme val="minor"/>
      </rPr>
      <t xml:space="preserve">Carrot - </t>
    </r>
    <r>
      <rPr>
        <sz val="11"/>
        <color theme="1"/>
        <rFont val="FreeSans"/>
        <family val="2"/>
      </rPr>
      <t>جزر</t>
    </r>
  </si>
  <si>
    <r>
      <rPr>
        <sz val="11"/>
        <color theme="1"/>
        <rFont val="Calibri"/>
        <family val="2"/>
        <scheme val="minor"/>
      </rPr>
      <t xml:space="preserve">Butter - </t>
    </r>
    <r>
      <rPr>
        <sz val="11"/>
        <color theme="1"/>
        <rFont val="FreeSans"/>
        <family val="2"/>
      </rPr>
      <t>زبدة</t>
    </r>
  </si>
  <si>
    <t>Chocolate Profiterole</t>
  </si>
  <si>
    <t>بروفيترول الشوكولاتة</t>
  </si>
  <si>
    <r>
      <rPr>
        <sz val="11"/>
        <color theme="1"/>
        <rFont val="Calibri"/>
        <family val="2"/>
        <scheme val="minor"/>
      </rPr>
      <t xml:space="preserve">Milk - </t>
    </r>
    <r>
      <rPr>
        <sz val="11"/>
        <color theme="1"/>
        <rFont val="FreeSans"/>
        <family val="2"/>
      </rPr>
      <t>حليب</t>
    </r>
  </si>
  <si>
    <r>
      <rPr>
        <sz val="11"/>
        <color theme="1"/>
        <rFont val="Calibri"/>
        <family val="2"/>
        <scheme val="minor"/>
      </rPr>
      <t xml:space="preserve">Water - </t>
    </r>
    <r>
      <rPr>
        <sz val="11"/>
        <color theme="1"/>
        <rFont val="FreeSans"/>
        <family val="2"/>
      </rPr>
      <t>ماء</t>
    </r>
  </si>
  <si>
    <r>
      <rPr>
        <sz val="10"/>
        <color theme="0"/>
        <rFont val="Calibri"/>
        <family val="2"/>
        <charset val="1"/>
      </rPr>
      <t xml:space="preserve">Chocolate Profiterole - </t>
    </r>
    <r>
      <rPr>
        <sz val="10"/>
        <color theme="0"/>
        <rFont val="FreeSans"/>
        <family val="2"/>
      </rPr>
      <t>بروفيترول الشوكولاتة</t>
    </r>
  </si>
  <si>
    <r>
      <rPr>
        <sz val="11"/>
        <color theme="1"/>
        <rFont val="Calibri"/>
        <family val="2"/>
        <scheme val="minor"/>
      </rPr>
      <t xml:space="preserve">Chocolate &amp; Cocoa - </t>
    </r>
    <r>
      <rPr>
        <sz val="11"/>
        <color theme="1"/>
        <rFont val="FreeSans"/>
        <family val="2"/>
      </rPr>
      <t>الشوكولاتة</t>
    </r>
  </si>
  <si>
    <t>Pistachio Profiterole</t>
  </si>
  <si>
    <t>بروفيترول الفستق</t>
  </si>
  <si>
    <r>
      <rPr>
        <sz val="10"/>
        <color theme="0"/>
        <rFont val="Calibri"/>
        <family val="2"/>
        <charset val="1"/>
      </rPr>
      <t xml:space="preserve">Pistachio Profiterole - </t>
    </r>
    <r>
      <rPr>
        <sz val="10"/>
        <color theme="0"/>
        <rFont val="FreeSans"/>
        <family val="2"/>
      </rPr>
      <t>بروفيترول الفستق</t>
    </r>
  </si>
  <si>
    <t>Carrot - جزر</t>
  </si>
  <si>
    <t>Pecan nut - مكسرات البيكان</t>
  </si>
  <si>
    <t>Soda Bi Carb - بيكربونات الصوديوم</t>
  </si>
  <si>
    <t>كيكة الجزر</t>
  </si>
  <si>
    <t>بروفيت رول بالفستق</t>
  </si>
  <si>
    <t>بروفيت رول بالشوكولاتة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</si>
</sst>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 * #,##0_ ;_ * \-#,##0_ ;_ * &quot;-&quot;??_ ;_ @_ "/>
    <numFmt numFmtId="166" formatCode="0.0"/>
    <numFmt numFmtId="167" formatCode="0.0000"/>
    <numFmt numFmtId="168" formatCode="_ * #,##0.00_ ;_ * \-#,##0.00_ ;_ * &quot;-&quot;??_ ;_ @_ "/>
    <numFmt numFmtId="169" formatCode="_ * #,##0_ ;_ * \-#,##0_ ;_ * \-??_ ;_ @_ "/>
    <numFmt numFmtId="170" formatCode="_ * #,##0.00_ ;_ * \-#,##0.00_ ;_ * \-??_ ;_ @_ "/>
    <numFmt numFmtId="171" formatCode="0.000"/>
    <numFmt numFmtId="172" formatCode="_ * #,##0.0_ ;_ * \-#,##0.0_ ;_ * &quot;-&quot;??_ ;_ @_ "/>
    <numFmt numFmtId="173" formatCode="_ * #,##0.000_ ;_ * \-#,##0.000_ ;_ * \-??_ ;_ @_ "/>
    <numFmt numFmtId="174" formatCode="_(* #,##0.00_);_(* \(#,##0.00\);_(* \-??_);_(@_)"/>
  </numFmts>
  <fonts count="3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Aptos Narrow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000000"/>
      <name val="Aptos Narrow"/>
      <family val="2"/>
    </font>
    <font>
      <b/>
      <sz val="13"/>
      <color rgb="FFFFFFFF"/>
      <name val="Arial"/>
      <family val="2"/>
    </font>
    <font>
      <b/>
      <sz val="9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4"/>
      <color rgb="FF4A1942"/>
      <name val="Arial"/>
      <family val="2"/>
    </font>
    <font>
      <sz val="9"/>
      <color rgb="FF000000"/>
      <name val="Arial"/>
      <family val="2"/>
    </font>
    <font>
      <b/>
      <sz val="10"/>
      <color rgb="FF4A1942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b/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theme="1"/>
      <name val="Calibri Light"/>
      <family val="1"/>
      <scheme val="major"/>
    </font>
    <font>
      <b/>
      <sz val="11"/>
      <color indexed="8"/>
      <name val="Calibri"/>
      <family val="2"/>
      <scheme val="minor"/>
    </font>
    <font>
      <sz val="11"/>
      <color theme="1"/>
      <name val="Calibri"/>
      <family val="2"/>
      <charset val="1"/>
    </font>
    <font>
      <b/>
      <sz val="11"/>
      <color rgb="FFFFFFFF"/>
      <name val="Arial"/>
      <family val="2"/>
      <charset val="1"/>
    </font>
    <font>
      <sz val="10"/>
      <color rgb="FF000000"/>
      <name val="Calibri"/>
      <family val="2"/>
      <charset val="1"/>
    </font>
    <font>
      <sz val="10"/>
      <color theme="1"/>
      <name val="Calibri"/>
      <family val="2"/>
      <charset val="1"/>
    </font>
    <font>
      <b/>
      <sz val="13"/>
      <color rgb="FFFFFFFF"/>
      <name val="Arial"/>
      <family val="2"/>
      <charset val="1"/>
    </font>
    <font>
      <sz val="11"/>
      <color theme="1"/>
      <name val="FreeSans"/>
      <family val="2"/>
    </font>
    <font>
      <sz val="11"/>
      <color rgb="FF000000"/>
      <name val="Aptos Narrow"/>
      <family val="2"/>
      <charset val="1"/>
    </font>
    <font>
      <b/>
      <sz val="11"/>
      <color theme="1"/>
      <name val="Calibri"/>
      <family val="2"/>
      <charset val="1"/>
    </font>
    <font>
      <sz val="10"/>
      <color theme="0"/>
      <name val="Calibri"/>
      <family val="2"/>
      <charset val="1"/>
    </font>
    <font>
      <sz val="10"/>
      <color theme="0"/>
      <name val="FreeSans"/>
      <family val="2"/>
    </font>
    <font>
      <sz val="11"/>
      <color theme="0"/>
      <name val="Calibri"/>
      <family val="2"/>
      <charset val="1"/>
    </font>
  </fonts>
  <fills count="3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4A1942"/>
        <bgColor rgb="FF4A1942"/>
      </patternFill>
    </fill>
    <fill>
      <patternFill patternType="solid">
        <fgColor rgb="FF6B2D6B"/>
        <bgColor rgb="FF6B2D6B"/>
      </patternFill>
    </fill>
    <fill>
      <patternFill patternType="solid">
        <fgColor rgb="FFFFF0D0"/>
        <bgColor rgb="FFFFF0D0"/>
      </patternFill>
    </fill>
    <fill>
      <patternFill patternType="solid">
        <fgColor rgb="FF8B3A8B"/>
        <bgColor rgb="FF8B3A8B"/>
      </patternFill>
    </fill>
    <fill>
      <patternFill patternType="solid">
        <fgColor rgb="FFFFFFFF"/>
        <bgColor rgb="FFFFFFFF"/>
      </patternFill>
    </fill>
    <fill>
      <patternFill patternType="solid">
        <fgColor rgb="FFE8F5E9"/>
        <bgColor rgb="FFE8F5E9"/>
      </patternFill>
    </fill>
    <fill>
      <patternFill patternType="solid">
        <fgColor rgb="FFFAF0FA"/>
        <bgColor rgb="FFFAF0FA"/>
      </patternFill>
    </fill>
    <fill>
      <patternFill patternType="solid">
        <fgColor rgb="FFF9F4F9"/>
        <bgColor rgb="FFF9F4F9"/>
      </patternFill>
    </fill>
    <fill>
      <patternFill patternType="solid">
        <fgColor theme="9" tint="0.59999389629810485"/>
        <bgColor rgb="FFE7E6E6"/>
      </patternFill>
    </fill>
    <fill>
      <patternFill patternType="solid">
        <fgColor theme="5"/>
        <bgColor rgb="FFDEEBF7"/>
      </patternFill>
    </fill>
    <fill>
      <patternFill patternType="solid">
        <fgColor theme="8" tint="0.39988402966399123"/>
        <bgColor rgb="FFB4C7E7"/>
      </patternFill>
    </fill>
    <fill>
      <patternFill patternType="solid">
        <fgColor rgb="FFFFFF00"/>
        <bgColor rgb="FFFFC000"/>
      </patternFill>
    </fill>
    <fill>
      <patternFill patternType="solid">
        <fgColor rgb="FF00206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rgb="FFA6A6A6"/>
      </patternFill>
    </fill>
    <fill>
      <patternFill patternType="solid">
        <fgColor theme="0" tint="-4.9989318521683403E-2"/>
        <bgColor rgb="FFA6A6A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87182226020086"/>
        <bgColor rgb="FF9DC3E6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B3A8B"/>
        <bgColor rgb="FF7030A0"/>
      </patternFill>
    </fill>
    <fill>
      <patternFill patternType="solid">
        <fgColor rgb="FF4A1942"/>
        <bgColor rgb="FF660066"/>
      </patternFill>
    </fill>
    <fill>
      <patternFill patternType="solid">
        <fgColor rgb="FF002060"/>
        <bgColor rgb="FF000080"/>
      </patternFill>
    </fill>
  </fills>
  <borders count="25">
    <border>
      <left/>
      <right/>
      <top/>
      <bottom/>
      <diagonal/>
    </border>
    <border>
      <left style="double">
        <color rgb="FF505050"/>
      </left>
      <right style="double">
        <color rgb="FF505050"/>
      </right>
      <top style="double">
        <color rgb="FF505050"/>
      </top>
      <bottom style="double">
        <color rgb="FF505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rgb="FF505050"/>
      </right>
      <top style="double">
        <color rgb="FF505050"/>
      </top>
      <bottom style="double">
        <color rgb="FF505050"/>
      </bottom>
      <diagonal/>
    </border>
    <border>
      <left style="double">
        <color rgb="FF505050"/>
      </left>
      <right style="double">
        <color rgb="FF505050"/>
      </right>
      <top/>
      <bottom/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thin">
        <color rgb="FF505050"/>
      </left>
      <right style="thin">
        <color rgb="FF505050"/>
      </right>
      <top/>
      <bottom/>
      <diagonal/>
    </border>
    <border>
      <left style="thin">
        <color rgb="FFBDBDBD"/>
      </left>
      <right style="thin">
        <color rgb="FFBDBDBD"/>
      </right>
      <top style="thin">
        <color rgb="FFBDBDBD"/>
      </top>
      <bottom style="thin">
        <color rgb="FFBDBDBD"/>
      </bottom>
      <diagonal/>
    </border>
    <border>
      <left/>
      <right/>
      <top style="thin">
        <color rgb="FFBDBDBD"/>
      </top>
      <bottom style="thin">
        <color rgb="FFBDBDBD"/>
      </bottom>
      <diagonal/>
    </border>
    <border>
      <left/>
      <right style="thin">
        <color rgb="FFBDBDBD"/>
      </right>
      <top style="thin">
        <color rgb="FFBDBDBD"/>
      </top>
      <bottom style="thin">
        <color rgb="FFBDBDBD"/>
      </bottom>
      <diagonal/>
    </border>
    <border>
      <left style="thin">
        <color rgb="FFBDBDBD"/>
      </left>
      <right/>
      <top style="thin">
        <color rgb="FFBDBDBD"/>
      </top>
      <bottom style="thin">
        <color rgb="FFBDBDBD"/>
      </bottom>
      <diagonal/>
    </border>
    <border>
      <left style="thin">
        <color rgb="FFBDBDBD"/>
      </left>
      <right style="thin">
        <color rgb="FFBDBDBD"/>
      </right>
      <top style="thin">
        <color rgb="FFBDBDBD"/>
      </top>
      <bottom/>
      <diagonal/>
    </border>
    <border>
      <left style="thin">
        <color rgb="FFBDBDBD"/>
      </left>
      <right/>
      <top style="thin">
        <color rgb="FFBDBDBD"/>
      </top>
      <bottom style="thin">
        <color indexed="64"/>
      </bottom>
      <diagonal/>
    </border>
    <border>
      <left/>
      <right/>
      <top style="thin">
        <color rgb="FFBDBDBD"/>
      </top>
      <bottom style="thin">
        <color indexed="64"/>
      </bottom>
      <diagonal/>
    </border>
    <border>
      <left/>
      <right style="thin">
        <color rgb="FFBDBDBD"/>
      </right>
      <top style="thin">
        <color rgb="FFBDBDBD"/>
      </top>
      <bottom style="thin">
        <color indexed="64"/>
      </bottom>
      <diagonal/>
    </border>
    <border>
      <left/>
      <right/>
      <top style="thin">
        <color rgb="FFBDBDBD"/>
      </top>
      <bottom/>
      <diagonal/>
    </border>
    <border>
      <left/>
      <right style="thin">
        <color rgb="FFBDBDBD"/>
      </right>
      <top style="thin">
        <color rgb="FFBDBDBD"/>
      </top>
      <bottom/>
      <diagonal/>
    </border>
    <border>
      <left style="thin">
        <color rgb="FFBDBDBD"/>
      </left>
      <right/>
      <top style="thin">
        <color rgb="FFBDBDBD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4" fontId="3" fillId="0" borderId="0"/>
    <xf numFmtId="0" fontId="5" fillId="0" borderId="0"/>
    <xf numFmtId="0" fontId="23" fillId="0" borderId="0"/>
    <xf numFmtId="0" fontId="25" fillId="0" borderId="0"/>
    <xf numFmtId="174" fontId="23" fillId="0" borderId="0"/>
  </cellStyleXfs>
  <cellXfs count="171">
    <xf numFmtId="0" fontId="0" fillId="0" borderId="0" xfId="0"/>
    <xf numFmtId="0" fontId="1" fillId="0" borderId="1" xfId="0" applyFont="1" applyBorder="1"/>
    <xf numFmtId="0" fontId="0" fillId="0" borderId="1" xfId="0" applyBorder="1"/>
    <xf numFmtId="0" fontId="2" fillId="0" borderId="1" xfId="0" applyFont="1" applyBorder="1" applyAlignment="1">
      <alignment wrapText="1"/>
    </xf>
    <xf numFmtId="0" fontId="0" fillId="0" borderId="0" xfId="0" applyAlignment="1">
      <alignment horizontal="center"/>
    </xf>
    <xf numFmtId="0" fontId="4" fillId="2" borderId="2" xfId="0" applyFont="1" applyFill="1" applyBorder="1"/>
    <xf numFmtId="0" fontId="4" fillId="2" borderId="5" xfId="0" applyFont="1" applyFill="1" applyBorder="1"/>
    <xf numFmtId="0" fontId="4" fillId="2" borderId="3" xfId="0" applyFont="1" applyFill="1" applyBorder="1"/>
    <xf numFmtId="165" fontId="0" fillId="0" borderId="6" xfId="1" applyNumberFormat="1" applyFont="1" applyBorder="1"/>
    <xf numFmtId="0" fontId="0" fillId="0" borderId="6" xfId="0" applyBorder="1"/>
    <xf numFmtId="0" fontId="4" fillId="2" borderId="7" xfId="0" applyFont="1" applyFill="1" applyBorder="1"/>
    <xf numFmtId="165" fontId="0" fillId="0" borderId="0" xfId="0" applyNumberFormat="1"/>
    <xf numFmtId="0" fontId="6" fillId="0" borderId="5" xfId="2" applyFont="1" applyBorder="1" applyAlignment="1">
      <alignment horizontal="center" vertical="center" wrapText="1"/>
    </xf>
    <xf numFmtId="165" fontId="6" fillId="0" borderId="5" xfId="2" applyNumberFormat="1" applyFont="1" applyBorder="1" applyAlignment="1">
      <alignment horizontal="center" vertical="center" wrapText="1"/>
    </xf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2" xfId="0" applyFon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1" fontId="1" fillId="0" borderId="2" xfId="0" applyNumberFormat="1" applyFont="1" applyBorder="1"/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8" fillId="0" borderId="2" xfId="0" applyFont="1" applyBorder="1" applyAlignment="1">
      <alignment horizontal="center" wrapText="1"/>
    </xf>
    <xf numFmtId="166" fontId="0" fillId="0" borderId="2" xfId="0" applyNumberFormat="1" applyBorder="1" applyAlignment="1">
      <alignment horizontal="center"/>
    </xf>
    <xf numFmtId="0" fontId="8" fillId="0" borderId="9" xfId="0" applyFont="1" applyBorder="1" applyAlignment="1">
      <alignment horizontal="center" wrapText="1"/>
    </xf>
    <xf numFmtId="0" fontId="1" fillId="0" borderId="0" xfId="0" applyFont="1"/>
    <xf numFmtId="0" fontId="2" fillId="0" borderId="9" xfId="0" applyFont="1" applyBorder="1" applyAlignment="1">
      <alignment horizontal="center" wrapText="1"/>
    </xf>
    <xf numFmtId="0" fontId="1" fillId="0" borderId="10" xfId="0" applyFont="1" applyBorder="1"/>
    <xf numFmtId="0" fontId="2" fillId="0" borderId="10" xfId="0" applyFont="1" applyBorder="1" applyAlignment="1">
      <alignment wrapText="1"/>
    </xf>
    <xf numFmtId="167" fontId="0" fillId="0" borderId="2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0" fontId="1" fillId="0" borderId="11" xfId="0" applyFont="1" applyBorder="1"/>
    <xf numFmtId="0" fontId="1" fillId="0" borderId="12" xfId="0" applyFont="1" applyBorder="1"/>
    <xf numFmtId="0" fontId="10" fillId="3" borderId="13" xfId="0" applyFont="1" applyFill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4" fillId="10" borderId="13" xfId="0" applyFont="1" applyFill="1" applyBorder="1" applyAlignment="1">
      <alignment horizontal="left" vertical="center"/>
    </xf>
    <xf numFmtId="0" fontId="15" fillId="5" borderId="13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horizontal="center" vertical="center"/>
    </xf>
    <xf numFmtId="0" fontId="11" fillId="6" borderId="13" xfId="0" applyFont="1" applyFill="1" applyBorder="1" applyAlignment="1">
      <alignment vertical="center"/>
    </xf>
    <xf numFmtId="0" fontId="11" fillId="6" borderId="14" xfId="0" applyFont="1" applyFill="1" applyBorder="1" applyAlignment="1">
      <alignment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vertical="center"/>
    </xf>
    <xf numFmtId="0" fontId="9" fillId="3" borderId="16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11" fillId="6" borderId="13" xfId="0" applyFont="1" applyFill="1" applyBorder="1" applyAlignment="1">
      <alignment vertical="center" wrapText="1"/>
    </xf>
    <xf numFmtId="0" fontId="9" fillId="0" borderId="20" xfId="0" applyFont="1" applyBorder="1" applyAlignment="1">
      <alignment vertical="center"/>
    </xf>
    <xf numFmtId="0" fontId="9" fillId="3" borderId="18" xfId="0" applyFont="1" applyFill="1" applyBorder="1" applyAlignment="1">
      <alignment vertical="center"/>
    </xf>
    <xf numFmtId="165" fontId="0" fillId="0" borderId="2" xfId="1" applyNumberFormat="1" applyFont="1" applyBorder="1"/>
    <xf numFmtId="165" fontId="0" fillId="0" borderId="2" xfId="0" applyNumberFormat="1" applyBorder="1"/>
    <xf numFmtId="1" fontId="11" fillId="6" borderId="14" xfId="0" applyNumberFormat="1" applyFont="1" applyFill="1" applyBorder="1" applyAlignment="1">
      <alignment vertical="center"/>
    </xf>
    <xf numFmtId="2" fontId="16" fillId="11" borderId="0" xfId="0" applyNumberFormat="1" applyFont="1" applyFill="1"/>
    <xf numFmtId="169" fontId="16" fillId="11" borderId="0" xfId="0" applyNumberFormat="1" applyFont="1" applyFill="1"/>
    <xf numFmtId="170" fontId="16" fillId="11" borderId="0" xfId="0" applyNumberFormat="1" applyFont="1" applyFill="1"/>
    <xf numFmtId="171" fontId="1" fillId="0" borderId="2" xfId="0" applyNumberFormat="1" applyFont="1" applyBorder="1"/>
    <xf numFmtId="0" fontId="0" fillId="0" borderId="2" xfId="0" applyBorder="1" applyAlignment="1">
      <alignment horizontal="left"/>
    </xf>
    <xf numFmtId="0" fontId="16" fillId="12" borderId="0" xfId="0" applyFont="1" applyFill="1" applyAlignment="1">
      <alignment horizontal="center" vertical="center" wrapText="1"/>
    </xf>
    <xf numFmtId="0" fontId="16" fillId="12" borderId="0" xfId="0" applyFont="1" applyFill="1" applyAlignment="1">
      <alignment horizontal="center" vertical="center"/>
    </xf>
    <xf numFmtId="0" fontId="17" fillId="7" borderId="13" xfId="0" applyFont="1" applyFill="1" applyBorder="1" applyAlignment="1">
      <alignment horizontal="left" vertical="center"/>
    </xf>
    <xf numFmtId="0" fontId="17" fillId="7" borderId="13" xfId="0" applyFont="1" applyFill="1" applyBorder="1" applyAlignment="1">
      <alignment horizontal="center" vertical="center"/>
    </xf>
    <xf numFmtId="1" fontId="17" fillId="7" borderId="13" xfId="0" applyNumberFormat="1" applyFont="1" applyFill="1" applyBorder="1" applyAlignment="1">
      <alignment horizontal="center" vertical="center"/>
    </xf>
    <xf numFmtId="1" fontId="17" fillId="8" borderId="16" xfId="0" applyNumberFormat="1" applyFont="1" applyFill="1" applyBorder="1" applyAlignment="1">
      <alignment horizontal="center" vertical="center"/>
    </xf>
    <xf numFmtId="0" fontId="17" fillId="9" borderId="13" xfId="0" applyFont="1" applyFill="1" applyBorder="1" applyAlignment="1">
      <alignment horizontal="left" vertical="center"/>
    </xf>
    <xf numFmtId="0" fontId="17" fillId="9" borderId="13" xfId="0" applyFont="1" applyFill="1" applyBorder="1" applyAlignment="1">
      <alignment horizontal="center" vertical="center"/>
    </xf>
    <xf numFmtId="1" fontId="17" fillId="9" borderId="13" xfId="0" applyNumberFormat="1" applyFont="1" applyFill="1" applyBorder="1" applyAlignment="1">
      <alignment horizontal="center" vertical="center"/>
    </xf>
    <xf numFmtId="0" fontId="17" fillId="0" borderId="13" xfId="0" applyFont="1" applyBorder="1" applyAlignment="1">
      <alignment horizontal="left" vertical="center"/>
    </xf>
    <xf numFmtId="1" fontId="18" fillId="8" borderId="16" xfId="0" applyNumberFormat="1" applyFont="1" applyFill="1" applyBorder="1" applyAlignment="1">
      <alignment horizontal="center" vertical="center"/>
    </xf>
    <xf numFmtId="0" fontId="17" fillId="8" borderId="16" xfId="0" applyFont="1" applyFill="1" applyBorder="1" applyAlignment="1">
      <alignment horizontal="center" vertical="center"/>
    </xf>
    <xf numFmtId="1" fontId="17" fillId="8" borderId="14" xfId="0" applyNumberFormat="1" applyFont="1" applyFill="1" applyBorder="1" applyAlignment="1">
      <alignment horizontal="center" vertical="center"/>
    </xf>
    <xf numFmtId="169" fontId="16" fillId="11" borderId="14" xfId="0" applyNumberFormat="1" applyFont="1" applyFill="1" applyBorder="1"/>
    <xf numFmtId="170" fontId="16" fillId="11" borderId="14" xfId="0" applyNumberFormat="1" applyFont="1" applyFill="1" applyBorder="1"/>
    <xf numFmtId="1" fontId="17" fillId="8" borderId="0" xfId="0" applyNumberFormat="1" applyFont="1" applyFill="1" applyAlignment="1">
      <alignment horizontal="center" vertical="center"/>
    </xf>
    <xf numFmtId="0" fontId="17" fillId="0" borderId="14" xfId="0" applyFont="1" applyBorder="1" applyAlignment="1">
      <alignment horizontal="left" vertical="center"/>
    </xf>
    <xf numFmtId="0" fontId="17" fillId="0" borderId="14" xfId="0" applyFont="1" applyBorder="1" applyAlignment="1">
      <alignment horizontal="center" vertical="center"/>
    </xf>
    <xf numFmtId="1" fontId="17" fillId="0" borderId="14" xfId="0" applyNumberFormat="1" applyFont="1" applyBorder="1" applyAlignment="1">
      <alignment horizontal="center" vertical="center"/>
    </xf>
    <xf numFmtId="169" fontId="16" fillId="11" borderId="0" xfId="0" applyNumberFormat="1" applyFont="1" applyFill="1" applyAlignment="1">
      <alignment horizontal="center"/>
    </xf>
    <xf numFmtId="170" fontId="16" fillId="11" borderId="0" xfId="0" applyNumberFormat="1" applyFont="1" applyFill="1" applyAlignment="1">
      <alignment horizontal="center"/>
    </xf>
    <xf numFmtId="1" fontId="18" fillId="8" borderId="0" xfId="0" applyNumberFormat="1" applyFont="1" applyFill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1" fontId="17" fillId="0" borderId="13" xfId="0" applyNumberFormat="1" applyFont="1" applyBorder="1" applyAlignment="1">
      <alignment horizontal="center" vertical="center"/>
    </xf>
    <xf numFmtId="0" fontId="11" fillId="6" borderId="16" xfId="0" applyFont="1" applyFill="1" applyBorder="1" applyAlignment="1">
      <alignment vertical="center" wrapText="1"/>
    </xf>
    <xf numFmtId="165" fontId="0" fillId="0" borderId="3" xfId="0" applyNumberFormat="1" applyBorder="1" applyAlignment="1">
      <alignment horizontal="center"/>
    </xf>
    <xf numFmtId="0" fontId="9" fillId="3" borderId="21" xfId="0" applyFont="1" applyFill="1" applyBorder="1" applyAlignment="1">
      <alignment vertical="center"/>
    </xf>
    <xf numFmtId="0" fontId="9" fillId="3" borderId="22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9" fillId="3" borderId="17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vertical="center" wrapText="1"/>
    </xf>
    <xf numFmtId="0" fontId="17" fillId="13" borderId="0" xfId="0" applyFont="1" applyFill="1"/>
    <xf numFmtId="0" fontId="17" fillId="14" borderId="0" xfId="0" applyFont="1" applyFill="1"/>
    <xf numFmtId="2" fontId="17" fillId="14" borderId="0" xfId="0" applyNumberFormat="1" applyFont="1" applyFill="1"/>
    <xf numFmtId="0" fontId="19" fillId="15" borderId="2" xfId="0" applyFont="1" applyFill="1" applyBorder="1" applyAlignment="1">
      <alignment horizontal="left" vertical="center"/>
    </xf>
    <xf numFmtId="165" fontId="20" fillId="0" borderId="24" xfId="0" applyNumberFormat="1" applyFont="1" applyBorder="1" applyAlignment="1">
      <alignment horizontal="left" vertical="center"/>
    </xf>
    <xf numFmtId="2" fontId="0" fillId="0" borderId="2" xfId="0" applyNumberFormat="1" applyBorder="1"/>
    <xf numFmtId="166" fontId="0" fillId="0" borderId="2" xfId="0" applyNumberFormat="1" applyBorder="1"/>
    <xf numFmtId="166" fontId="0" fillId="0" borderId="0" xfId="0" applyNumberFormat="1"/>
    <xf numFmtId="0" fontId="0" fillId="16" borderId="2" xfId="0" applyFill="1" applyBorder="1" applyAlignment="1">
      <alignment horizontal="center"/>
    </xf>
    <xf numFmtId="166" fontId="0" fillId="16" borderId="2" xfId="0" applyNumberFormat="1" applyFill="1" applyBorder="1"/>
    <xf numFmtId="166" fontId="0" fillId="16" borderId="2" xfId="0" applyNumberFormat="1" applyFill="1" applyBorder="1" applyAlignment="1">
      <alignment horizontal="center"/>
    </xf>
    <xf numFmtId="2" fontId="0" fillId="16" borderId="2" xfId="0" applyNumberFormat="1" applyFill="1" applyBorder="1" applyAlignment="1">
      <alignment horizontal="center"/>
    </xf>
    <xf numFmtId="172" fontId="0" fillId="0" borderId="3" xfId="0" applyNumberFormat="1" applyBorder="1" applyAlignment="1">
      <alignment horizontal="center"/>
    </xf>
    <xf numFmtId="172" fontId="0" fillId="0" borderId="2" xfId="0" applyNumberFormat="1" applyBorder="1" applyAlignment="1">
      <alignment horizontal="center"/>
    </xf>
    <xf numFmtId="172" fontId="0" fillId="0" borderId="2" xfId="0" applyNumberFormat="1" applyBorder="1"/>
    <xf numFmtId="172" fontId="0" fillId="16" borderId="2" xfId="0" applyNumberFormat="1" applyFill="1" applyBorder="1" applyAlignment="1">
      <alignment horizontal="center"/>
    </xf>
    <xf numFmtId="0" fontId="11" fillId="6" borderId="2" xfId="0" applyFont="1" applyFill="1" applyBorder="1" applyAlignment="1">
      <alignment wrapText="1"/>
    </xf>
    <xf numFmtId="171" fontId="17" fillId="14" borderId="0" xfId="0" applyNumberFormat="1" applyFont="1" applyFill="1"/>
    <xf numFmtId="167" fontId="17" fillId="14" borderId="0" xfId="0" applyNumberFormat="1" applyFont="1" applyFill="1"/>
    <xf numFmtId="165" fontId="0" fillId="16" borderId="3" xfId="0" applyNumberFormat="1" applyFill="1" applyBorder="1" applyAlignment="1">
      <alignment horizontal="center"/>
    </xf>
    <xf numFmtId="0" fontId="0" fillId="16" borderId="2" xfId="0" applyFill="1" applyBorder="1"/>
    <xf numFmtId="169" fontId="16" fillId="17" borderId="0" xfId="0" applyNumberFormat="1" applyFont="1" applyFill="1"/>
    <xf numFmtId="169" fontId="16" fillId="18" borderId="0" xfId="0" applyNumberFormat="1" applyFont="1" applyFill="1"/>
    <xf numFmtId="0" fontId="0" fillId="19" borderId="0" xfId="0" applyFill="1"/>
    <xf numFmtId="0" fontId="1" fillId="19" borderId="0" xfId="0" applyFont="1" applyFill="1"/>
    <xf numFmtId="165" fontId="0" fillId="20" borderId="3" xfId="0" applyNumberFormat="1" applyFill="1" applyBorder="1" applyAlignment="1">
      <alignment horizontal="center"/>
    </xf>
    <xf numFmtId="173" fontId="16" fillId="17" borderId="0" xfId="0" applyNumberFormat="1" applyFont="1" applyFill="1"/>
    <xf numFmtId="0" fontId="21" fillId="22" borderId="0" xfId="0" applyFont="1" applyFill="1" applyAlignment="1">
      <alignment horizontal="center" vertical="center" wrapText="1"/>
    </xf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1" fillId="29" borderId="0" xfId="0" applyFont="1" applyFill="1"/>
    <xf numFmtId="0" fontId="22" fillId="29" borderId="0" xfId="0" applyFont="1" applyFill="1"/>
    <xf numFmtId="0" fontId="1" fillId="27" borderId="0" xfId="0" applyFont="1" applyFill="1"/>
    <xf numFmtId="0" fontId="22" fillId="27" borderId="0" xfId="0" applyFont="1" applyFill="1"/>
    <xf numFmtId="169" fontId="16" fillId="21" borderId="0" xfId="0" applyNumberFormat="1" applyFont="1" applyFill="1" applyAlignment="1">
      <alignment horizontal="center" vertical="center"/>
    </xf>
    <xf numFmtId="170" fontId="16" fillId="21" borderId="0" xfId="0" applyNumberFormat="1" applyFont="1" applyFill="1"/>
    <xf numFmtId="0" fontId="12" fillId="4" borderId="16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24" fillId="30" borderId="13" xfId="3" applyFont="1" applyFill="1" applyBorder="1" applyAlignment="1">
      <alignment vertical="center"/>
    </xf>
    <xf numFmtId="0" fontId="26" fillId="0" borderId="5" xfId="4" applyFont="1" applyBorder="1" applyAlignment="1">
      <alignment horizontal="center" vertical="center" wrapText="1"/>
    </xf>
    <xf numFmtId="0" fontId="23" fillId="0" borderId="0" xfId="3" applyAlignment="1">
      <alignment horizontal="center"/>
    </xf>
    <xf numFmtId="169" fontId="26" fillId="0" borderId="5" xfId="4" applyNumberFormat="1" applyFont="1" applyBorder="1" applyAlignment="1">
      <alignment horizontal="center" vertical="center" wrapText="1"/>
    </xf>
    <xf numFmtId="0" fontId="23" fillId="0" borderId="0" xfId="3"/>
    <xf numFmtId="0" fontId="27" fillId="31" borderId="16" xfId="3" applyFont="1" applyFill="1" applyBorder="1" applyAlignment="1">
      <alignment vertical="center"/>
    </xf>
    <xf numFmtId="0" fontId="27" fillId="31" borderId="14" xfId="3" applyFont="1" applyFill="1" applyBorder="1" applyAlignment="1">
      <alignment vertical="center"/>
    </xf>
    <xf numFmtId="0" fontId="27" fillId="31" borderId="15" xfId="3" applyFont="1" applyFill="1" applyBorder="1" applyAlignment="1">
      <alignment vertical="center"/>
    </xf>
    <xf numFmtId="0" fontId="27" fillId="31" borderId="18" xfId="3" applyFont="1" applyFill="1" applyBorder="1" applyAlignment="1">
      <alignment vertical="center"/>
    </xf>
    <xf numFmtId="0" fontId="27" fillId="31" borderId="19" xfId="3" applyFont="1" applyFill="1" applyBorder="1" applyAlignment="1">
      <alignment vertical="center"/>
    </xf>
    <xf numFmtId="0" fontId="27" fillId="31" borderId="20" xfId="3" applyFont="1" applyFill="1" applyBorder="1" applyAlignment="1">
      <alignment vertical="center"/>
    </xf>
    <xf numFmtId="0" fontId="24" fillId="30" borderId="13" xfId="3" applyFont="1" applyFill="1" applyBorder="1" applyAlignment="1">
      <alignment vertical="center" wrapText="1"/>
    </xf>
    <xf numFmtId="0" fontId="23" fillId="0" borderId="2" xfId="3" applyBorder="1" applyAlignment="1">
      <alignment horizontal="center"/>
    </xf>
    <xf numFmtId="0" fontId="29" fillId="0" borderId="2" xfId="3" applyFont="1" applyBorder="1" applyAlignment="1">
      <alignment horizontal="center" wrapText="1"/>
    </xf>
    <xf numFmtId="2" fontId="23" fillId="0" borderId="2" xfId="3" applyNumberFormat="1" applyBorder="1" applyAlignment="1">
      <alignment horizontal="center"/>
    </xf>
    <xf numFmtId="169" fontId="23" fillId="0" borderId="2" xfId="3" applyNumberFormat="1" applyBorder="1" applyAlignment="1">
      <alignment horizontal="center"/>
    </xf>
    <xf numFmtId="9" fontId="23" fillId="0" borderId="2" xfId="3" applyNumberFormat="1" applyBorder="1" applyAlignment="1">
      <alignment horizontal="center"/>
    </xf>
    <xf numFmtId="0" fontId="30" fillId="0" borderId="1" xfId="3" applyFont="1" applyBorder="1"/>
    <xf numFmtId="0" fontId="28" fillId="0" borderId="2" xfId="3" applyFont="1" applyBorder="1" applyAlignment="1">
      <alignment horizontal="center"/>
    </xf>
    <xf numFmtId="0" fontId="33" fillId="32" borderId="2" xfId="3" applyFont="1" applyFill="1" applyBorder="1"/>
    <xf numFmtId="169" fontId="23" fillId="0" borderId="2" xfId="5" applyNumberFormat="1" applyBorder="1"/>
    <xf numFmtId="0" fontId="23" fillId="0" borderId="2" xfId="3" applyBorder="1"/>
    <xf numFmtId="169" fontId="23" fillId="0" borderId="2" xfId="3" applyNumberFormat="1" applyBorder="1"/>
    <xf numFmtId="0" fontId="30" fillId="0" borderId="10" xfId="3" applyFont="1" applyBorder="1"/>
    <xf numFmtId="171" fontId="0" fillId="0" borderId="2" xfId="0" applyNumberFormat="1" applyBorder="1" applyAlignment="1">
      <alignment horizontal="center"/>
    </xf>
    <xf numFmtId="0" fontId="15" fillId="0" borderId="13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1" fillId="3" borderId="13" xfId="0" applyFont="1" applyFill="1" applyBorder="1" applyAlignment="1">
      <alignment horizontal="center" vertical="center"/>
    </xf>
    <xf numFmtId="0" fontId="0" fillId="0" borderId="15" xfId="0" applyBorder="1"/>
    <xf numFmtId="0" fontId="7" fillId="2" borderId="4" xfId="2" applyFont="1" applyFill="1" applyBorder="1" applyAlignment="1">
      <alignment horizontal="center"/>
    </xf>
    <xf numFmtId="0" fontId="0" fillId="0" borderId="4" xfId="0" applyBorder="1"/>
    <xf numFmtId="0" fontId="7" fillId="2" borderId="8" xfId="2" applyFont="1" applyFill="1" applyBorder="1" applyAlignment="1">
      <alignment horizontal="center"/>
    </xf>
    <xf numFmtId="0" fontId="0" fillId="0" borderId="8" xfId="0" applyBorder="1"/>
    <xf numFmtId="0" fontId="9" fillId="3" borderId="14" xfId="0" applyFont="1" applyFill="1" applyBorder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  <xf numFmtId="0" fontId="7" fillId="2" borderId="2" xfId="2" applyFont="1" applyFill="1" applyBorder="1" applyAlignment="1">
      <alignment horizontal="center"/>
    </xf>
    <xf numFmtId="0" fontId="0" fillId="0" borderId="2" xfId="0" applyBorder="1"/>
    <xf numFmtId="0" fontId="4" fillId="2" borderId="2" xfId="0" applyFont="1" applyFill="1" applyBorder="1" applyAlignment="1">
      <alignment horizontal="center"/>
    </xf>
    <xf numFmtId="0" fontId="27" fillId="31" borderId="14" xfId="3" applyFont="1" applyFill="1" applyBorder="1" applyAlignment="1">
      <alignment horizontal="center" vertical="center"/>
    </xf>
    <xf numFmtId="0" fontId="27" fillId="31" borderId="19" xfId="3" applyFont="1" applyFill="1" applyBorder="1" applyAlignment="1">
      <alignment horizontal="center" vertical="center"/>
    </xf>
    <xf numFmtId="0" fontId="31" fillId="32" borderId="2" xfId="4" applyFont="1" applyFill="1" applyBorder="1" applyAlignment="1">
      <alignment horizontal="center"/>
    </xf>
    <xf numFmtId="0" fontId="9" fillId="3" borderId="2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</cellXfs>
  <cellStyles count="6">
    <cellStyle name="Comma" xfId="1" builtinId="3"/>
    <cellStyle name="Comma 2" xfId="5" xr:uid="{2983542A-9C08-47D3-B6E3-8CBE481225BB}"/>
    <cellStyle name="Normal" xfId="0" builtinId="0"/>
    <cellStyle name="Normal 2" xfId="3" xr:uid="{AB6770CF-84F0-4644-89AD-35C38E4E7326}"/>
    <cellStyle name="Normal 2 2 2" xfId="2" xr:uid="{00000000-0005-0000-0000-000002000000}"/>
    <cellStyle name="Normal 2 2 2 2" xfId="4" xr:uid="{38846E02-C29E-4CF6-881D-D30A39DB884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296646</xdr:colOff>
      <xdr:row>1</xdr:row>
      <xdr:rowOff>108425</xdr:rowOff>
    </xdr:from>
    <xdr:to>
      <xdr:col>18</xdr:col>
      <xdr:colOff>1034237</xdr:colOff>
      <xdr:row>6</xdr:row>
      <xdr:rowOff>14942</xdr:rowOff>
    </xdr:to>
    <xdr:pic macro="[0]!RecalcWeights">
      <xdr:nvPicPr>
        <xdr:cNvPr id="4" name="Graphic 3" descr="Cupcake with solid fill">
          <a:extLst>
            <a:ext uri="{FF2B5EF4-FFF2-40B4-BE49-F238E27FC236}">
              <a16:creationId xmlns:a16="http://schemas.microsoft.com/office/drawing/2014/main" id="{F6BD22E2-E08D-9D8D-BC44-AD78F83E9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677470" y="638837"/>
          <a:ext cx="737591" cy="802987"/>
        </a:xfrm>
        <a:prstGeom prst="rect">
          <a:avLst/>
        </a:prstGeom>
      </xdr:spPr>
    </xdr:pic>
    <xdr:clientData/>
  </xdr:twoCellAnchor>
  <xdr:twoCellAnchor>
    <xdr:from>
      <xdr:col>18</xdr:col>
      <xdr:colOff>333077</xdr:colOff>
      <xdr:row>6</xdr:row>
      <xdr:rowOff>86559</xdr:rowOff>
    </xdr:from>
    <xdr:to>
      <xdr:col>18</xdr:col>
      <xdr:colOff>1016944</xdr:colOff>
      <xdr:row>9</xdr:row>
      <xdr:rowOff>4111</xdr:rowOff>
    </xdr:to>
    <xdr:sp macro="[0]!ExportDessert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C87DF25-F770-AAEE-E8E3-6A2D548E0E46}"/>
            </a:ext>
          </a:extLst>
        </xdr:cNvPr>
        <xdr:cNvSpPr/>
      </xdr:nvSpPr>
      <xdr:spPr>
        <a:xfrm>
          <a:off x="22492948" y="1421688"/>
          <a:ext cx="683867" cy="45486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AE" sz="1100" b="1">
              <a:solidFill>
                <a:schemeClr val="bg1"/>
              </a:solidFill>
            </a:rPr>
            <a:t>Day Tables</a:t>
          </a:r>
          <a:endParaRPr lang="ar-EG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136072</xdr:colOff>
      <xdr:row>2</xdr:row>
      <xdr:rowOff>117929</xdr:rowOff>
    </xdr:from>
    <xdr:to>
      <xdr:col>24</xdr:col>
      <xdr:colOff>117928</xdr:colOff>
      <xdr:row>6</xdr:row>
      <xdr:rowOff>127000</xdr:rowOff>
    </xdr:to>
    <xdr:sp macro="[0]!UpdateRecipeData" textlink="">
      <xdr:nvSpPr>
        <xdr:cNvPr id="3" name="Lightning Bolt 2">
          <a:extLst>
            <a:ext uri="{FF2B5EF4-FFF2-40B4-BE49-F238E27FC236}">
              <a16:creationId xmlns:a16="http://schemas.microsoft.com/office/drawing/2014/main" id="{17F0C513-775D-7D44-B5AC-B0B28D1EAF3E}"/>
            </a:ext>
          </a:extLst>
        </xdr:cNvPr>
        <xdr:cNvSpPr/>
      </xdr:nvSpPr>
      <xdr:spPr>
        <a:xfrm>
          <a:off x="22878143" y="834572"/>
          <a:ext cx="707571" cy="734785"/>
        </a:xfrm>
        <a:prstGeom prst="lightningBol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ar-EG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525" row="2">
    <wetp:webextensionref xmlns:r="http://schemas.openxmlformats.org/officeDocument/2006/relationships" r:id="rId1"/>
  </wetp:taskpane>
  <wetp:taskpane dockstate="right" visibility="0" width="788" row="4">
    <wetp:webextensionref xmlns:r="http://schemas.openxmlformats.org/officeDocument/2006/relationships" r:id="rId2"/>
  </wetp:taskpane>
  <wetp:taskpane dockstate="right" visibility="0" width="525" row="9">
    <wetp:webextensionref xmlns:r="http://schemas.openxmlformats.org/officeDocument/2006/relationships" r:id="rId3"/>
  </wetp:taskpane>
  <wetp:taskpane dockstate="right" visibility="0" width="788" row="5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0F5965D9-477B-4DC1-B0D0-61F84FDC8857}">
  <we:reference id="wa200005271" version="2.6.1.0" store="en-US" storeType="OMEX"/>
  <we:alternateReferences>
    <we:reference id="wa200005271" version="2.6.1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E255850A-3876-4EBB-942B-A1C0809A95ED}">
  <we:reference id="wa200010725" version="1.0.0.1" store="en-US" storeType="OMEX"/>
  <we:alternateReferences>
    <we:reference id="WA200010725" version="1.0.0.1" store="WA200010725" storeType="OMEX"/>
  </we:alternateReferences>
  <we:properties>
    <we:property name="claude.fileId" value="&quot;a9d5b5ae-c668-454a-9c4f-7196c7fe9e4b&quot;"/>
  </we:properties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692563A7-6F19-4095-83B7-DA36521873BA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c6506dd6-742d-4b8e-aca8-23091e74c205&quot;"/>
  </we:properties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DFCF1C1F-9D6D-43BC-BD45-5617C87E64BD}">
  <we:reference id="wa200010215" version="2.0.0.0" store="en-US" storeType="OMEX"/>
  <we:alternateReferences>
    <we:reference id="WA200010215" version="2.0.0.0" store="WA20001021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1:AG83"/>
  <sheetViews>
    <sheetView tabSelected="1" topLeftCell="M1" zoomScale="85" zoomScaleNormal="85" workbookViewId="0">
      <pane ySplit="1" topLeftCell="A2" activePane="bottomLeft" state="frozen"/>
      <selection pane="bottomLeft" activeCell="AC40" sqref="AC40"/>
    </sheetView>
  </sheetViews>
  <sheetFormatPr defaultColWidth="17.41015625" defaultRowHeight="14.35"/>
  <cols>
    <col min="1" max="1" width="47.05859375" style="25" customWidth="1"/>
    <col min="2" max="2" width="14" style="25" customWidth="1"/>
    <col min="3" max="3" width="12.3515625" style="25" customWidth="1"/>
    <col min="4" max="4" width="19.3515625" style="25" customWidth="1"/>
    <col min="5" max="5" width="21.41015625" style="25" customWidth="1"/>
    <col min="6" max="6" width="13.05859375" customWidth="1"/>
    <col min="7" max="7" width="17.41015625" customWidth="1"/>
    <col min="8" max="8" width="18.64453125" customWidth="1"/>
    <col min="9" max="9" width="19.46875" customWidth="1"/>
    <col min="10" max="10" width="14.5859375" customWidth="1"/>
    <col min="11" max="11" width="13.05859375" customWidth="1"/>
    <col min="12" max="12" width="10.3515625" customWidth="1"/>
    <col min="13" max="13" width="11.05859375" customWidth="1"/>
    <col min="14" max="14" width="10.64453125" bestFit="1" customWidth="1"/>
    <col min="15" max="15" width="9.9375" bestFit="1" customWidth="1"/>
    <col min="16" max="16" width="4.5859375" customWidth="1"/>
    <col min="17" max="17" width="16.234375" customWidth="1"/>
    <col min="18" max="18" width="7.3515625" customWidth="1"/>
    <col min="20" max="26" width="1.9375" customWidth="1"/>
    <col min="27" max="27" width="26.05859375" bestFit="1" customWidth="1"/>
    <col min="28" max="29" width="10.3515625" bestFit="1" customWidth="1"/>
    <col min="30" max="31" width="3.76171875" customWidth="1"/>
    <col min="32" max="32" width="25.46875" customWidth="1"/>
    <col min="33" max="33" width="8.8203125"/>
  </cols>
  <sheetData>
    <row r="1" spans="1:33" ht="41.35">
      <c r="A1" s="34" t="s">
        <v>127</v>
      </c>
      <c r="B1" s="34" t="s">
        <v>4</v>
      </c>
      <c r="C1" s="34" t="s">
        <v>128</v>
      </c>
      <c r="D1" s="34" t="s">
        <v>129</v>
      </c>
      <c r="E1" s="34" t="s">
        <v>130</v>
      </c>
      <c r="F1" s="34" t="s">
        <v>94</v>
      </c>
      <c r="G1" s="55" t="s">
        <v>142</v>
      </c>
      <c r="H1" s="56" t="s">
        <v>143</v>
      </c>
      <c r="I1" s="55" t="s">
        <v>144</v>
      </c>
      <c r="J1" s="55" t="s">
        <v>161</v>
      </c>
      <c r="K1" s="34" t="s">
        <v>96</v>
      </c>
      <c r="L1" s="34" t="s">
        <v>97</v>
      </c>
      <c r="M1" s="34" t="s">
        <v>95</v>
      </c>
      <c r="N1" s="34" t="s">
        <v>98</v>
      </c>
      <c r="O1" s="34" t="s">
        <v>99</v>
      </c>
      <c r="Q1" s="33" t="s">
        <v>54</v>
      </c>
      <c r="R1" s="37">
        <v>6</v>
      </c>
      <c r="AA1" s="155" t="s">
        <v>24</v>
      </c>
      <c r="AB1" s="156"/>
      <c r="AF1" s="113" t="s">
        <v>207</v>
      </c>
      <c r="AG1" s="113" t="s">
        <v>208</v>
      </c>
    </row>
    <row r="2" spans="1:33">
      <c r="A2" s="34"/>
      <c r="B2" s="34"/>
      <c r="C2" s="34"/>
      <c r="D2" s="34"/>
      <c r="E2" s="126"/>
      <c r="F2" s="127"/>
      <c r="G2" s="55"/>
      <c r="H2" s="56"/>
      <c r="I2" s="55"/>
      <c r="J2" s="55"/>
      <c r="K2" s="127"/>
      <c r="L2" s="127"/>
      <c r="M2" s="127"/>
      <c r="N2" s="127"/>
      <c r="O2" s="127"/>
      <c r="AA2" s="34" t="s">
        <v>25</v>
      </c>
      <c r="AB2" s="34" t="s">
        <v>26</v>
      </c>
      <c r="AC2" s="34" t="s">
        <v>206</v>
      </c>
      <c r="AF2" s="114"/>
      <c r="AG2" s="114"/>
    </row>
    <row r="3" spans="1:33">
      <c r="A3" s="61" t="s">
        <v>104</v>
      </c>
      <c r="B3" s="61" t="s">
        <v>132</v>
      </c>
      <c r="C3" s="62" t="s">
        <v>17</v>
      </c>
      <c r="D3" s="63">
        <v>0</v>
      </c>
      <c r="E3" s="60">
        <v>7206.6427248677273</v>
      </c>
      <c r="F3" s="50">
        <v>1</v>
      </c>
      <c r="G3" s="74">
        <v>25000</v>
      </c>
      <c r="H3" s="74" t="s">
        <v>147</v>
      </c>
      <c r="I3" s="75">
        <v>750</v>
      </c>
      <c r="J3" s="75">
        <f>I3/(G3/1000)</f>
        <v>30</v>
      </c>
      <c r="K3" s="107">
        <f>(E3/F3)/G3</f>
        <v>0.2882657089947091</v>
      </c>
      <c r="L3" s="107">
        <f>(D3/F3)/G3</f>
        <v>0</v>
      </c>
      <c r="M3" s="108" t="s">
        <v>165</v>
      </c>
      <c r="N3" s="107">
        <f>K3*I3</f>
        <v>216.19928174603183</v>
      </c>
      <c r="O3" s="107">
        <f>L3*I3</f>
        <v>0</v>
      </c>
      <c r="AA3" s="35" t="s">
        <v>43</v>
      </c>
      <c r="AB3" s="36">
        <v>1</v>
      </c>
      <c r="AC3" s="36">
        <f t="shared" ref="AC3:AC9" si="0">AG3</f>
        <v>27</v>
      </c>
      <c r="AF3" s="114" t="s">
        <v>216</v>
      </c>
      <c r="AG3" s="114">
        <v>27</v>
      </c>
    </row>
    <row r="4" spans="1:33">
      <c r="A4" s="57" t="s">
        <v>100</v>
      </c>
      <c r="B4" s="57" t="s">
        <v>132</v>
      </c>
      <c r="C4" s="58" t="s">
        <v>15</v>
      </c>
      <c r="D4" s="59">
        <v>83.984126984126988</v>
      </c>
      <c r="E4" s="60">
        <v>423.69026658526661</v>
      </c>
      <c r="F4" s="50">
        <v>1</v>
      </c>
      <c r="G4" s="74">
        <f>360</f>
        <v>360</v>
      </c>
      <c r="H4" s="74" t="s">
        <v>160</v>
      </c>
      <c r="I4" s="75">
        <v>156</v>
      </c>
      <c r="J4" s="75">
        <f>I4/(G4)</f>
        <v>0.43333333333333335</v>
      </c>
      <c r="K4" s="107">
        <f>(E4/F4)/G4</f>
        <v>1.1769174071812962</v>
      </c>
      <c r="L4" s="107">
        <f>(D4/F4)/G4</f>
        <v>0.23328924162257497</v>
      </c>
      <c r="M4" s="108" t="s">
        <v>194</v>
      </c>
      <c r="N4" s="107">
        <f>K4*I4</f>
        <v>183.59911552028223</v>
      </c>
      <c r="O4" s="107">
        <f>L4*I4</f>
        <v>36.393121693121692</v>
      </c>
      <c r="AA4" s="35" t="s">
        <v>45</v>
      </c>
      <c r="AB4" s="36">
        <v>1</v>
      </c>
      <c r="AC4" s="36">
        <f t="shared" si="0"/>
        <v>108</v>
      </c>
      <c r="AF4" s="114" t="s">
        <v>215</v>
      </c>
      <c r="AG4" s="114">
        <v>108</v>
      </c>
    </row>
    <row r="5" spans="1:33">
      <c r="A5" s="61" t="s">
        <v>224</v>
      </c>
      <c r="B5" s="61" t="s">
        <v>132</v>
      </c>
      <c r="C5" s="62" t="s">
        <v>17</v>
      </c>
      <c r="D5" s="63">
        <v>0</v>
      </c>
      <c r="E5" s="60">
        <v>1585.4285714285716</v>
      </c>
      <c r="F5" s="50">
        <v>1</v>
      </c>
      <c r="G5" s="74">
        <v>5000</v>
      </c>
      <c r="H5" s="74" t="s">
        <v>150</v>
      </c>
      <c r="I5" s="75">
        <v>56.52</v>
      </c>
      <c r="J5" s="75">
        <f t="shared" ref="J5:J14" si="1">I5/(G5/1000)</f>
        <v>11.304</v>
      </c>
      <c r="K5" s="107">
        <f t="shared" ref="K5:K66" si="2">(E5/F5)/G5</f>
        <v>0.3170857142857143</v>
      </c>
      <c r="L5" s="107">
        <f t="shared" ref="L5:L66" si="3">(D5/F5)/G5</f>
        <v>0</v>
      </c>
      <c r="M5" s="108" t="s">
        <v>165</v>
      </c>
      <c r="N5" s="107">
        <f t="shared" ref="N5:N66" si="4">K5*I5</f>
        <v>17.921684571428575</v>
      </c>
      <c r="O5" s="107">
        <f t="shared" ref="O5:O66" si="5">L5*I5</f>
        <v>0</v>
      </c>
      <c r="AA5" s="35" t="s">
        <v>3</v>
      </c>
      <c r="AB5" s="36">
        <v>1</v>
      </c>
      <c r="AC5" s="36">
        <f t="shared" si="0"/>
        <v>27</v>
      </c>
      <c r="AF5" s="114" t="s">
        <v>78</v>
      </c>
      <c r="AG5" s="114">
        <v>27</v>
      </c>
    </row>
    <row r="6" spans="1:33">
      <c r="A6" s="57" t="s">
        <v>105</v>
      </c>
      <c r="B6" s="57" t="s">
        <v>132</v>
      </c>
      <c r="C6" s="58" t="s">
        <v>17</v>
      </c>
      <c r="D6" s="59">
        <v>0</v>
      </c>
      <c r="E6" s="60">
        <v>23967.0625</v>
      </c>
      <c r="F6" s="50">
        <v>1</v>
      </c>
      <c r="G6" s="74">
        <v>11000</v>
      </c>
      <c r="H6" s="74" t="s">
        <v>149</v>
      </c>
      <c r="I6" s="75">
        <v>149</v>
      </c>
      <c r="J6" s="75">
        <f t="shared" si="1"/>
        <v>13.545454545454545</v>
      </c>
      <c r="K6" s="107">
        <f t="shared" si="2"/>
        <v>2.1788238636363637</v>
      </c>
      <c r="L6" s="107">
        <f t="shared" si="3"/>
        <v>0</v>
      </c>
      <c r="M6" s="108" t="s">
        <v>194</v>
      </c>
      <c r="N6" s="107">
        <f t="shared" si="4"/>
        <v>324.6447556818182</v>
      </c>
      <c r="O6" s="107">
        <f t="shared" si="5"/>
        <v>0</v>
      </c>
      <c r="AA6" s="35" t="s">
        <v>33</v>
      </c>
      <c r="AB6" s="36">
        <v>1</v>
      </c>
      <c r="AC6" s="36">
        <f t="shared" si="0"/>
        <v>89</v>
      </c>
      <c r="AF6" s="114" t="s">
        <v>84</v>
      </c>
      <c r="AG6" s="114">
        <v>89</v>
      </c>
    </row>
    <row r="7" spans="1:33">
      <c r="A7" s="61" t="s">
        <v>101</v>
      </c>
      <c r="B7" s="61" t="s">
        <v>132</v>
      </c>
      <c r="C7" s="62" t="s">
        <v>16</v>
      </c>
      <c r="D7" s="63">
        <v>422.22222222222223</v>
      </c>
      <c r="E7" s="60">
        <v>10649.337962962964</v>
      </c>
      <c r="F7" s="50">
        <v>1</v>
      </c>
      <c r="G7" s="74">
        <v>12000</v>
      </c>
      <c r="H7" s="74" t="s">
        <v>148</v>
      </c>
      <c r="I7" s="75">
        <v>50.44</v>
      </c>
      <c r="J7" s="75">
        <f t="shared" si="1"/>
        <v>4.2033333333333331</v>
      </c>
      <c r="K7" s="107">
        <f t="shared" si="2"/>
        <v>0.88744483024691367</v>
      </c>
      <c r="L7" s="107">
        <f t="shared" si="3"/>
        <v>3.5185185185185187E-2</v>
      </c>
      <c r="M7" s="108" t="s">
        <v>194</v>
      </c>
      <c r="N7" s="107">
        <f t="shared" si="4"/>
        <v>44.762717237654321</v>
      </c>
      <c r="O7" s="107">
        <f t="shared" si="5"/>
        <v>1.7747407407407407</v>
      </c>
      <c r="AA7" s="35" t="s">
        <v>37</v>
      </c>
      <c r="AB7" s="36">
        <v>1</v>
      </c>
      <c r="AC7" s="36">
        <f t="shared" si="0"/>
        <v>169</v>
      </c>
      <c r="AF7" s="114" t="s">
        <v>209</v>
      </c>
      <c r="AG7" s="114">
        <v>169</v>
      </c>
    </row>
    <row r="8" spans="1:33">
      <c r="A8" s="57" t="s">
        <v>107</v>
      </c>
      <c r="B8" s="57" t="s">
        <v>132</v>
      </c>
      <c r="C8" s="58" t="s">
        <v>17</v>
      </c>
      <c r="D8" s="59">
        <v>1091.4285714285716</v>
      </c>
      <c r="E8" s="60">
        <v>3926.2857142857147</v>
      </c>
      <c r="F8" s="50">
        <v>1</v>
      </c>
      <c r="G8" s="74">
        <v>10000</v>
      </c>
      <c r="H8" s="74" t="s">
        <v>162</v>
      </c>
      <c r="I8" s="75">
        <v>140</v>
      </c>
      <c r="J8" s="75">
        <f t="shared" si="1"/>
        <v>14</v>
      </c>
      <c r="K8" s="107">
        <f t="shared" si="2"/>
        <v>0.39262857142857149</v>
      </c>
      <c r="L8" s="107">
        <f t="shared" si="3"/>
        <v>0.10914285714285715</v>
      </c>
      <c r="M8" s="108" t="s">
        <v>195</v>
      </c>
      <c r="N8" s="107">
        <f t="shared" si="4"/>
        <v>54.968000000000011</v>
      </c>
      <c r="O8" s="107">
        <f t="shared" si="5"/>
        <v>15.280000000000001</v>
      </c>
      <c r="AA8" s="35" t="s">
        <v>32</v>
      </c>
      <c r="AB8" s="36">
        <v>1</v>
      </c>
      <c r="AC8" s="36">
        <f t="shared" si="0"/>
        <v>293</v>
      </c>
      <c r="AF8" s="114" t="s">
        <v>82</v>
      </c>
      <c r="AG8" s="114">
        <v>293</v>
      </c>
    </row>
    <row r="9" spans="1:33">
      <c r="A9" s="61" t="s">
        <v>102</v>
      </c>
      <c r="B9" s="61" t="s">
        <v>132</v>
      </c>
      <c r="C9" s="62" t="s">
        <v>17</v>
      </c>
      <c r="D9" s="63">
        <v>0</v>
      </c>
      <c r="E9" s="60">
        <v>24440</v>
      </c>
      <c r="F9" s="50">
        <v>1</v>
      </c>
      <c r="G9" s="74">
        <v>9200</v>
      </c>
      <c r="H9" s="74" t="s">
        <v>151</v>
      </c>
      <c r="I9" s="75">
        <v>165</v>
      </c>
      <c r="J9" s="75">
        <f t="shared" si="1"/>
        <v>17.934782608695652</v>
      </c>
      <c r="K9" s="107">
        <f t="shared" si="2"/>
        <v>2.6565217391304348</v>
      </c>
      <c r="L9" s="107">
        <f t="shared" si="3"/>
        <v>0</v>
      </c>
      <c r="M9" s="108" t="s">
        <v>194</v>
      </c>
      <c r="N9" s="107">
        <f t="shared" si="4"/>
        <v>438.32608695652175</v>
      </c>
      <c r="O9" s="107">
        <f t="shared" si="5"/>
        <v>0</v>
      </c>
      <c r="AA9" s="35" t="s">
        <v>191</v>
      </c>
      <c r="AB9" s="36">
        <v>1</v>
      </c>
      <c r="AC9" s="36">
        <f t="shared" si="0"/>
        <v>34</v>
      </c>
      <c r="AF9" s="114" t="s">
        <v>210</v>
      </c>
      <c r="AG9" s="114">
        <v>34</v>
      </c>
    </row>
    <row r="10" spans="1:33">
      <c r="A10" s="61" t="s">
        <v>225</v>
      </c>
      <c r="B10" s="61" t="s">
        <v>132</v>
      </c>
      <c r="C10" s="62" t="s">
        <v>17</v>
      </c>
      <c r="D10" s="63">
        <v>0</v>
      </c>
      <c r="E10" s="60">
        <v>10098.736111111111</v>
      </c>
      <c r="F10" s="50">
        <v>1</v>
      </c>
      <c r="G10" s="74">
        <f>1650*4</f>
        <v>6600</v>
      </c>
      <c r="H10" s="74" t="s">
        <v>163</v>
      </c>
      <c r="I10" s="75">
        <v>230</v>
      </c>
      <c r="J10" s="75">
        <f t="shared" si="1"/>
        <v>34.848484848484851</v>
      </c>
      <c r="K10" s="107">
        <f t="shared" si="2"/>
        <v>1.5301115319865319</v>
      </c>
      <c r="L10" s="107">
        <f t="shared" si="3"/>
        <v>0</v>
      </c>
      <c r="M10" s="108" t="s">
        <v>194</v>
      </c>
      <c r="N10" s="107">
        <f t="shared" si="4"/>
        <v>351.92565235690233</v>
      </c>
      <c r="O10" s="107">
        <f t="shared" si="5"/>
        <v>0</v>
      </c>
      <c r="AA10" s="35" t="s">
        <v>41</v>
      </c>
      <c r="AB10" s="36">
        <v>2</v>
      </c>
      <c r="AC10" s="36">
        <f>AG11</f>
        <v>118</v>
      </c>
    </row>
    <row r="11" spans="1:33">
      <c r="A11" s="57" t="s">
        <v>226</v>
      </c>
      <c r="B11" s="57" t="s">
        <v>132</v>
      </c>
      <c r="C11" s="58" t="s">
        <v>16</v>
      </c>
      <c r="D11" s="59">
        <v>8444.4444444444453</v>
      </c>
      <c r="E11" s="60">
        <v>19259.259259259263</v>
      </c>
      <c r="F11" s="50">
        <v>1</v>
      </c>
      <c r="G11" s="74">
        <f>385*48</f>
        <v>18480</v>
      </c>
      <c r="H11" s="74" t="s">
        <v>170</v>
      </c>
      <c r="I11" s="75">
        <v>112</v>
      </c>
      <c r="J11" s="75">
        <f t="shared" si="1"/>
        <v>6.0606060606060606</v>
      </c>
      <c r="K11" s="107">
        <f t="shared" si="2"/>
        <v>1.0421677088343757</v>
      </c>
      <c r="L11" s="107">
        <f t="shared" si="3"/>
        <v>0.456950456950457</v>
      </c>
      <c r="M11" s="108" t="s">
        <v>194</v>
      </c>
      <c r="N11" s="107">
        <f t="shared" si="4"/>
        <v>116.72278338945009</v>
      </c>
      <c r="O11" s="107">
        <f t="shared" si="5"/>
        <v>51.178451178451184</v>
      </c>
      <c r="AA11" s="35" t="s">
        <v>29</v>
      </c>
      <c r="AB11" s="36">
        <v>2</v>
      </c>
      <c r="AC11" s="36">
        <f>AG12</f>
        <v>122</v>
      </c>
      <c r="AF11" s="115" t="s">
        <v>88</v>
      </c>
      <c r="AG11" s="115">
        <v>118</v>
      </c>
    </row>
    <row r="12" spans="1:33">
      <c r="A12" s="61" t="s">
        <v>227</v>
      </c>
      <c r="B12" s="61" t="s">
        <v>132</v>
      </c>
      <c r="C12" s="62" t="s">
        <v>17</v>
      </c>
      <c r="D12" s="63">
        <v>3166.666666666667</v>
      </c>
      <c r="E12" s="60">
        <v>16100.333333333332</v>
      </c>
      <c r="F12" s="50">
        <v>1</v>
      </c>
      <c r="G12" s="74">
        <v>12000</v>
      </c>
      <c r="H12" s="74" t="s">
        <v>164</v>
      </c>
      <c r="I12" s="75">
        <v>130</v>
      </c>
      <c r="J12" s="75">
        <f t="shared" si="1"/>
        <v>10.833333333333334</v>
      </c>
      <c r="K12" s="107">
        <f t="shared" si="2"/>
        <v>1.3416944444444443</v>
      </c>
      <c r="L12" s="107">
        <f t="shared" si="3"/>
        <v>0.2638888888888889</v>
      </c>
      <c r="M12" s="108" t="s">
        <v>194</v>
      </c>
      <c r="N12" s="107">
        <f t="shared" si="4"/>
        <v>174.42027777777776</v>
      </c>
      <c r="O12" s="107">
        <f t="shared" si="5"/>
        <v>34.305555555555557</v>
      </c>
      <c r="AA12" s="35" t="s">
        <v>28</v>
      </c>
      <c r="AB12" s="36">
        <v>2</v>
      </c>
      <c r="AC12" s="36">
        <f>AG13</f>
        <v>104</v>
      </c>
      <c r="AF12" s="115" t="s">
        <v>211</v>
      </c>
      <c r="AG12" s="115">
        <v>122</v>
      </c>
    </row>
    <row r="13" spans="1:33">
      <c r="A13" s="57" t="s">
        <v>228</v>
      </c>
      <c r="B13" s="57" t="s">
        <v>132</v>
      </c>
      <c r="C13" s="58" t="s">
        <v>17</v>
      </c>
      <c r="D13" s="59">
        <v>0</v>
      </c>
      <c r="E13" s="60">
        <v>4359.75</v>
      </c>
      <c r="F13" s="50">
        <v>1</v>
      </c>
      <c r="G13" s="74">
        <v>10000</v>
      </c>
      <c r="H13" s="74" t="s">
        <v>162</v>
      </c>
      <c r="I13" s="75">
        <v>142</v>
      </c>
      <c r="J13" s="75">
        <f t="shared" si="1"/>
        <v>14.2</v>
      </c>
      <c r="K13" s="107">
        <f t="shared" si="2"/>
        <v>0.435975</v>
      </c>
      <c r="L13" s="107">
        <f t="shared" si="3"/>
        <v>0</v>
      </c>
      <c r="M13" s="108" t="s">
        <v>195</v>
      </c>
      <c r="N13" s="107">
        <f t="shared" si="4"/>
        <v>61.908450000000002</v>
      </c>
      <c r="O13" s="107">
        <f t="shared" si="5"/>
        <v>0</v>
      </c>
      <c r="AA13" s="35" t="s">
        <v>31</v>
      </c>
      <c r="AB13" s="36">
        <v>2</v>
      </c>
      <c r="AC13" s="36">
        <f>AG14</f>
        <v>205</v>
      </c>
      <c r="AF13" s="115" t="s">
        <v>212</v>
      </c>
      <c r="AG13" s="115">
        <v>104</v>
      </c>
    </row>
    <row r="14" spans="1:33">
      <c r="A14" s="61" t="s">
        <v>229</v>
      </c>
      <c r="B14" s="61" t="s">
        <v>132</v>
      </c>
      <c r="C14" s="62" t="s">
        <v>17</v>
      </c>
      <c r="D14" s="63">
        <v>0</v>
      </c>
      <c r="E14" s="60">
        <v>1932</v>
      </c>
      <c r="F14" s="50">
        <v>1</v>
      </c>
      <c r="G14" s="74">
        <v>5000</v>
      </c>
      <c r="H14" s="74" t="s">
        <v>178</v>
      </c>
      <c r="I14" s="75">
        <v>100</v>
      </c>
      <c r="J14" s="75">
        <f t="shared" si="1"/>
        <v>20</v>
      </c>
      <c r="K14" s="107">
        <f t="shared" si="2"/>
        <v>0.38640000000000002</v>
      </c>
      <c r="L14" s="107">
        <f t="shared" si="3"/>
        <v>0</v>
      </c>
      <c r="M14" s="108" t="s">
        <v>195</v>
      </c>
      <c r="N14" s="107">
        <f t="shared" si="4"/>
        <v>38.64</v>
      </c>
      <c r="O14" s="107">
        <f t="shared" si="5"/>
        <v>0</v>
      </c>
      <c r="AA14" s="35" t="s">
        <v>199</v>
      </c>
      <c r="AB14" s="36">
        <v>2</v>
      </c>
      <c r="AC14" s="36">
        <f>AG15</f>
        <v>47</v>
      </c>
      <c r="AF14" s="115" t="s">
        <v>87</v>
      </c>
      <c r="AG14" s="115">
        <v>205</v>
      </c>
    </row>
    <row r="15" spans="1:33">
      <c r="A15" s="38"/>
      <c r="B15" s="39"/>
      <c r="C15" s="39"/>
      <c r="D15" s="49"/>
      <c r="E15" s="49"/>
      <c r="F15" s="49"/>
      <c r="G15" s="49"/>
      <c r="H15" s="49"/>
      <c r="I15" s="49"/>
      <c r="J15" s="49"/>
      <c r="K15" s="107"/>
      <c r="L15" s="107"/>
      <c r="M15" s="109"/>
      <c r="N15" s="107">
        <f t="shared" si="4"/>
        <v>0</v>
      </c>
      <c r="O15" s="107">
        <f t="shared" si="5"/>
        <v>0</v>
      </c>
      <c r="AA15" s="35" t="s">
        <v>57</v>
      </c>
      <c r="AB15" s="36">
        <v>3</v>
      </c>
      <c r="AC15" s="36">
        <f t="shared" ref="AC15:AC17" si="6">AG17</f>
        <v>13</v>
      </c>
      <c r="AF15" s="115" t="s">
        <v>210</v>
      </c>
      <c r="AG15" s="115">
        <v>47</v>
      </c>
    </row>
    <row r="16" spans="1:33">
      <c r="A16" s="57" t="s">
        <v>126</v>
      </c>
      <c r="B16" s="57" t="s">
        <v>140</v>
      </c>
      <c r="C16" s="58" t="s">
        <v>17</v>
      </c>
      <c r="D16" s="59">
        <v>2868.5714285714284</v>
      </c>
      <c r="E16" s="60">
        <v>8345.1272893772893</v>
      </c>
      <c r="F16" s="50">
        <v>1</v>
      </c>
      <c r="G16" s="51">
        <v>17000</v>
      </c>
      <c r="H16" s="51" t="s">
        <v>187</v>
      </c>
      <c r="I16" s="52">
        <f>100</f>
        <v>100</v>
      </c>
      <c r="J16" s="52">
        <f>I16/(G16/1000)</f>
        <v>5.882352941176471</v>
      </c>
      <c r="K16" s="107">
        <f t="shared" si="2"/>
        <v>0.49088984055160528</v>
      </c>
      <c r="L16" s="107">
        <f t="shared" si="3"/>
        <v>0.16873949579831932</v>
      </c>
      <c r="M16" s="108" t="s">
        <v>223</v>
      </c>
      <c r="N16" s="107">
        <f t="shared" si="4"/>
        <v>49.08898405516053</v>
      </c>
      <c r="O16" s="107">
        <f t="shared" si="5"/>
        <v>16.873949579831933</v>
      </c>
      <c r="AA16" s="35" t="s">
        <v>56</v>
      </c>
      <c r="AB16" s="36">
        <v>3</v>
      </c>
      <c r="AC16" s="36">
        <f>AG18</f>
        <v>94</v>
      </c>
    </row>
    <row r="17" spans="1:33">
      <c r="A17" s="61" t="s">
        <v>125</v>
      </c>
      <c r="B17" s="61" t="s">
        <v>140</v>
      </c>
      <c r="C17" s="62" t="s">
        <v>16</v>
      </c>
      <c r="D17" s="63">
        <v>0</v>
      </c>
      <c r="E17" s="60">
        <v>96</v>
      </c>
      <c r="F17" s="50">
        <v>1</v>
      </c>
      <c r="G17" s="51">
        <v>10000</v>
      </c>
      <c r="H17" s="51" t="s">
        <v>153</v>
      </c>
      <c r="I17" s="52">
        <v>155</v>
      </c>
      <c r="J17" s="52">
        <f>I17/(G17/1000)</f>
        <v>15.5</v>
      </c>
      <c r="K17" s="107">
        <f t="shared" si="2"/>
        <v>9.5999999999999992E-3</v>
      </c>
      <c r="L17" s="107">
        <f t="shared" si="3"/>
        <v>0</v>
      </c>
      <c r="M17" s="108" t="s">
        <v>196</v>
      </c>
      <c r="N17" s="107">
        <f t="shared" si="4"/>
        <v>1.4879999999999998</v>
      </c>
      <c r="O17" s="107">
        <f t="shared" si="5"/>
        <v>0</v>
      </c>
      <c r="AA17" s="35" t="s">
        <v>55</v>
      </c>
      <c r="AB17" s="36">
        <v>3</v>
      </c>
      <c r="AC17" s="36">
        <f t="shared" si="6"/>
        <v>17</v>
      </c>
      <c r="AF17" s="116" t="s">
        <v>78</v>
      </c>
      <c r="AG17" s="116">
        <v>13</v>
      </c>
    </row>
    <row r="18" spans="1:33">
      <c r="A18" s="57" t="s">
        <v>106</v>
      </c>
      <c r="B18" s="57" t="s">
        <v>140</v>
      </c>
      <c r="C18" s="58" t="s">
        <v>16</v>
      </c>
      <c r="D18" s="59">
        <v>1910</v>
      </c>
      <c r="E18" s="60">
        <v>3797.9846153846156</v>
      </c>
      <c r="F18" s="50">
        <v>1</v>
      </c>
      <c r="G18" s="51">
        <v>1000</v>
      </c>
      <c r="H18" s="51" t="s">
        <v>165</v>
      </c>
      <c r="I18" s="52">
        <v>0</v>
      </c>
      <c r="J18" s="52">
        <v>0</v>
      </c>
      <c r="K18" s="107">
        <f t="shared" si="2"/>
        <v>3.7979846153846157</v>
      </c>
      <c r="L18" s="107">
        <f t="shared" si="3"/>
        <v>1.91</v>
      </c>
      <c r="M18" s="108" t="s">
        <v>165</v>
      </c>
      <c r="N18" s="107">
        <f t="shared" si="4"/>
        <v>0</v>
      </c>
      <c r="O18" s="107">
        <f t="shared" si="5"/>
        <v>0</v>
      </c>
      <c r="AA18" s="35" t="s">
        <v>40</v>
      </c>
      <c r="AB18" s="36">
        <v>3</v>
      </c>
      <c r="AC18" s="36">
        <f>AG20</f>
        <v>85</v>
      </c>
      <c r="AF18" s="116" t="s">
        <v>215</v>
      </c>
      <c r="AG18" s="116">
        <v>94</v>
      </c>
    </row>
    <row r="19" spans="1:33">
      <c r="A19" s="38"/>
      <c r="B19" s="39"/>
      <c r="C19" s="39"/>
      <c r="D19" s="49"/>
      <c r="E19" s="49"/>
      <c r="F19" s="49"/>
      <c r="G19" s="49"/>
      <c r="H19" s="49"/>
      <c r="I19" s="49"/>
      <c r="J19" s="49"/>
      <c r="K19" s="107"/>
      <c r="L19" s="107"/>
      <c r="M19" s="109"/>
      <c r="N19" s="107">
        <f t="shared" si="4"/>
        <v>0</v>
      </c>
      <c r="O19" s="107">
        <f t="shared" si="5"/>
        <v>0</v>
      </c>
      <c r="AA19" s="35" t="s">
        <v>42</v>
      </c>
      <c r="AB19" s="36">
        <v>3</v>
      </c>
      <c r="AC19" s="36">
        <f>AG21</f>
        <v>119</v>
      </c>
      <c r="AF19" s="116" t="s">
        <v>216</v>
      </c>
      <c r="AG19" s="116">
        <v>17</v>
      </c>
    </row>
    <row r="20" spans="1:33">
      <c r="A20" s="57" t="s">
        <v>118</v>
      </c>
      <c r="B20" s="57" t="s">
        <v>134</v>
      </c>
      <c r="C20" s="58" t="s">
        <v>17</v>
      </c>
      <c r="D20" s="59">
        <v>13.642857142857142</v>
      </c>
      <c r="E20" s="60">
        <v>39.392857142857139</v>
      </c>
      <c r="F20" s="50">
        <v>1</v>
      </c>
      <c r="G20" s="51">
        <v>1000</v>
      </c>
      <c r="H20" s="51" t="s">
        <v>146</v>
      </c>
      <c r="I20" s="52">
        <v>107</v>
      </c>
      <c r="J20" s="52">
        <f>I20/(G20/1000)</f>
        <v>107</v>
      </c>
      <c r="K20" s="107">
        <f t="shared" si="2"/>
        <v>3.9392857142857139E-2</v>
      </c>
      <c r="L20" s="107">
        <f t="shared" si="3"/>
        <v>1.3642857142857142E-2</v>
      </c>
      <c r="M20" s="108" t="s">
        <v>165</v>
      </c>
      <c r="N20" s="107">
        <f t="shared" si="4"/>
        <v>4.2150357142857136</v>
      </c>
      <c r="O20" s="107">
        <f t="shared" si="5"/>
        <v>1.4597857142857142</v>
      </c>
      <c r="AA20" s="35" t="s">
        <v>35</v>
      </c>
      <c r="AB20" s="36">
        <v>3</v>
      </c>
      <c r="AC20" s="36">
        <f>AG22</f>
        <v>290</v>
      </c>
      <c r="AF20" s="116" t="s">
        <v>213</v>
      </c>
      <c r="AG20" s="116">
        <v>85</v>
      </c>
    </row>
    <row r="21" spans="1:33">
      <c r="A21" s="61" t="s">
        <v>117</v>
      </c>
      <c r="B21" s="61" t="s">
        <v>134</v>
      </c>
      <c r="C21" s="62" t="s">
        <v>17</v>
      </c>
      <c r="D21" s="63">
        <v>13.642857142857142</v>
      </c>
      <c r="E21" s="60">
        <v>54.207671957671948</v>
      </c>
      <c r="F21" s="50">
        <v>1</v>
      </c>
      <c r="G21" s="51">
        <v>1000</v>
      </c>
      <c r="H21" s="51" t="s">
        <v>146</v>
      </c>
      <c r="I21" s="52">
        <v>14</v>
      </c>
      <c r="J21" s="52">
        <f>I21/(G21/1000)</f>
        <v>14</v>
      </c>
      <c r="K21" s="107">
        <f t="shared" si="2"/>
        <v>5.4207671957671948E-2</v>
      </c>
      <c r="L21" s="107">
        <f t="shared" si="3"/>
        <v>1.3642857142857142E-2</v>
      </c>
      <c r="M21" s="108" t="s">
        <v>165</v>
      </c>
      <c r="N21" s="107">
        <f t="shared" si="4"/>
        <v>0.75890740740740725</v>
      </c>
      <c r="O21" s="107">
        <f t="shared" si="5"/>
        <v>0.191</v>
      </c>
      <c r="AA21" s="35" t="s">
        <v>290</v>
      </c>
      <c r="AB21" s="36">
        <v>3</v>
      </c>
      <c r="AC21" s="36">
        <v>9</v>
      </c>
      <c r="AF21" s="116" t="s">
        <v>214</v>
      </c>
      <c r="AG21" s="116">
        <v>119</v>
      </c>
    </row>
    <row r="22" spans="1:33">
      <c r="A22" s="57" t="s">
        <v>110</v>
      </c>
      <c r="B22" s="57" t="s">
        <v>134</v>
      </c>
      <c r="C22" s="58" t="s">
        <v>17</v>
      </c>
      <c r="D22" s="59">
        <v>4.2222222222222223</v>
      </c>
      <c r="E22" s="60">
        <v>44.268518518518519</v>
      </c>
      <c r="F22" s="50">
        <v>1</v>
      </c>
      <c r="G22" s="51">
        <v>50000</v>
      </c>
      <c r="H22" s="51" t="s">
        <v>145</v>
      </c>
      <c r="I22" s="52">
        <v>37</v>
      </c>
      <c r="J22" s="52">
        <f>I22/(G22/1000)</f>
        <v>0.74</v>
      </c>
      <c r="K22" s="107">
        <f t="shared" si="2"/>
        <v>8.8537037037037035E-4</v>
      </c>
      <c r="L22" s="107">
        <f t="shared" si="3"/>
        <v>8.4444444444444443E-5</v>
      </c>
      <c r="M22" s="108" t="s">
        <v>165</v>
      </c>
      <c r="N22" s="107">
        <f t="shared" si="4"/>
        <v>3.27587037037037E-2</v>
      </c>
      <c r="O22" s="107">
        <f t="shared" si="5"/>
        <v>3.1244444444444444E-3</v>
      </c>
      <c r="AA22" s="35" t="s">
        <v>202</v>
      </c>
      <c r="AB22" s="36">
        <v>3</v>
      </c>
      <c r="AC22" s="36">
        <f>AG24</f>
        <v>36</v>
      </c>
      <c r="AF22" s="116" t="s">
        <v>71</v>
      </c>
      <c r="AG22" s="116">
        <v>290</v>
      </c>
    </row>
    <row r="23" spans="1:33">
      <c r="A23" s="61" t="s">
        <v>103</v>
      </c>
      <c r="B23" s="61" t="s">
        <v>134</v>
      </c>
      <c r="C23" s="62" t="s">
        <v>17</v>
      </c>
      <c r="D23" s="63">
        <v>0</v>
      </c>
      <c r="E23" s="60">
        <v>25.75</v>
      </c>
      <c r="F23" s="50">
        <v>1</v>
      </c>
      <c r="G23" s="51">
        <v>1000</v>
      </c>
      <c r="H23" s="51" t="s">
        <v>146</v>
      </c>
      <c r="I23" s="52">
        <v>47</v>
      </c>
      <c r="J23" s="52">
        <f>I23/(G23/1000)</f>
        <v>47</v>
      </c>
      <c r="K23" s="107">
        <f t="shared" si="2"/>
        <v>2.5749999999999999E-2</v>
      </c>
      <c r="L23" s="107">
        <f t="shared" si="3"/>
        <v>0</v>
      </c>
      <c r="M23" s="108" t="s">
        <v>165</v>
      </c>
      <c r="N23" s="107">
        <f t="shared" si="4"/>
        <v>1.2102499999999998</v>
      </c>
      <c r="O23" s="107">
        <f t="shared" si="5"/>
        <v>0</v>
      </c>
      <c r="AA23" s="35" t="s">
        <v>38</v>
      </c>
      <c r="AB23" s="36">
        <v>4</v>
      </c>
      <c r="AC23" s="36">
        <f>AG26</f>
        <v>448</v>
      </c>
      <c r="AF23" s="116" t="s">
        <v>297</v>
      </c>
      <c r="AG23" s="116">
        <v>0</v>
      </c>
    </row>
    <row r="24" spans="1:33">
      <c r="A24" s="64" t="s">
        <v>119</v>
      </c>
      <c r="B24" s="71" t="s">
        <v>134</v>
      </c>
      <c r="C24" s="72" t="s">
        <v>17</v>
      </c>
      <c r="D24" s="73">
        <v>0</v>
      </c>
      <c r="E24" s="67">
        <v>25.75</v>
      </c>
      <c r="F24" s="50">
        <v>1</v>
      </c>
      <c r="G24" s="51">
        <v>1000</v>
      </c>
      <c r="H24" s="51" t="s">
        <v>146</v>
      </c>
      <c r="I24" s="52">
        <v>31</v>
      </c>
      <c r="J24" s="52">
        <f>I24/(G24/1000)</f>
        <v>31</v>
      </c>
      <c r="K24" s="107">
        <f t="shared" si="2"/>
        <v>2.5749999999999999E-2</v>
      </c>
      <c r="L24" s="107">
        <f t="shared" si="3"/>
        <v>0</v>
      </c>
      <c r="M24" s="108" t="s">
        <v>165</v>
      </c>
      <c r="N24" s="107">
        <f t="shared" si="4"/>
        <v>0.7982499999999999</v>
      </c>
      <c r="O24" s="107">
        <f t="shared" si="5"/>
        <v>0</v>
      </c>
      <c r="AA24" s="35" t="s">
        <v>267</v>
      </c>
      <c r="AB24" s="36">
        <v>4</v>
      </c>
      <c r="AC24" s="36">
        <f>AG27</f>
        <v>78</v>
      </c>
      <c r="AF24" s="116" t="s">
        <v>210</v>
      </c>
      <c r="AG24" s="116">
        <v>36</v>
      </c>
    </row>
    <row r="25" spans="1:33">
      <c r="A25" s="38"/>
      <c r="B25" s="39"/>
      <c r="C25" s="39"/>
      <c r="D25" s="49"/>
      <c r="E25" s="49"/>
      <c r="F25" s="49"/>
      <c r="G25" s="49"/>
      <c r="H25" s="49"/>
      <c r="I25" s="49"/>
      <c r="J25" s="49"/>
      <c r="K25" s="107"/>
      <c r="L25" s="107"/>
      <c r="M25" s="109"/>
      <c r="N25" s="107">
        <f t="shared" si="4"/>
        <v>0</v>
      </c>
      <c r="O25" s="107">
        <f t="shared" si="5"/>
        <v>0</v>
      </c>
      <c r="AA25" s="35" t="s">
        <v>58</v>
      </c>
      <c r="AB25" s="36">
        <v>4</v>
      </c>
      <c r="AC25" s="36">
        <f>AG28</f>
        <v>78</v>
      </c>
    </row>
    <row r="26" spans="1:33">
      <c r="A26" s="61" t="s">
        <v>230</v>
      </c>
      <c r="B26" s="61" t="s">
        <v>137</v>
      </c>
      <c r="C26" s="62" t="s">
        <v>17</v>
      </c>
      <c r="D26" s="63">
        <v>81.857142857142847</v>
      </c>
      <c r="E26" s="60">
        <v>81.857142857142847</v>
      </c>
      <c r="F26" s="50">
        <v>1</v>
      </c>
      <c r="G26" s="51">
        <v>1000</v>
      </c>
      <c r="H26" s="52" t="s">
        <v>165</v>
      </c>
      <c r="I26" s="52">
        <v>10</v>
      </c>
      <c r="J26" s="51">
        <f>I26/(G26/1000)</f>
        <v>10</v>
      </c>
      <c r="K26" s="107">
        <f t="shared" si="2"/>
        <v>8.1857142857142851E-2</v>
      </c>
      <c r="L26" s="107">
        <f t="shared" si="3"/>
        <v>8.1857142857142851E-2</v>
      </c>
      <c r="M26" s="108" t="s">
        <v>165</v>
      </c>
      <c r="N26" s="107">
        <f t="shared" si="4"/>
        <v>0.81857142857142851</v>
      </c>
      <c r="O26" s="107">
        <f t="shared" si="5"/>
        <v>0.81857142857142851</v>
      </c>
      <c r="AA26" s="35" t="s">
        <v>205</v>
      </c>
      <c r="AB26" s="36">
        <v>4</v>
      </c>
      <c r="AC26" s="36">
        <f>AG29</f>
        <v>48</v>
      </c>
      <c r="AF26" s="117" t="s">
        <v>217</v>
      </c>
      <c r="AG26" s="117">
        <v>448</v>
      </c>
    </row>
    <row r="27" spans="1:33">
      <c r="A27" s="57" t="s">
        <v>231</v>
      </c>
      <c r="B27" s="57" t="s">
        <v>137</v>
      </c>
      <c r="C27" s="58" t="s">
        <v>17</v>
      </c>
      <c r="D27" s="59">
        <v>8.4444444444444446</v>
      </c>
      <c r="E27" s="60">
        <v>19.25925925925926</v>
      </c>
      <c r="F27" s="50">
        <v>1</v>
      </c>
      <c r="G27" s="51">
        <f>12*60</f>
        <v>720</v>
      </c>
      <c r="H27" s="51" t="s">
        <v>166</v>
      </c>
      <c r="I27" s="52">
        <v>18.91</v>
      </c>
      <c r="J27" s="52">
        <f>I27/(G27/1000)</f>
        <v>26.263888888888889</v>
      </c>
      <c r="K27" s="107">
        <f t="shared" si="2"/>
        <v>2.6748971193415638E-2</v>
      </c>
      <c r="L27" s="107">
        <f t="shared" si="3"/>
        <v>1.1728395061728396E-2</v>
      </c>
      <c r="M27" s="108" t="s">
        <v>222</v>
      </c>
      <c r="N27" s="107">
        <f t="shared" si="4"/>
        <v>0.50582304526748967</v>
      </c>
      <c r="O27" s="107">
        <f t="shared" si="5"/>
        <v>0.22178395061728395</v>
      </c>
      <c r="AA27" s="35" t="s">
        <v>34</v>
      </c>
      <c r="AB27" s="36">
        <v>5</v>
      </c>
      <c r="AC27" s="36">
        <f>AG31</f>
        <v>357</v>
      </c>
      <c r="AF27" s="117" t="s">
        <v>296</v>
      </c>
      <c r="AG27" s="117">
        <v>78</v>
      </c>
    </row>
    <row r="28" spans="1:33">
      <c r="A28" s="61" t="s">
        <v>232</v>
      </c>
      <c r="B28" s="61" t="s">
        <v>137</v>
      </c>
      <c r="C28" s="62" t="s">
        <v>17</v>
      </c>
      <c r="D28" s="63">
        <v>158.23015873015873</v>
      </c>
      <c r="E28" s="60">
        <v>464.91005291005285</v>
      </c>
      <c r="F28" s="50">
        <v>1</v>
      </c>
      <c r="G28" s="51">
        <f>12*20*12</f>
        <v>2880</v>
      </c>
      <c r="H28" s="52" t="s">
        <v>167</v>
      </c>
      <c r="I28" s="52">
        <f>70</f>
        <v>70</v>
      </c>
      <c r="J28" s="51">
        <f>I28/(G28/1000)</f>
        <v>24.305555555555557</v>
      </c>
      <c r="K28" s="107">
        <f t="shared" si="2"/>
        <v>0.16142710170487945</v>
      </c>
      <c r="L28" s="107">
        <f t="shared" si="3"/>
        <v>5.4941027336860675E-2</v>
      </c>
      <c r="M28" s="108" t="s">
        <v>194</v>
      </c>
      <c r="N28" s="107">
        <f t="shared" si="4"/>
        <v>11.299897119341562</v>
      </c>
      <c r="O28" s="107">
        <f t="shared" si="5"/>
        <v>3.8458719135802473</v>
      </c>
      <c r="AA28" s="35" t="s">
        <v>284</v>
      </c>
      <c r="AB28" s="36">
        <v>5</v>
      </c>
      <c r="AC28" s="36">
        <f>AG32</f>
        <v>65</v>
      </c>
      <c r="AF28" s="117" t="s">
        <v>218</v>
      </c>
      <c r="AG28" s="117">
        <v>78</v>
      </c>
    </row>
    <row r="29" spans="1:33">
      <c r="A29" s="57" t="s">
        <v>233</v>
      </c>
      <c r="B29" s="57" t="s">
        <v>137</v>
      </c>
      <c r="C29" s="58" t="s">
        <v>17</v>
      </c>
      <c r="D29" s="59">
        <v>0</v>
      </c>
      <c r="E29" s="60">
        <v>33.866666666666667</v>
      </c>
      <c r="F29" s="50">
        <v>1</v>
      </c>
      <c r="G29" s="51">
        <v>1000</v>
      </c>
      <c r="H29" s="51" t="s">
        <v>165</v>
      </c>
      <c r="I29" s="52">
        <v>93</v>
      </c>
      <c r="J29" s="52">
        <f>I29/(G29/1000)</f>
        <v>93</v>
      </c>
      <c r="K29" s="107">
        <f t="shared" si="2"/>
        <v>3.386666666666667E-2</v>
      </c>
      <c r="L29" s="107">
        <f t="shared" si="3"/>
        <v>0</v>
      </c>
      <c r="M29" s="108" t="s">
        <v>165</v>
      </c>
      <c r="N29" s="107">
        <f t="shared" si="4"/>
        <v>3.1496000000000004</v>
      </c>
      <c r="O29" s="107">
        <f t="shared" si="5"/>
        <v>0</v>
      </c>
      <c r="AA29" s="35" t="s">
        <v>39</v>
      </c>
      <c r="AB29" s="36">
        <v>5</v>
      </c>
      <c r="AC29" s="36">
        <f>AG33</f>
        <v>160</v>
      </c>
      <c r="AF29" s="117" t="s">
        <v>210</v>
      </c>
      <c r="AG29" s="117">
        <v>48</v>
      </c>
    </row>
    <row r="30" spans="1:33">
      <c r="A30" s="61" t="s">
        <v>295</v>
      </c>
      <c r="B30" s="61" t="s">
        <v>137</v>
      </c>
      <c r="C30" s="62" t="s">
        <v>17</v>
      </c>
      <c r="D30" s="63">
        <v>0</v>
      </c>
      <c r="E30" s="60">
        <v>14.814814814814813</v>
      </c>
      <c r="F30" s="50">
        <v>1</v>
      </c>
      <c r="G30" s="51">
        <v>1000</v>
      </c>
      <c r="H30" s="52" t="s">
        <v>146</v>
      </c>
      <c r="I30" s="52">
        <v>5</v>
      </c>
      <c r="J30" s="51">
        <f>I30/1</f>
        <v>5</v>
      </c>
      <c r="K30" s="107">
        <f>(E30/F30)/G30</f>
        <v>1.4814814814814814E-2</v>
      </c>
      <c r="L30" s="107">
        <f>(D30/F30)/G30</f>
        <v>0</v>
      </c>
      <c r="M30" s="108" t="s">
        <v>146</v>
      </c>
      <c r="N30" s="107">
        <f>K30*I30</f>
        <v>7.407407407407407E-2</v>
      </c>
      <c r="O30" s="107">
        <f>L30*I30</f>
        <v>0</v>
      </c>
      <c r="AA30" s="35" t="s">
        <v>204</v>
      </c>
      <c r="AB30" s="36">
        <v>5</v>
      </c>
      <c r="AC30" s="36">
        <f>AG34</f>
        <v>40</v>
      </c>
    </row>
    <row r="31" spans="1:33">
      <c r="A31" s="57" t="s">
        <v>234</v>
      </c>
      <c r="B31" s="57" t="s">
        <v>137</v>
      </c>
      <c r="C31" s="58" t="s">
        <v>17</v>
      </c>
      <c r="D31" s="59">
        <v>30.4</v>
      </c>
      <c r="E31" s="60">
        <v>69.457619047619033</v>
      </c>
      <c r="F31" s="50">
        <v>1</v>
      </c>
      <c r="G31" s="51">
        <v>100</v>
      </c>
      <c r="H31" s="51" t="s">
        <v>168</v>
      </c>
      <c r="I31" s="52">
        <v>2.25</v>
      </c>
      <c r="J31" s="52">
        <f t="shared" ref="J31" si="7">I31/(G31/1000)</f>
        <v>22.5</v>
      </c>
      <c r="K31" s="107">
        <f t="shared" si="2"/>
        <v>0.69457619047619035</v>
      </c>
      <c r="L31" s="107">
        <f t="shared" si="3"/>
        <v>0.30399999999999999</v>
      </c>
      <c r="M31" s="108" t="s">
        <v>196</v>
      </c>
      <c r="N31" s="107">
        <f t="shared" si="4"/>
        <v>1.5627964285714282</v>
      </c>
      <c r="O31" s="107">
        <f t="shared" si="5"/>
        <v>0.68399999999999994</v>
      </c>
      <c r="AA31" s="35" t="s">
        <v>44</v>
      </c>
      <c r="AB31" s="36">
        <v>6</v>
      </c>
      <c r="AC31" s="36">
        <f>AG36</f>
        <v>113</v>
      </c>
      <c r="AF31" s="118" t="s">
        <v>219</v>
      </c>
      <c r="AG31" s="118">
        <v>357</v>
      </c>
    </row>
    <row r="32" spans="1:33">
      <c r="A32" s="61" t="s">
        <v>235</v>
      </c>
      <c r="B32" s="61" t="s">
        <v>137</v>
      </c>
      <c r="C32" s="62" t="s">
        <v>17</v>
      </c>
      <c r="D32" s="63">
        <v>136.71428571428572</v>
      </c>
      <c r="E32" s="60">
        <v>363.65873015873012</v>
      </c>
      <c r="F32" s="50">
        <v>1</v>
      </c>
      <c r="G32" s="51">
        <v>10000</v>
      </c>
      <c r="H32" s="52" t="s">
        <v>152</v>
      </c>
      <c r="I32" s="52">
        <v>79</v>
      </c>
      <c r="J32" s="51">
        <f>I32/(G32/1000)</f>
        <v>7.9</v>
      </c>
      <c r="K32" s="107">
        <f t="shared" si="2"/>
        <v>3.6365873015873011E-2</v>
      </c>
      <c r="L32" s="107">
        <f t="shared" si="3"/>
        <v>1.3671428571428572E-2</v>
      </c>
      <c r="M32" s="108" t="s">
        <v>194</v>
      </c>
      <c r="N32" s="107">
        <f t="shared" si="4"/>
        <v>2.8729039682539681</v>
      </c>
      <c r="O32" s="107">
        <f t="shared" si="5"/>
        <v>1.0800428571428573</v>
      </c>
      <c r="AA32" s="35" t="s">
        <v>36</v>
      </c>
      <c r="AB32" s="36">
        <v>6</v>
      </c>
      <c r="AC32" s="36">
        <f>AG37</f>
        <v>189</v>
      </c>
      <c r="AF32" s="118" t="s">
        <v>298</v>
      </c>
      <c r="AG32" s="118">
        <v>65</v>
      </c>
    </row>
    <row r="33" spans="1:33">
      <c r="A33" s="57" t="s">
        <v>236</v>
      </c>
      <c r="B33" s="57" t="s">
        <v>137</v>
      </c>
      <c r="C33" s="58" t="s">
        <v>17</v>
      </c>
      <c r="D33" s="59">
        <v>8.4444444444444446</v>
      </c>
      <c r="E33" s="60">
        <v>19.25925925925926</v>
      </c>
      <c r="F33" s="50">
        <v>1</v>
      </c>
      <c r="G33" s="51">
        <f>5*6</f>
        <v>30</v>
      </c>
      <c r="H33" s="51" t="s">
        <v>169</v>
      </c>
      <c r="I33" s="52">
        <v>280</v>
      </c>
      <c r="J33" s="52">
        <f>I33/(G33/1000)</f>
        <v>9333.3333333333339</v>
      </c>
      <c r="K33" s="107">
        <f t="shared" si="2"/>
        <v>0.64197530864197527</v>
      </c>
      <c r="L33" s="107">
        <f t="shared" si="3"/>
        <v>0.2814814814814815</v>
      </c>
      <c r="M33" s="108" t="s">
        <v>194</v>
      </c>
      <c r="N33" s="107">
        <f t="shared" si="4"/>
        <v>179.75308641975309</v>
      </c>
      <c r="O33" s="107">
        <f t="shared" si="5"/>
        <v>78.814814814814824</v>
      </c>
      <c r="AA33" s="35" t="s">
        <v>59</v>
      </c>
      <c r="AB33" s="36">
        <v>6</v>
      </c>
      <c r="AC33" s="36">
        <f>AG38</f>
        <v>226</v>
      </c>
      <c r="AF33" s="118" t="s">
        <v>220</v>
      </c>
      <c r="AG33" s="118">
        <v>160</v>
      </c>
    </row>
    <row r="34" spans="1:33">
      <c r="A34" s="38"/>
      <c r="B34" s="39"/>
      <c r="C34" s="39"/>
      <c r="D34" s="49"/>
      <c r="E34" s="49"/>
      <c r="F34" s="49"/>
      <c r="G34" s="49"/>
      <c r="H34" s="49"/>
      <c r="I34" s="49"/>
      <c r="J34" s="49"/>
      <c r="K34" s="107"/>
      <c r="L34" s="107"/>
      <c r="M34" s="110"/>
      <c r="N34" s="107">
        <f t="shared" si="4"/>
        <v>0</v>
      </c>
      <c r="O34" s="107">
        <f t="shared" si="5"/>
        <v>0</v>
      </c>
      <c r="AA34" s="35" t="s">
        <v>203</v>
      </c>
      <c r="AB34" s="36">
        <v>6</v>
      </c>
      <c r="AC34" s="36">
        <f>AG39</f>
        <v>45</v>
      </c>
      <c r="AF34" s="118" t="s">
        <v>210</v>
      </c>
      <c r="AG34" s="118">
        <v>40</v>
      </c>
    </row>
    <row r="35" spans="1:33">
      <c r="A35" s="61" t="s">
        <v>237</v>
      </c>
      <c r="B35" s="61" t="s">
        <v>141</v>
      </c>
      <c r="C35" s="62" t="s">
        <v>17</v>
      </c>
      <c r="D35" s="63">
        <v>0</v>
      </c>
      <c r="E35" s="60">
        <v>352</v>
      </c>
      <c r="F35" s="50">
        <v>1</v>
      </c>
      <c r="G35" s="51">
        <f>6*2000</f>
        <v>12000</v>
      </c>
      <c r="H35" s="51" t="s">
        <v>158</v>
      </c>
      <c r="I35" s="52">
        <v>125</v>
      </c>
      <c r="J35" s="52">
        <f>I35/(G35/1000)</f>
        <v>10.416666666666666</v>
      </c>
      <c r="K35" s="107">
        <f t="shared" si="2"/>
        <v>2.9333333333333333E-2</v>
      </c>
      <c r="L35" s="107">
        <f t="shared" si="3"/>
        <v>0</v>
      </c>
      <c r="M35" s="108" t="s">
        <v>194</v>
      </c>
      <c r="N35" s="107">
        <f t="shared" si="4"/>
        <v>3.6666666666666665</v>
      </c>
      <c r="O35" s="107">
        <f t="shared" si="5"/>
        <v>0</v>
      </c>
      <c r="AB35" s="153"/>
      <c r="AC35" s="153"/>
    </row>
    <row r="36" spans="1:33">
      <c r="A36" s="64" t="s">
        <v>238</v>
      </c>
      <c r="B36" s="57" t="s">
        <v>141</v>
      </c>
      <c r="C36" s="77" t="s">
        <v>17</v>
      </c>
      <c r="D36" s="78">
        <v>0</v>
      </c>
      <c r="E36" s="60">
        <v>352</v>
      </c>
      <c r="F36" s="50">
        <v>1</v>
      </c>
      <c r="G36" s="51">
        <f>6*3300</f>
        <v>19800</v>
      </c>
      <c r="H36" s="51" t="s">
        <v>171</v>
      </c>
      <c r="I36" s="52">
        <f>130.45</f>
        <v>130.44999999999999</v>
      </c>
      <c r="J36" s="52">
        <f>I36/(G36/1000)</f>
        <v>6.5883838383838373</v>
      </c>
      <c r="K36" s="107">
        <f t="shared" si="2"/>
        <v>1.7777777777777778E-2</v>
      </c>
      <c r="L36" s="107">
        <f t="shared" si="3"/>
        <v>0</v>
      </c>
      <c r="M36" s="108" t="s">
        <v>194</v>
      </c>
      <c r="N36" s="107">
        <f t="shared" si="4"/>
        <v>2.3191111111111109</v>
      </c>
      <c r="O36" s="107">
        <f t="shared" si="5"/>
        <v>0</v>
      </c>
      <c r="AB36" s="153"/>
      <c r="AC36" s="153"/>
      <c r="AF36" s="119" t="s">
        <v>73</v>
      </c>
      <c r="AG36" s="119">
        <v>113</v>
      </c>
    </row>
    <row r="37" spans="1:33">
      <c r="A37" s="61" t="s">
        <v>239</v>
      </c>
      <c r="B37" s="61" t="s">
        <v>141</v>
      </c>
      <c r="C37" s="62" t="s">
        <v>17</v>
      </c>
      <c r="D37" s="63">
        <v>0</v>
      </c>
      <c r="E37" s="60">
        <v>387.5</v>
      </c>
      <c r="F37" s="50">
        <v>1</v>
      </c>
      <c r="G37" s="51">
        <f>16*350</f>
        <v>5600</v>
      </c>
      <c r="H37" s="51" t="s">
        <v>186</v>
      </c>
      <c r="I37" s="52">
        <f>286.96</f>
        <v>286.95999999999998</v>
      </c>
      <c r="J37" s="52">
        <f>I37/(G37/1000)</f>
        <v>51.24285714285714</v>
      </c>
      <c r="K37" s="107">
        <f t="shared" si="2"/>
        <v>6.9196428571428575E-2</v>
      </c>
      <c r="L37" s="107">
        <f t="shared" si="3"/>
        <v>0</v>
      </c>
      <c r="M37" s="108" t="s">
        <v>194</v>
      </c>
      <c r="N37" s="107">
        <f t="shared" si="4"/>
        <v>19.856607142857143</v>
      </c>
      <c r="O37" s="107">
        <f t="shared" si="5"/>
        <v>0</v>
      </c>
      <c r="AA37" s="154"/>
      <c r="AB37" s="153"/>
      <c r="AC37" s="153"/>
      <c r="AF37" s="119" t="s">
        <v>72</v>
      </c>
      <c r="AG37" s="119">
        <v>189</v>
      </c>
    </row>
    <row r="38" spans="1:33">
      <c r="A38" s="38"/>
      <c r="B38" s="39"/>
      <c r="C38" s="39"/>
      <c r="D38" s="49"/>
      <c r="E38" s="49"/>
      <c r="F38" s="49"/>
      <c r="G38" s="49"/>
      <c r="H38" s="49"/>
      <c r="I38" s="49"/>
      <c r="J38" s="49"/>
      <c r="K38" s="107"/>
      <c r="L38" s="107"/>
      <c r="M38" s="109"/>
      <c r="N38" s="107">
        <f t="shared" si="4"/>
        <v>0</v>
      </c>
      <c r="O38" s="107">
        <f t="shared" si="5"/>
        <v>0</v>
      </c>
      <c r="AF38" s="119" t="s">
        <v>71</v>
      </c>
      <c r="AG38" s="119">
        <v>226</v>
      </c>
    </row>
    <row r="39" spans="1:33">
      <c r="A39" s="57" t="s">
        <v>116</v>
      </c>
      <c r="B39" s="57" t="s">
        <v>135</v>
      </c>
      <c r="C39" s="58" t="s">
        <v>17</v>
      </c>
      <c r="D39" s="59">
        <v>81.857142857142847</v>
      </c>
      <c r="E39" s="60">
        <v>81.857142857142847</v>
      </c>
      <c r="F39" s="50">
        <v>1</v>
      </c>
      <c r="G39" s="51">
        <v>1000</v>
      </c>
      <c r="H39" s="51" t="s">
        <v>165</v>
      </c>
      <c r="I39" s="52">
        <v>13</v>
      </c>
      <c r="J39" s="52">
        <f>I39/(G39/1000)</f>
        <v>13</v>
      </c>
      <c r="K39" s="107">
        <f t="shared" si="2"/>
        <v>8.1857142857142851E-2</v>
      </c>
      <c r="L39" s="107">
        <f t="shared" si="3"/>
        <v>8.1857142857142851E-2</v>
      </c>
      <c r="M39" s="108" t="s">
        <v>165</v>
      </c>
      <c r="N39" s="107">
        <f t="shared" si="4"/>
        <v>1.0641428571428571</v>
      </c>
      <c r="O39" s="107">
        <f t="shared" si="5"/>
        <v>1.0641428571428571</v>
      </c>
      <c r="AF39" s="119" t="s">
        <v>210</v>
      </c>
      <c r="AG39" s="119">
        <v>45</v>
      </c>
    </row>
    <row r="40" spans="1:33">
      <c r="A40" s="57" t="s">
        <v>240</v>
      </c>
      <c r="B40" s="57" t="s">
        <v>135</v>
      </c>
      <c r="C40" s="58" t="s">
        <v>17</v>
      </c>
      <c r="D40" s="59">
        <v>0</v>
      </c>
      <c r="E40" s="60">
        <v>355.71428571428572</v>
      </c>
      <c r="F40" s="50">
        <v>1</v>
      </c>
      <c r="G40" s="51">
        <v>1000</v>
      </c>
      <c r="H40" s="51" t="s">
        <v>146</v>
      </c>
      <c r="I40" s="52">
        <v>39</v>
      </c>
      <c r="J40" s="52">
        <f>I40/(G40/1000)</f>
        <v>39</v>
      </c>
      <c r="K40" s="107">
        <f t="shared" si="2"/>
        <v>0.35571428571428571</v>
      </c>
      <c r="L40" s="107">
        <f t="shared" si="3"/>
        <v>0</v>
      </c>
      <c r="M40" s="108" t="s">
        <v>165</v>
      </c>
      <c r="N40" s="107">
        <f t="shared" si="4"/>
        <v>13.872857142857143</v>
      </c>
      <c r="O40" s="107">
        <f t="shared" si="5"/>
        <v>0</v>
      </c>
      <c r="AA40" s="132"/>
    </row>
    <row r="41" spans="1:33">
      <c r="A41" s="61" t="s">
        <v>190</v>
      </c>
      <c r="B41" s="61" t="s">
        <v>135</v>
      </c>
      <c r="C41" s="62" t="s">
        <v>17</v>
      </c>
      <c r="D41" s="63">
        <v>325</v>
      </c>
      <c r="E41" s="60">
        <v>1820</v>
      </c>
      <c r="F41" s="50">
        <v>1</v>
      </c>
      <c r="G41" s="51">
        <v>1000</v>
      </c>
      <c r="H41" s="51" t="s">
        <v>146</v>
      </c>
      <c r="I41" s="52">
        <v>40</v>
      </c>
      <c r="J41" s="52">
        <f>I41/(G41/1000)</f>
        <v>40</v>
      </c>
      <c r="K41" s="107">
        <f t="shared" si="2"/>
        <v>1.82</v>
      </c>
      <c r="L41" s="107">
        <f t="shared" si="3"/>
        <v>0.32500000000000001</v>
      </c>
      <c r="M41" s="108" t="s">
        <v>165</v>
      </c>
      <c r="N41" s="107">
        <f t="shared" si="4"/>
        <v>72.8</v>
      </c>
      <c r="O41" s="107">
        <f t="shared" si="5"/>
        <v>13</v>
      </c>
      <c r="AA41" s="132"/>
    </row>
    <row r="42" spans="1:33">
      <c r="A42" s="57" t="s">
        <v>200</v>
      </c>
      <c r="B42" s="57" t="s">
        <v>135</v>
      </c>
      <c r="C42" s="58" t="s">
        <v>17</v>
      </c>
      <c r="D42" s="59">
        <v>620</v>
      </c>
      <c r="E42" s="60">
        <v>3472</v>
      </c>
      <c r="F42" s="50">
        <v>1</v>
      </c>
      <c r="G42" s="51">
        <v>1000</v>
      </c>
      <c r="H42" s="51" t="s">
        <v>165</v>
      </c>
      <c r="I42" s="52">
        <v>51</v>
      </c>
      <c r="J42" s="52">
        <f>I42/(G42/1000)</f>
        <v>51</v>
      </c>
      <c r="K42" s="107">
        <f t="shared" si="2"/>
        <v>3.472</v>
      </c>
      <c r="L42" s="107">
        <f t="shared" si="3"/>
        <v>0.62</v>
      </c>
      <c r="M42" s="108" t="s">
        <v>165</v>
      </c>
      <c r="N42" s="107">
        <f t="shared" si="4"/>
        <v>177.072</v>
      </c>
      <c r="O42" s="107">
        <f t="shared" si="5"/>
        <v>31.62</v>
      </c>
      <c r="AA42" s="132"/>
    </row>
    <row r="43" spans="1:33">
      <c r="A43" s="61" t="s">
        <v>294</v>
      </c>
      <c r="B43" s="61" t="s">
        <v>135</v>
      </c>
      <c r="C43" s="62" t="s">
        <v>17</v>
      </c>
      <c r="D43" s="63">
        <v>0</v>
      </c>
      <c r="E43" s="60">
        <v>444.44444444444446</v>
      </c>
      <c r="F43" s="50">
        <v>1</v>
      </c>
      <c r="G43" s="51">
        <v>1000</v>
      </c>
      <c r="H43" s="51" t="s">
        <v>146</v>
      </c>
      <c r="I43" s="52">
        <v>70</v>
      </c>
      <c r="J43" s="52">
        <v>70</v>
      </c>
      <c r="K43" s="107">
        <f t="shared" ref="K43" si="8">(E43/F43)/G43</f>
        <v>0.44444444444444448</v>
      </c>
      <c r="L43" s="107">
        <f t="shared" ref="L43" si="9">(D43/F43)/G43</f>
        <v>0</v>
      </c>
      <c r="M43" s="108" t="s">
        <v>165</v>
      </c>
      <c r="N43" s="107">
        <f t="shared" ref="N43" si="10">K43*I43</f>
        <v>31.111111111111114</v>
      </c>
      <c r="O43" s="107">
        <f t="shared" ref="O43" si="11">L43*I43</f>
        <v>0</v>
      </c>
      <c r="AA43" s="132"/>
    </row>
    <row r="44" spans="1:33">
      <c r="A44" s="57" t="s">
        <v>241</v>
      </c>
      <c r="B44" s="57" t="s">
        <v>135</v>
      </c>
      <c r="C44" s="58" t="s">
        <v>17</v>
      </c>
      <c r="D44" s="59">
        <v>250</v>
      </c>
      <c r="E44" s="60">
        <v>1400</v>
      </c>
      <c r="F44" s="50">
        <v>1</v>
      </c>
      <c r="G44" s="51">
        <v>1000</v>
      </c>
      <c r="H44" s="51" t="s">
        <v>165</v>
      </c>
      <c r="I44" s="52">
        <v>41</v>
      </c>
      <c r="J44" s="52">
        <f>I44/(G44/1000)</f>
        <v>41</v>
      </c>
      <c r="K44" s="107">
        <f t="shared" si="2"/>
        <v>1.4</v>
      </c>
      <c r="L44" s="107">
        <f t="shared" si="3"/>
        <v>0.25</v>
      </c>
      <c r="M44" s="108" t="s">
        <v>165</v>
      </c>
      <c r="N44" s="107">
        <f t="shared" si="4"/>
        <v>57.4</v>
      </c>
      <c r="O44" s="107">
        <f t="shared" si="5"/>
        <v>10.25</v>
      </c>
      <c r="AA44" s="132"/>
    </row>
    <row r="45" spans="1:33">
      <c r="A45" s="38"/>
      <c r="B45" s="39"/>
      <c r="C45" s="39"/>
      <c r="D45" s="49"/>
      <c r="E45" s="49"/>
      <c r="F45" s="49"/>
      <c r="G45" s="49"/>
      <c r="H45" s="49"/>
      <c r="I45" s="49"/>
      <c r="J45" s="49"/>
      <c r="K45" s="107"/>
      <c r="L45" s="107"/>
      <c r="M45" s="109"/>
      <c r="N45" s="107">
        <f t="shared" si="4"/>
        <v>0</v>
      </c>
      <c r="O45" s="107">
        <f t="shared" si="5"/>
        <v>0</v>
      </c>
    </row>
    <row r="46" spans="1:33">
      <c r="A46" s="61" t="s">
        <v>123</v>
      </c>
      <c r="B46" s="61" t="s">
        <v>133</v>
      </c>
      <c r="C46" s="62" t="s">
        <v>17</v>
      </c>
      <c r="D46" s="63">
        <v>1026.7857142857142</v>
      </c>
      <c r="E46" s="70">
        <v>3467.5264550264551</v>
      </c>
      <c r="F46" s="50">
        <v>1</v>
      </c>
      <c r="G46" s="51">
        <v>20000</v>
      </c>
      <c r="H46" s="51" t="s">
        <v>179</v>
      </c>
      <c r="I46" s="52">
        <v>130</v>
      </c>
      <c r="J46" s="52">
        <f>I46/20</f>
        <v>6.5</v>
      </c>
      <c r="K46" s="107">
        <f t="shared" si="2"/>
        <v>0.17337632275132275</v>
      </c>
      <c r="L46" s="107">
        <f t="shared" si="3"/>
        <v>5.1339285714285712E-2</v>
      </c>
      <c r="M46" s="108" t="s">
        <v>165</v>
      </c>
      <c r="N46" s="107">
        <f t="shared" si="4"/>
        <v>22.53892195767196</v>
      </c>
      <c r="O46" s="107">
        <f t="shared" si="5"/>
        <v>6.6741071428571423</v>
      </c>
    </row>
    <row r="47" spans="1:33">
      <c r="A47" s="61" t="s">
        <v>242</v>
      </c>
      <c r="B47" s="61" t="s">
        <v>133</v>
      </c>
      <c r="C47" s="62" t="s">
        <v>17</v>
      </c>
      <c r="D47" s="63">
        <v>0</v>
      </c>
      <c r="E47" s="66">
        <v>16371.25</v>
      </c>
      <c r="F47" s="50">
        <v>1</v>
      </c>
      <c r="G47" s="51">
        <f>24*100</f>
        <v>2400</v>
      </c>
      <c r="H47" s="51" t="s">
        <v>181</v>
      </c>
      <c r="I47" s="52">
        <f>22</f>
        <v>22</v>
      </c>
      <c r="J47" s="52">
        <f t="shared" ref="J47:J59" si="12">I47/(G47/1000)</f>
        <v>9.1666666666666679</v>
      </c>
      <c r="K47" s="107">
        <f t="shared" si="2"/>
        <v>6.8213541666666666</v>
      </c>
      <c r="L47" s="107">
        <f t="shared" si="3"/>
        <v>0</v>
      </c>
      <c r="M47" s="108" t="s">
        <v>194</v>
      </c>
      <c r="N47" s="107">
        <f t="shared" si="4"/>
        <v>150.06979166666667</v>
      </c>
      <c r="O47" s="107">
        <f t="shared" si="5"/>
        <v>0</v>
      </c>
    </row>
    <row r="48" spans="1:33">
      <c r="A48" s="57" t="s">
        <v>243</v>
      </c>
      <c r="B48" s="57" t="s">
        <v>133</v>
      </c>
      <c r="C48" s="58" t="s">
        <v>17</v>
      </c>
      <c r="D48" s="59">
        <v>0</v>
      </c>
      <c r="E48" s="60">
        <v>358.57142857142856</v>
      </c>
      <c r="F48" s="50">
        <v>1</v>
      </c>
      <c r="G48" s="51">
        <f>30*125</f>
        <v>3750</v>
      </c>
      <c r="H48" s="51" t="s">
        <v>156</v>
      </c>
      <c r="I48" s="52">
        <v>128</v>
      </c>
      <c r="J48" s="52">
        <f t="shared" si="12"/>
        <v>34.133333333333333</v>
      </c>
      <c r="K48" s="107">
        <f t="shared" si="2"/>
        <v>9.5619047619047617E-2</v>
      </c>
      <c r="L48" s="107">
        <f t="shared" si="3"/>
        <v>0</v>
      </c>
      <c r="M48" s="108" t="s">
        <v>196</v>
      </c>
      <c r="N48" s="107">
        <f t="shared" si="4"/>
        <v>12.239238095238095</v>
      </c>
      <c r="O48" s="107">
        <f t="shared" si="5"/>
        <v>0</v>
      </c>
    </row>
    <row r="49" spans="1:15">
      <c r="A49" s="61" t="s">
        <v>244</v>
      </c>
      <c r="B49" s="61" t="s">
        <v>133</v>
      </c>
      <c r="C49" s="62" t="s">
        <v>17</v>
      </c>
      <c r="D49" s="63">
        <v>0</v>
      </c>
      <c r="E49" s="60">
        <v>1200</v>
      </c>
      <c r="F49" s="50">
        <v>1</v>
      </c>
      <c r="G49" s="51">
        <v>6000</v>
      </c>
      <c r="H49" s="51" t="s">
        <v>155</v>
      </c>
      <c r="I49" s="52">
        <v>185</v>
      </c>
      <c r="J49" s="52">
        <f t="shared" si="12"/>
        <v>30.833333333333332</v>
      </c>
      <c r="K49" s="107">
        <f t="shared" si="2"/>
        <v>0.2</v>
      </c>
      <c r="L49" s="107">
        <f t="shared" si="3"/>
        <v>0</v>
      </c>
      <c r="M49" s="108" t="s">
        <v>197</v>
      </c>
      <c r="N49" s="107">
        <f t="shared" si="4"/>
        <v>37</v>
      </c>
      <c r="O49" s="107">
        <f t="shared" si="5"/>
        <v>0</v>
      </c>
    </row>
    <row r="50" spans="1:15">
      <c r="A50" s="57" t="s">
        <v>245</v>
      </c>
      <c r="B50" s="57" t="s">
        <v>133</v>
      </c>
      <c r="C50" s="58" t="s">
        <v>17</v>
      </c>
      <c r="D50" s="59">
        <v>0</v>
      </c>
      <c r="E50" s="60">
        <v>3060.6249999999995</v>
      </c>
      <c r="F50" s="50">
        <v>1</v>
      </c>
      <c r="G50" s="51">
        <v>6000</v>
      </c>
      <c r="H50" s="51" t="s">
        <v>155</v>
      </c>
      <c r="I50" s="52">
        <v>215</v>
      </c>
      <c r="J50" s="52">
        <f t="shared" si="12"/>
        <v>35.833333333333336</v>
      </c>
      <c r="K50" s="107">
        <f t="shared" si="2"/>
        <v>0.51010416666666658</v>
      </c>
      <c r="L50" s="107">
        <f t="shared" si="3"/>
        <v>0</v>
      </c>
      <c r="M50" s="108" t="s">
        <v>197</v>
      </c>
      <c r="N50" s="107">
        <f t="shared" si="4"/>
        <v>109.67239583333331</v>
      </c>
      <c r="O50" s="107">
        <f t="shared" si="5"/>
        <v>0</v>
      </c>
    </row>
    <row r="51" spans="1:15">
      <c r="A51" s="61" t="s">
        <v>246</v>
      </c>
      <c r="B51" s="61" t="s">
        <v>133</v>
      </c>
      <c r="C51" s="62" t="s">
        <v>17</v>
      </c>
      <c r="D51" s="63">
        <v>8444.4444444444453</v>
      </c>
      <c r="E51" s="70">
        <v>23839.134259259263</v>
      </c>
      <c r="F51" s="50">
        <v>1</v>
      </c>
      <c r="G51" s="51">
        <f>370*48</f>
        <v>17760</v>
      </c>
      <c r="H51" s="51" t="s">
        <v>172</v>
      </c>
      <c r="I51" s="52">
        <v>210</v>
      </c>
      <c r="J51" s="52">
        <f t="shared" si="12"/>
        <v>11.824324324324323</v>
      </c>
      <c r="K51" s="107">
        <f t="shared" si="2"/>
        <v>1.3422935956790125</v>
      </c>
      <c r="L51" s="107">
        <f t="shared" si="3"/>
        <v>0.47547547547547553</v>
      </c>
      <c r="M51" s="108" t="s">
        <v>194</v>
      </c>
      <c r="N51" s="107">
        <f t="shared" si="4"/>
        <v>281.88165509259261</v>
      </c>
      <c r="O51" s="107">
        <f t="shared" si="5"/>
        <v>99.849849849849861</v>
      </c>
    </row>
    <row r="52" spans="1:15">
      <c r="A52" s="57" t="s">
        <v>247</v>
      </c>
      <c r="B52" s="57" t="s">
        <v>133</v>
      </c>
      <c r="C52" s="58" t="s">
        <v>17</v>
      </c>
      <c r="D52" s="59">
        <v>2656.8253968253971</v>
      </c>
      <c r="E52" s="60">
        <v>9128.1700529100526</v>
      </c>
      <c r="F52" s="50">
        <v>1</v>
      </c>
      <c r="G52" s="51">
        <v>10000</v>
      </c>
      <c r="H52" s="51" t="s">
        <v>162</v>
      </c>
      <c r="I52" s="52">
        <v>27</v>
      </c>
      <c r="J52" s="52">
        <f t="shared" si="12"/>
        <v>2.7</v>
      </c>
      <c r="K52" s="107">
        <f t="shared" si="2"/>
        <v>0.91281700529100529</v>
      </c>
      <c r="L52" s="107">
        <f t="shared" si="3"/>
        <v>0.26568253968253969</v>
      </c>
      <c r="M52" s="108" t="s">
        <v>195</v>
      </c>
      <c r="N52" s="107">
        <f t="shared" si="4"/>
        <v>24.646059142857144</v>
      </c>
      <c r="O52" s="107">
        <f t="shared" si="5"/>
        <v>7.1734285714285715</v>
      </c>
    </row>
    <row r="53" spans="1:15">
      <c r="A53" s="61" t="s">
        <v>248</v>
      </c>
      <c r="B53" s="61" t="s">
        <v>133</v>
      </c>
      <c r="C53" s="62" t="s">
        <v>17</v>
      </c>
      <c r="D53" s="63">
        <v>0</v>
      </c>
      <c r="E53" s="60">
        <v>686.22222222222229</v>
      </c>
      <c r="F53" s="50">
        <v>1</v>
      </c>
      <c r="G53" s="51">
        <v>15000</v>
      </c>
      <c r="H53" s="51" t="s">
        <v>184</v>
      </c>
      <c r="I53" s="52">
        <v>50</v>
      </c>
      <c r="J53" s="52">
        <f t="shared" si="12"/>
        <v>3.3333333333333335</v>
      </c>
      <c r="K53" s="107">
        <f t="shared" si="2"/>
        <v>4.5748148148148149E-2</v>
      </c>
      <c r="L53" s="107">
        <f t="shared" si="3"/>
        <v>0</v>
      </c>
      <c r="M53" s="108" t="s">
        <v>195</v>
      </c>
      <c r="N53" s="107">
        <f t="shared" si="4"/>
        <v>2.2874074074074073</v>
      </c>
      <c r="O53" s="107">
        <f t="shared" si="5"/>
        <v>0</v>
      </c>
    </row>
    <row r="54" spans="1:15">
      <c r="A54" s="57" t="s">
        <v>249</v>
      </c>
      <c r="B54" s="57" t="s">
        <v>133</v>
      </c>
      <c r="C54" s="58" t="s">
        <v>17</v>
      </c>
      <c r="D54" s="59">
        <v>0</v>
      </c>
      <c r="E54" s="60">
        <v>3773.4375000000005</v>
      </c>
      <c r="F54" s="50">
        <v>1</v>
      </c>
      <c r="G54" s="51">
        <v>5000</v>
      </c>
      <c r="H54" s="51" t="s">
        <v>154</v>
      </c>
      <c r="I54" s="52">
        <f>350</f>
        <v>350</v>
      </c>
      <c r="J54" s="52">
        <f t="shared" si="12"/>
        <v>70</v>
      </c>
      <c r="K54" s="107">
        <f t="shared" si="2"/>
        <v>0.75468750000000007</v>
      </c>
      <c r="L54" s="107">
        <f t="shared" si="3"/>
        <v>0</v>
      </c>
      <c r="M54" s="108" t="s">
        <v>195</v>
      </c>
      <c r="N54" s="107">
        <f t="shared" si="4"/>
        <v>264.140625</v>
      </c>
      <c r="O54" s="107">
        <f t="shared" si="5"/>
        <v>0</v>
      </c>
    </row>
    <row r="55" spans="1:15">
      <c r="A55" s="57" t="s">
        <v>250</v>
      </c>
      <c r="B55" s="57" t="s">
        <v>133</v>
      </c>
      <c r="C55" s="58" t="s">
        <v>17</v>
      </c>
      <c r="D55" s="59">
        <v>0</v>
      </c>
      <c r="E55" s="76">
        <v>5978</v>
      </c>
      <c r="F55" s="50">
        <v>1</v>
      </c>
      <c r="G55" s="51">
        <v>20000</v>
      </c>
      <c r="H55" s="51" t="s">
        <v>183</v>
      </c>
      <c r="I55" s="52">
        <v>395</v>
      </c>
      <c r="J55" s="52">
        <f t="shared" si="12"/>
        <v>19.75</v>
      </c>
      <c r="K55" s="107">
        <f t="shared" si="2"/>
        <v>0.2989</v>
      </c>
      <c r="L55" s="107">
        <f t="shared" si="3"/>
        <v>0</v>
      </c>
      <c r="M55" s="108" t="s">
        <v>195</v>
      </c>
      <c r="N55" s="107">
        <f t="shared" si="4"/>
        <v>118.0655</v>
      </c>
      <c r="O55" s="107">
        <f t="shared" si="5"/>
        <v>0</v>
      </c>
    </row>
    <row r="56" spans="1:15">
      <c r="A56" s="61" t="s">
        <v>251</v>
      </c>
      <c r="B56" s="61" t="s">
        <v>133</v>
      </c>
      <c r="C56" s="62" t="s">
        <v>17</v>
      </c>
      <c r="D56" s="63">
        <v>0</v>
      </c>
      <c r="E56" s="60">
        <v>4308</v>
      </c>
      <c r="F56" s="50">
        <v>1</v>
      </c>
      <c r="G56" s="51">
        <v>16000</v>
      </c>
      <c r="H56" s="51" t="s">
        <v>157</v>
      </c>
      <c r="I56" s="52">
        <v>140.87</v>
      </c>
      <c r="J56" s="52">
        <f t="shared" si="12"/>
        <v>8.8043750000000003</v>
      </c>
      <c r="K56" s="107">
        <f t="shared" si="2"/>
        <v>0.26924999999999999</v>
      </c>
      <c r="L56" s="107">
        <f t="shared" si="3"/>
        <v>0</v>
      </c>
      <c r="M56" s="108" t="s">
        <v>194</v>
      </c>
      <c r="N56" s="107">
        <f t="shared" si="4"/>
        <v>37.929247500000002</v>
      </c>
      <c r="O56" s="107">
        <f t="shared" si="5"/>
        <v>0</v>
      </c>
    </row>
    <row r="57" spans="1:15">
      <c r="A57" s="57" t="s">
        <v>252</v>
      </c>
      <c r="B57" s="57" t="s">
        <v>133</v>
      </c>
      <c r="C57" s="58" t="s">
        <v>17</v>
      </c>
      <c r="D57" s="59">
        <v>1910</v>
      </c>
      <c r="E57" s="60">
        <v>1910</v>
      </c>
      <c r="F57" s="50">
        <v>1</v>
      </c>
      <c r="G57" s="68">
        <v>15000</v>
      </c>
      <c r="H57" s="68" t="s">
        <v>173</v>
      </c>
      <c r="I57" s="69">
        <v>65</v>
      </c>
      <c r="J57" s="52">
        <f t="shared" si="12"/>
        <v>4.333333333333333</v>
      </c>
      <c r="K57" s="107">
        <f t="shared" si="2"/>
        <v>0.12733333333333333</v>
      </c>
      <c r="L57" s="107">
        <f t="shared" si="3"/>
        <v>0.12733333333333333</v>
      </c>
      <c r="M57" s="108" t="s">
        <v>194</v>
      </c>
      <c r="N57" s="107">
        <f t="shared" si="4"/>
        <v>8.2766666666666655</v>
      </c>
      <c r="O57" s="107">
        <f t="shared" si="5"/>
        <v>8.2766666666666655</v>
      </c>
    </row>
    <row r="58" spans="1:15">
      <c r="A58" s="61" t="s">
        <v>253</v>
      </c>
      <c r="B58" s="61" t="s">
        <v>133</v>
      </c>
      <c r="C58" s="62" t="s">
        <v>17</v>
      </c>
      <c r="D58" s="63">
        <v>0</v>
      </c>
      <c r="E58" s="60">
        <v>4615.3846153846152</v>
      </c>
      <c r="F58" s="50">
        <v>1</v>
      </c>
      <c r="G58" s="51">
        <f>496*12</f>
        <v>5952</v>
      </c>
      <c r="H58" s="51" t="s">
        <v>185</v>
      </c>
      <c r="I58" s="52">
        <v>151.30000000000001</v>
      </c>
      <c r="J58" s="52">
        <f t="shared" si="12"/>
        <v>25.420026881720432</v>
      </c>
      <c r="K58" s="107">
        <f t="shared" si="2"/>
        <v>0.77543424317617859</v>
      </c>
      <c r="L58" s="107">
        <f t="shared" si="3"/>
        <v>0</v>
      </c>
      <c r="M58" s="108" t="s">
        <v>194</v>
      </c>
      <c r="N58" s="107">
        <f t="shared" si="4"/>
        <v>117.32320099255583</v>
      </c>
      <c r="O58" s="107">
        <f t="shared" si="5"/>
        <v>0</v>
      </c>
    </row>
    <row r="59" spans="1:15">
      <c r="A59" s="57" t="s">
        <v>254</v>
      </c>
      <c r="B59" s="57" t="s">
        <v>133</v>
      </c>
      <c r="C59" s="58" t="s">
        <v>17</v>
      </c>
      <c r="D59" s="59">
        <v>0</v>
      </c>
      <c r="E59" s="60">
        <v>4440</v>
      </c>
      <c r="F59" s="50">
        <v>1</v>
      </c>
      <c r="G59" s="51">
        <v>3000</v>
      </c>
      <c r="H59" s="51" t="s">
        <v>182</v>
      </c>
      <c r="I59" s="52">
        <v>28</v>
      </c>
      <c r="J59" s="52">
        <f t="shared" si="12"/>
        <v>9.3333333333333339</v>
      </c>
      <c r="K59" s="107">
        <f t="shared" si="2"/>
        <v>1.48</v>
      </c>
      <c r="L59" s="107">
        <f t="shared" si="3"/>
        <v>0</v>
      </c>
      <c r="M59" s="108" t="s">
        <v>195</v>
      </c>
      <c r="N59" s="107">
        <f t="shared" si="4"/>
        <v>41.44</v>
      </c>
      <c r="O59" s="107">
        <f t="shared" si="5"/>
        <v>0</v>
      </c>
    </row>
    <row r="60" spans="1:15">
      <c r="A60" s="38"/>
      <c r="B60" s="39"/>
      <c r="C60" s="39"/>
      <c r="D60" s="49"/>
      <c r="E60" s="49"/>
      <c r="F60" s="49"/>
      <c r="G60" s="49"/>
      <c r="H60" s="49"/>
      <c r="I60" s="49"/>
      <c r="J60" s="49"/>
      <c r="K60" s="107"/>
      <c r="L60" s="107"/>
      <c r="M60" s="109"/>
      <c r="N60" s="107">
        <f t="shared" si="4"/>
        <v>0</v>
      </c>
      <c r="O60" s="107">
        <f t="shared" si="5"/>
        <v>0</v>
      </c>
    </row>
    <row r="61" spans="1:15">
      <c r="A61" s="61" t="s">
        <v>109</v>
      </c>
      <c r="B61" s="61" t="s">
        <v>139</v>
      </c>
      <c r="C61" s="62" t="s">
        <v>17</v>
      </c>
      <c r="D61" s="63">
        <v>0</v>
      </c>
      <c r="E61" s="65">
        <v>111.75</v>
      </c>
      <c r="F61" s="50">
        <v>1</v>
      </c>
      <c r="G61" s="51">
        <v>500</v>
      </c>
      <c r="H61" s="51" t="s">
        <v>180</v>
      </c>
      <c r="I61" s="52">
        <f>45</f>
        <v>45</v>
      </c>
      <c r="J61" s="52">
        <f>I61/(G61/1000)</f>
        <v>90</v>
      </c>
      <c r="K61" s="107">
        <f t="shared" si="2"/>
        <v>0.2235</v>
      </c>
      <c r="L61" s="112">
        <f t="shared" si="3"/>
        <v>0</v>
      </c>
      <c r="M61" s="108" t="s">
        <v>198</v>
      </c>
      <c r="N61" s="107">
        <f t="shared" si="4"/>
        <v>10.057500000000001</v>
      </c>
      <c r="O61" s="107">
        <f t="shared" si="5"/>
        <v>0</v>
      </c>
    </row>
    <row r="62" spans="1:15">
      <c r="A62" s="57" t="s">
        <v>108</v>
      </c>
      <c r="B62" s="57" t="s">
        <v>139</v>
      </c>
      <c r="C62" s="58" t="s">
        <v>17</v>
      </c>
      <c r="D62" s="59">
        <v>0</v>
      </c>
      <c r="E62" s="65">
        <v>111.75</v>
      </c>
      <c r="F62" s="50">
        <v>1</v>
      </c>
      <c r="G62" s="51">
        <v>500</v>
      </c>
      <c r="H62" s="52" t="s">
        <v>180</v>
      </c>
      <c r="I62" s="52">
        <f>10.87</f>
        <v>10.87</v>
      </c>
      <c r="J62" s="51">
        <f>I62/(G62/1000)</f>
        <v>21.74</v>
      </c>
      <c r="K62" s="107">
        <f t="shared" si="2"/>
        <v>0.2235</v>
      </c>
      <c r="L62" s="112">
        <f t="shared" si="3"/>
        <v>0</v>
      </c>
      <c r="M62" s="108" t="s">
        <v>198</v>
      </c>
      <c r="N62" s="107">
        <f t="shared" si="4"/>
        <v>2.4294449999999999</v>
      </c>
      <c r="O62" s="107">
        <f t="shared" si="5"/>
        <v>0</v>
      </c>
    </row>
    <row r="63" spans="1:15">
      <c r="A63" s="61" t="s">
        <v>255</v>
      </c>
      <c r="B63" s="61" t="s">
        <v>139</v>
      </c>
      <c r="C63" s="62" t="s">
        <v>17</v>
      </c>
      <c r="D63" s="63">
        <v>2182.8571428571431</v>
      </c>
      <c r="E63" s="60">
        <v>2182.8571428571431</v>
      </c>
      <c r="F63" s="50">
        <v>1</v>
      </c>
      <c r="G63" s="51">
        <v>1000</v>
      </c>
      <c r="H63" s="51" t="s">
        <v>165</v>
      </c>
      <c r="I63" s="52">
        <v>6.96</v>
      </c>
      <c r="J63" s="52">
        <f t="shared" ref="J63:J66" si="13">I63/(G63/1000)</f>
        <v>6.96</v>
      </c>
      <c r="K63" s="107">
        <f t="shared" si="2"/>
        <v>2.1828571428571433</v>
      </c>
      <c r="L63" s="107">
        <f t="shared" si="3"/>
        <v>2.1828571428571433</v>
      </c>
      <c r="M63" s="108" t="s">
        <v>165</v>
      </c>
      <c r="N63" s="107">
        <f t="shared" si="4"/>
        <v>15.192685714285718</v>
      </c>
      <c r="O63" s="107">
        <f t="shared" si="5"/>
        <v>15.192685714285718</v>
      </c>
    </row>
    <row r="64" spans="1:15">
      <c r="A64" s="57" t="s">
        <v>113</v>
      </c>
      <c r="B64" s="57" t="s">
        <v>139</v>
      </c>
      <c r="C64" s="58" t="s">
        <v>17</v>
      </c>
      <c r="D64" s="59">
        <v>0</v>
      </c>
      <c r="E64" s="60">
        <v>53</v>
      </c>
      <c r="F64" s="50">
        <v>1</v>
      </c>
      <c r="G64" s="51">
        <v>25000</v>
      </c>
      <c r="H64" s="51" t="s">
        <v>165</v>
      </c>
      <c r="I64" s="52">
        <v>58</v>
      </c>
      <c r="J64" s="52">
        <f t="shared" si="13"/>
        <v>2.3199999999999998</v>
      </c>
      <c r="K64" s="107">
        <f t="shared" si="2"/>
        <v>2.1199999999999999E-3</v>
      </c>
      <c r="L64" s="107">
        <f t="shared" si="3"/>
        <v>0</v>
      </c>
      <c r="M64" s="108" t="s">
        <v>165</v>
      </c>
      <c r="N64" s="107">
        <f t="shared" si="4"/>
        <v>0.12296</v>
      </c>
      <c r="O64" s="107">
        <f t="shared" si="5"/>
        <v>0</v>
      </c>
    </row>
    <row r="65" spans="1:15">
      <c r="A65" s="61" t="s">
        <v>114</v>
      </c>
      <c r="B65" s="61" t="s">
        <v>139</v>
      </c>
      <c r="C65" s="62" t="s">
        <v>17</v>
      </c>
      <c r="D65" s="63">
        <v>4042.238095238095</v>
      </c>
      <c r="E65" s="60">
        <v>15299.272486772488</v>
      </c>
      <c r="F65" s="50">
        <v>1</v>
      </c>
      <c r="G65" s="51">
        <f>1*10000</f>
        <v>10000</v>
      </c>
      <c r="H65" s="51" t="s">
        <v>174</v>
      </c>
      <c r="I65" s="52">
        <f>17</f>
        <v>17</v>
      </c>
      <c r="J65" s="52">
        <f t="shared" si="13"/>
        <v>1.7</v>
      </c>
      <c r="K65" s="107">
        <f t="shared" si="2"/>
        <v>1.5299272486772488</v>
      </c>
      <c r="L65" s="112">
        <f t="shared" si="3"/>
        <v>0.40422380952380949</v>
      </c>
      <c r="M65" s="108" t="s">
        <v>222</v>
      </c>
      <c r="N65" s="107">
        <f t="shared" si="4"/>
        <v>26.008763227513231</v>
      </c>
      <c r="O65" s="107">
        <f t="shared" si="5"/>
        <v>6.8718047619047615</v>
      </c>
    </row>
    <row r="66" spans="1:15">
      <c r="A66" s="57" t="s">
        <v>111</v>
      </c>
      <c r="B66" s="57" t="s">
        <v>139</v>
      </c>
      <c r="C66" s="58" t="s">
        <v>17</v>
      </c>
      <c r="D66" s="59">
        <v>0</v>
      </c>
      <c r="E66" s="60">
        <v>4656.25</v>
      </c>
      <c r="F66" s="50">
        <v>1</v>
      </c>
      <c r="G66" s="51">
        <f>1*10000</f>
        <v>10000</v>
      </c>
      <c r="H66" s="51" t="s">
        <v>174</v>
      </c>
      <c r="I66" s="52">
        <v>18</v>
      </c>
      <c r="J66" s="52">
        <f t="shared" si="13"/>
        <v>1.8</v>
      </c>
      <c r="K66" s="107">
        <f t="shared" si="2"/>
        <v>0.46562500000000001</v>
      </c>
      <c r="L66" s="112">
        <f t="shared" si="3"/>
        <v>0</v>
      </c>
      <c r="M66" s="108" t="s">
        <v>222</v>
      </c>
      <c r="N66" s="107">
        <f t="shared" si="4"/>
        <v>8.3812499999999996</v>
      </c>
      <c r="O66" s="107">
        <f t="shared" si="5"/>
        <v>0</v>
      </c>
    </row>
    <row r="67" spans="1:15">
      <c r="A67" s="61" t="s">
        <v>256</v>
      </c>
      <c r="B67" s="61" t="s">
        <v>139</v>
      </c>
      <c r="C67" s="62" t="s">
        <v>17</v>
      </c>
      <c r="D67" s="63">
        <v>0</v>
      </c>
      <c r="E67" s="60">
        <v>2359.375</v>
      </c>
      <c r="F67" s="50">
        <v>1</v>
      </c>
      <c r="G67" s="51">
        <v>8000</v>
      </c>
      <c r="H67" s="51" t="s">
        <v>175</v>
      </c>
      <c r="I67" s="52">
        <v>250</v>
      </c>
      <c r="J67" s="52">
        <f>I67/(G67/1000)</f>
        <v>31.25</v>
      </c>
      <c r="K67" s="107">
        <f t="shared" ref="K67:K72" si="14">(E67/F67)/G67</f>
        <v>0.294921875</v>
      </c>
      <c r="L67" s="107">
        <f t="shared" ref="L67:L72" si="15">(D67/F67)/G67</f>
        <v>0</v>
      </c>
      <c r="M67" s="108" t="s">
        <v>197</v>
      </c>
      <c r="N67" s="107">
        <f t="shared" ref="N67:N82" si="16">K67*I67</f>
        <v>73.73046875</v>
      </c>
      <c r="O67" s="107">
        <f t="shared" ref="O67:O82" si="17">L67*I67</f>
        <v>0</v>
      </c>
    </row>
    <row r="68" spans="1:15">
      <c r="A68" s="57" t="s">
        <v>257</v>
      </c>
      <c r="B68" s="57" t="s">
        <v>139</v>
      </c>
      <c r="C68" s="58" t="s">
        <v>17</v>
      </c>
      <c r="D68" s="59">
        <v>0</v>
      </c>
      <c r="E68" s="60">
        <v>2626.0714285714284</v>
      </c>
      <c r="F68" s="50">
        <v>1</v>
      </c>
      <c r="G68" s="51">
        <v>1000</v>
      </c>
      <c r="H68" s="51" t="s">
        <v>165</v>
      </c>
      <c r="I68" s="52">
        <v>5</v>
      </c>
      <c r="J68" s="52">
        <f>I68/(G68/1000)</f>
        <v>5</v>
      </c>
      <c r="K68" s="107">
        <f t="shared" si="14"/>
        <v>2.6260714285714286</v>
      </c>
      <c r="L68" s="107">
        <f t="shared" si="15"/>
        <v>0</v>
      </c>
      <c r="M68" s="108" t="s">
        <v>165</v>
      </c>
      <c r="N68" s="107">
        <f t="shared" si="16"/>
        <v>13.130357142857143</v>
      </c>
      <c r="O68" s="107">
        <f t="shared" si="17"/>
        <v>0</v>
      </c>
    </row>
    <row r="69" spans="1:15">
      <c r="A69" s="61" t="s">
        <v>258</v>
      </c>
      <c r="B69" s="61" t="s">
        <v>139</v>
      </c>
      <c r="C69" s="62" t="s">
        <v>17</v>
      </c>
      <c r="D69" s="63">
        <v>0</v>
      </c>
      <c r="E69" s="67">
        <v>553.84615384615381</v>
      </c>
      <c r="F69" s="50">
        <v>1</v>
      </c>
      <c r="G69" s="68">
        <f>900*12</f>
        <v>10800</v>
      </c>
      <c r="H69" s="68" t="s">
        <v>176</v>
      </c>
      <c r="I69" s="69">
        <f>130</f>
        <v>130</v>
      </c>
      <c r="J69" s="52">
        <f>I69/(G69/1000)</f>
        <v>12.037037037037036</v>
      </c>
      <c r="K69" s="107">
        <f t="shared" si="14"/>
        <v>5.128205128205128E-2</v>
      </c>
      <c r="L69" s="112">
        <f t="shared" si="15"/>
        <v>0</v>
      </c>
      <c r="M69" s="108" t="s">
        <v>194</v>
      </c>
      <c r="N69" s="107">
        <f t="shared" si="16"/>
        <v>6.6666666666666661</v>
      </c>
      <c r="O69" s="107">
        <f t="shared" si="17"/>
        <v>0</v>
      </c>
    </row>
    <row r="70" spans="1:15">
      <c r="A70" s="38"/>
      <c r="B70" s="39"/>
      <c r="C70" s="39"/>
      <c r="D70" s="49"/>
      <c r="E70" s="49"/>
      <c r="F70" s="49"/>
      <c r="G70" s="49"/>
      <c r="H70" s="49"/>
      <c r="I70" s="49"/>
      <c r="J70" s="49"/>
      <c r="K70" s="107"/>
      <c r="L70" s="107"/>
      <c r="M70" s="109"/>
      <c r="N70" s="107">
        <f t="shared" si="16"/>
        <v>0</v>
      </c>
      <c r="O70" s="107">
        <f t="shared" si="17"/>
        <v>0</v>
      </c>
    </row>
    <row r="71" spans="1:15">
      <c r="A71" s="57" t="s">
        <v>124</v>
      </c>
      <c r="B71" s="57" t="s">
        <v>136</v>
      </c>
      <c r="C71" s="58" t="s">
        <v>17</v>
      </c>
      <c r="D71" s="59">
        <v>0</v>
      </c>
      <c r="E71" s="60">
        <v>44</v>
      </c>
      <c r="F71" s="50">
        <v>1</v>
      </c>
      <c r="G71" s="74">
        <v>200</v>
      </c>
      <c r="H71" s="74" t="s">
        <v>177</v>
      </c>
      <c r="I71" s="75">
        <v>4</v>
      </c>
      <c r="J71" s="75">
        <f>I71/0.2</f>
        <v>20</v>
      </c>
      <c r="K71" s="107">
        <f t="shared" si="14"/>
        <v>0.22</v>
      </c>
      <c r="L71" s="107">
        <f t="shared" si="15"/>
        <v>0</v>
      </c>
      <c r="M71" s="108" t="s">
        <v>198</v>
      </c>
      <c r="N71" s="107">
        <f t="shared" si="16"/>
        <v>0.88</v>
      </c>
      <c r="O71" s="107">
        <f t="shared" si="17"/>
        <v>0</v>
      </c>
    </row>
    <row r="72" spans="1:15">
      <c r="A72" s="61" t="s">
        <v>115</v>
      </c>
      <c r="B72" s="61" t="s">
        <v>136</v>
      </c>
      <c r="C72" s="62" t="s">
        <v>17</v>
      </c>
      <c r="D72" s="63">
        <v>0</v>
      </c>
      <c r="E72" s="60">
        <v>1200</v>
      </c>
      <c r="F72" s="50">
        <v>1</v>
      </c>
      <c r="G72" s="74">
        <v>1000</v>
      </c>
      <c r="H72" s="74" t="s">
        <v>146</v>
      </c>
      <c r="I72" s="75">
        <v>7</v>
      </c>
      <c r="J72" s="75">
        <f>I72*(G72/1000)</f>
        <v>7</v>
      </c>
      <c r="K72" s="107">
        <f t="shared" si="14"/>
        <v>1.2</v>
      </c>
      <c r="L72" s="107">
        <f t="shared" si="15"/>
        <v>0</v>
      </c>
      <c r="M72" s="108" t="s">
        <v>165</v>
      </c>
      <c r="N72" s="107">
        <f t="shared" si="16"/>
        <v>8.4</v>
      </c>
      <c r="O72" s="107">
        <f t="shared" si="17"/>
        <v>0</v>
      </c>
    </row>
    <row r="73" spans="1:15">
      <c r="A73" s="38"/>
      <c r="B73" s="39"/>
      <c r="C73" s="39"/>
      <c r="D73" s="49"/>
      <c r="E73" s="49"/>
      <c r="F73" s="49"/>
      <c r="G73" s="49"/>
      <c r="H73" s="49"/>
      <c r="I73" s="49"/>
      <c r="J73" s="49"/>
      <c r="K73" s="107"/>
      <c r="L73" s="107"/>
      <c r="M73" s="109"/>
      <c r="N73" s="107">
        <f t="shared" si="16"/>
        <v>0</v>
      </c>
      <c r="O73" s="107">
        <f t="shared" si="17"/>
        <v>0</v>
      </c>
    </row>
    <row r="74" spans="1:15">
      <c r="A74" s="61" t="s">
        <v>112</v>
      </c>
      <c r="B74" s="61" t="s">
        <v>138</v>
      </c>
      <c r="C74" s="62" t="s">
        <v>17</v>
      </c>
      <c r="D74" s="63">
        <v>0</v>
      </c>
      <c r="E74" s="60">
        <v>220</v>
      </c>
      <c r="F74" s="50">
        <v>0.8</v>
      </c>
      <c r="G74" s="51">
        <v>1000</v>
      </c>
      <c r="H74" s="51" t="s">
        <v>150</v>
      </c>
      <c r="I74" s="52">
        <v>3</v>
      </c>
      <c r="J74" s="52">
        <f t="shared" ref="J74:J80" si="18">I74/(G74/1000)</f>
        <v>3</v>
      </c>
      <c r="K74" s="107">
        <f t="shared" ref="K74:K82" si="19">(E74/F74)/G74</f>
        <v>0.27500000000000002</v>
      </c>
      <c r="L74" s="112">
        <f t="shared" ref="L74:L82" si="20">(D74/F74)/G74</f>
        <v>0</v>
      </c>
      <c r="M74" s="108" t="s">
        <v>165</v>
      </c>
      <c r="N74" s="107">
        <f t="shared" si="16"/>
        <v>0.82500000000000007</v>
      </c>
      <c r="O74" s="107">
        <f t="shared" si="17"/>
        <v>0</v>
      </c>
    </row>
    <row r="75" spans="1:15">
      <c r="A75" s="57" t="s">
        <v>293</v>
      </c>
      <c r="B75" s="57" t="s">
        <v>138</v>
      </c>
      <c r="C75" s="58" t="s">
        <v>17</v>
      </c>
      <c r="D75" s="59">
        <v>0</v>
      </c>
      <c r="E75" s="60">
        <v>592.59259259259261</v>
      </c>
      <c r="F75" s="50">
        <v>0.84</v>
      </c>
      <c r="G75" s="51">
        <v>1000</v>
      </c>
      <c r="H75" s="51" t="s">
        <v>150</v>
      </c>
      <c r="I75" s="52">
        <v>2.6</v>
      </c>
      <c r="J75" s="52">
        <f t="shared" si="18"/>
        <v>2.6</v>
      </c>
      <c r="K75" s="107">
        <f t="shared" ref="K75" si="21">(E75/F75)/G75</f>
        <v>0.70546737213403887</v>
      </c>
      <c r="L75" s="112">
        <f t="shared" ref="L75" si="22">(D75/F75)/G75</f>
        <v>0</v>
      </c>
      <c r="M75" s="108" t="s">
        <v>165</v>
      </c>
      <c r="N75" s="107">
        <f t="shared" ref="N75" si="23">K75*I75</f>
        <v>1.8342151675485012</v>
      </c>
      <c r="O75" s="107">
        <f t="shared" ref="O75" si="24">L75*I75</f>
        <v>0</v>
      </c>
    </row>
    <row r="76" spans="1:15">
      <c r="A76" s="61" t="s">
        <v>121</v>
      </c>
      <c r="B76" s="61" t="s">
        <v>138</v>
      </c>
      <c r="C76" s="62" t="s">
        <v>17</v>
      </c>
      <c r="D76" s="63">
        <v>0</v>
      </c>
      <c r="E76" s="60">
        <v>1910</v>
      </c>
      <c r="F76" s="50">
        <v>0.69</v>
      </c>
      <c r="G76" s="51">
        <v>1000</v>
      </c>
      <c r="H76" s="51" t="s">
        <v>150</v>
      </c>
      <c r="I76" s="52">
        <v>4</v>
      </c>
      <c r="J76" s="52">
        <f t="shared" si="18"/>
        <v>4</v>
      </c>
      <c r="K76" s="107">
        <f t="shared" si="19"/>
        <v>2.7681159420289854</v>
      </c>
      <c r="L76" s="112">
        <f t="shared" si="20"/>
        <v>0</v>
      </c>
      <c r="M76" s="108" t="s">
        <v>165</v>
      </c>
      <c r="N76" s="107">
        <f t="shared" si="16"/>
        <v>11.072463768115941</v>
      </c>
      <c r="O76" s="107">
        <f t="shared" si="17"/>
        <v>0</v>
      </c>
    </row>
    <row r="77" spans="1:15">
      <c r="A77" s="57" t="s">
        <v>259</v>
      </c>
      <c r="B77" s="57" t="s">
        <v>138</v>
      </c>
      <c r="C77" s="58" t="s">
        <v>17</v>
      </c>
      <c r="D77" s="59">
        <v>0</v>
      </c>
      <c r="E77" s="60">
        <v>136.71428571428572</v>
      </c>
      <c r="F77" s="50">
        <v>0.33</v>
      </c>
      <c r="G77" s="51">
        <v>1000</v>
      </c>
      <c r="H77" s="51" t="s">
        <v>150</v>
      </c>
      <c r="I77" s="52">
        <v>4.5</v>
      </c>
      <c r="J77" s="52">
        <f t="shared" si="18"/>
        <v>4.5</v>
      </c>
      <c r="K77" s="107">
        <f t="shared" si="19"/>
        <v>0.41428571428571426</v>
      </c>
      <c r="L77" s="107">
        <f t="shared" si="20"/>
        <v>0</v>
      </c>
      <c r="M77" s="108" t="s">
        <v>165</v>
      </c>
      <c r="N77" s="107">
        <f t="shared" si="16"/>
        <v>1.8642857142857141</v>
      </c>
      <c r="O77" s="107">
        <f t="shared" si="17"/>
        <v>0</v>
      </c>
    </row>
    <row r="78" spans="1:15">
      <c r="A78" s="61" t="s">
        <v>122</v>
      </c>
      <c r="B78" s="61" t="s">
        <v>138</v>
      </c>
      <c r="C78" s="62" t="s">
        <v>17</v>
      </c>
      <c r="D78" s="63">
        <v>1560.7142857142856</v>
      </c>
      <c r="E78" s="60">
        <v>1560.7142857142856</v>
      </c>
      <c r="F78" s="50">
        <v>0.38</v>
      </c>
      <c r="G78" s="51">
        <v>1000</v>
      </c>
      <c r="H78" s="51" t="s">
        <v>146</v>
      </c>
      <c r="I78" s="52">
        <v>4.5</v>
      </c>
      <c r="J78" s="52">
        <f t="shared" si="18"/>
        <v>4.5</v>
      </c>
      <c r="K78" s="107">
        <f t="shared" si="19"/>
        <v>4.1071428571428568</v>
      </c>
      <c r="L78" s="107">
        <f t="shared" si="20"/>
        <v>4.1071428571428568</v>
      </c>
      <c r="M78" s="108" t="s">
        <v>165</v>
      </c>
      <c r="N78" s="107">
        <f>K78*I78</f>
        <v>18.482142857142854</v>
      </c>
      <c r="O78" s="107">
        <f>L78*I78</f>
        <v>18.482142857142854</v>
      </c>
    </row>
    <row r="79" spans="1:15">
      <c r="A79" s="57" t="s">
        <v>120</v>
      </c>
      <c r="B79" s="57" t="s">
        <v>138</v>
      </c>
      <c r="C79" s="58" t="s">
        <v>17</v>
      </c>
      <c r="D79" s="59">
        <v>0</v>
      </c>
      <c r="E79" s="60">
        <v>220</v>
      </c>
      <c r="F79" s="50">
        <v>0.9</v>
      </c>
      <c r="G79" s="51">
        <v>1000</v>
      </c>
      <c r="H79" s="51" t="s">
        <v>150</v>
      </c>
      <c r="I79" s="52">
        <v>3.5</v>
      </c>
      <c r="J79" s="52">
        <f t="shared" si="18"/>
        <v>3.5</v>
      </c>
      <c r="K79" s="107">
        <f t="shared" si="19"/>
        <v>0.24444444444444444</v>
      </c>
      <c r="L79" s="112">
        <f t="shared" si="20"/>
        <v>0</v>
      </c>
      <c r="M79" s="108" t="s">
        <v>165</v>
      </c>
      <c r="N79" s="107">
        <f t="shared" si="16"/>
        <v>0.85555555555555551</v>
      </c>
      <c r="O79" s="107">
        <f t="shared" si="17"/>
        <v>0</v>
      </c>
    </row>
    <row r="80" spans="1:15">
      <c r="A80" s="61" t="s">
        <v>260</v>
      </c>
      <c r="B80" s="61" t="s">
        <v>138</v>
      </c>
      <c r="C80" s="62" t="s">
        <v>17</v>
      </c>
      <c r="D80" s="63">
        <v>0</v>
      </c>
      <c r="E80" s="60">
        <v>5744</v>
      </c>
      <c r="F80" s="50">
        <v>0.52</v>
      </c>
      <c r="G80" s="51">
        <v>1000</v>
      </c>
      <c r="H80" s="51" t="s">
        <v>150</v>
      </c>
      <c r="I80" s="52">
        <v>9</v>
      </c>
      <c r="J80" s="52">
        <f t="shared" si="18"/>
        <v>9</v>
      </c>
      <c r="K80" s="107">
        <f t="shared" si="19"/>
        <v>11.046153846153846</v>
      </c>
      <c r="L80" s="107">
        <f t="shared" si="20"/>
        <v>0</v>
      </c>
      <c r="M80" s="108" t="s">
        <v>165</v>
      </c>
      <c r="N80" s="107">
        <f t="shared" si="16"/>
        <v>99.41538461538461</v>
      </c>
      <c r="O80" s="107">
        <f t="shared" si="17"/>
        <v>0</v>
      </c>
    </row>
    <row r="81" spans="1:15">
      <c r="A81" s="38"/>
      <c r="B81" s="39"/>
      <c r="C81" s="39"/>
      <c r="D81" s="49"/>
      <c r="E81" s="49"/>
      <c r="F81" s="49"/>
      <c r="G81" s="49"/>
      <c r="H81" s="49"/>
      <c r="I81" s="49"/>
      <c r="J81" s="49"/>
      <c r="K81" s="107"/>
      <c r="L81" s="107"/>
      <c r="M81" s="109"/>
      <c r="N81" s="107">
        <f t="shared" si="16"/>
        <v>0</v>
      </c>
      <c r="O81" s="107">
        <f t="shared" si="17"/>
        <v>0</v>
      </c>
    </row>
    <row r="82" spans="1:15">
      <c r="A82" s="57" t="s">
        <v>131</v>
      </c>
      <c r="B82" s="57" t="s">
        <v>159</v>
      </c>
      <c r="C82" s="58" t="s">
        <v>17</v>
      </c>
      <c r="D82" s="59">
        <v>0</v>
      </c>
      <c r="E82" s="60">
        <v>20600</v>
      </c>
      <c r="F82" s="50">
        <v>0.99</v>
      </c>
      <c r="G82" s="124">
        <v>18000</v>
      </c>
      <c r="H82" s="124" t="s">
        <v>221</v>
      </c>
      <c r="I82" s="125">
        <f>470*0.5</f>
        <v>235</v>
      </c>
      <c r="J82" s="124">
        <f t="shared" ref="J82" si="25">I82/(G82/1000)</f>
        <v>13.055555555555555</v>
      </c>
      <c r="K82" s="107">
        <f t="shared" si="19"/>
        <v>1.1560044893378227</v>
      </c>
      <c r="L82" s="107">
        <f t="shared" si="20"/>
        <v>0</v>
      </c>
      <c r="M82" s="108" t="s">
        <v>165</v>
      </c>
      <c r="N82" s="107">
        <f t="shared" si="16"/>
        <v>271.66105499438834</v>
      </c>
      <c r="O82" s="107">
        <f t="shared" si="17"/>
        <v>0</v>
      </c>
    </row>
    <row r="83" spans="1:15">
      <c r="A83" s="38"/>
      <c r="B83" s="39"/>
      <c r="C83" s="39"/>
      <c r="D83" s="49"/>
      <c r="E83" s="49"/>
      <c r="F83" s="49"/>
      <c r="G83" s="49"/>
      <c r="H83" s="49"/>
      <c r="I83" s="49"/>
      <c r="J83" s="49"/>
    </row>
  </sheetData>
  <autoFilter ref="A1:O89" xr:uid="{00000000-0001-0000-0000-000000000000}"/>
  <mergeCells count="1">
    <mergeCell ref="AA1:AB1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1">
    <tabColor theme="9" tint="-0.249977111117893"/>
    <pageSetUpPr fitToPage="1"/>
  </sheetPr>
  <dimension ref="A1:Y17"/>
  <sheetViews>
    <sheetView topLeftCell="J1" zoomScale="70" zoomScaleNormal="70" zoomScaleSheetLayoutView="100" workbookViewId="0">
      <selection activeCell="S14" sqref="S14"/>
    </sheetView>
  </sheetViews>
  <sheetFormatPr defaultRowHeight="14.3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1" max="11" width="18" bestFit="1" customWidth="1"/>
    <col min="12" max="12" width="11.05859375" bestFit="1" customWidth="1"/>
    <col min="13" max="17" width="3.8203125" customWidth="1"/>
    <col min="18" max="18" width="16.05859375" customWidth="1"/>
    <col min="19" max="19" width="8.468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29</v>
      </c>
      <c r="G1" s="4"/>
      <c r="H1" s="38" t="s">
        <v>2</v>
      </c>
      <c r="I1" s="13">
        <f>F1/B1</f>
        <v>29</v>
      </c>
      <c r="J1" s="4"/>
      <c r="K1" s="38"/>
      <c r="U1" s="122" t="s">
        <v>206</v>
      </c>
      <c r="V1" s="120">
        <v>27</v>
      </c>
    </row>
    <row r="2" spans="1:25" ht="14.25" customHeight="1">
      <c r="A2" s="42"/>
      <c r="B2" s="161" t="s">
        <v>43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74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thickTop="1" thickBot="1">
      <c r="A5" s="15" t="s">
        <v>30</v>
      </c>
      <c r="B5" s="14" t="s">
        <v>100</v>
      </c>
      <c r="C5" s="15" t="s">
        <v>15</v>
      </c>
      <c r="D5" s="20">
        <f t="shared" ref="D5:D16" si="0">N5/8</f>
        <v>0.125</v>
      </c>
      <c r="E5" s="17">
        <f t="shared" ref="E5:E16" si="1">$I$1</f>
        <v>29</v>
      </c>
      <c r="F5" s="18">
        <v>1</v>
      </c>
      <c r="G5" s="30">
        <f t="shared" ref="G5:G16" si="2">E5*D5</f>
        <v>3.625</v>
      </c>
      <c r="H5" s="80">
        <f t="shared" ref="H5:H16" si="3">G5*F5</f>
        <v>3.625</v>
      </c>
      <c r="I5" s="15">
        <f>VLOOKUP(B5,Ordering!$A$1:$J$83,6,FALSE)</f>
        <v>1</v>
      </c>
      <c r="J5" s="23">
        <f>VLOOKUP(B5,Ordering!$A$1:$J$83,10,FALSE)</f>
        <v>0.43333333333333335</v>
      </c>
      <c r="K5" s="23">
        <f>H5/I5</f>
        <v>3.625</v>
      </c>
      <c r="L5" s="92">
        <f t="shared" ref="L5:L10" si="4">J5*K5</f>
        <v>1.5708333333333333</v>
      </c>
      <c r="N5" s="1">
        <v>1</v>
      </c>
    </row>
    <row r="6" spans="1:25" ht="15" customHeight="1" thickTop="1" thickBot="1">
      <c r="A6" s="15" t="s">
        <v>30</v>
      </c>
      <c r="B6" s="14" t="s">
        <v>101</v>
      </c>
      <c r="C6" s="15" t="s">
        <v>16</v>
      </c>
      <c r="D6" s="20">
        <f t="shared" si="0"/>
        <v>14</v>
      </c>
      <c r="E6" s="17">
        <f t="shared" si="1"/>
        <v>29</v>
      </c>
      <c r="F6" s="18">
        <v>1</v>
      </c>
      <c r="G6" s="17">
        <f t="shared" si="2"/>
        <v>406</v>
      </c>
      <c r="H6" s="80">
        <f t="shared" si="3"/>
        <v>406</v>
      </c>
      <c r="I6" s="15">
        <f>VLOOKUP(B6,Ordering!$A$1:$J$83,6,FALSE)</f>
        <v>1</v>
      </c>
      <c r="J6" s="23">
        <f>VLOOKUP(B6,Ordering!$A$1:$J$83,10,FALSE)</f>
        <v>4.2033333333333331</v>
      </c>
      <c r="K6" s="23">
        <f t="shared" ref="K6:K16" si="5">((H6/(I6))/1000)</f>
        <v>0.40600000000000003</v>
      </c>
      <c r="L6" s="92">
        <f t="shared" si="4"/>
        <v>1.7065533333333334</v>
      </c>
      <c r="N6" s="31">
        <v>112</v>
      </c>
    </row>
    <row r="7" spans="1:25" ht="15" customHeight="1" thickTop="1" thickBot="1">
      <c r="A7" s="15" t="s">
        <v>47</v>
      </c>
      <c r="B7" s="14" t="s">
        <v>126</v>
      </c>
      <c r="C7" s="15" t="s">
        <v>17</v>
      </c>
      <c r="D7" s="20">
        <f t="shared" si="0"/>
        <v>3.125</v>
      </c>
      <c r="E7" s="17">
        <f t="shared" si="1"/>
        <v>29</v>
      </c>
      <c r="F7" s="18">
        <v>1</v>
      </c>
      <c r="G7" s="17">
        <f t="shared" si="2"/>
        <v>90.625</v>
      </c>
      <c r="H7" s="80">
        <f t="shared" si="3"/>
        <v>90.625</v>
      </c>
      <c r="I7" s="15">
        <f>VLOOKUP(B7,Ordering!$A$1:$J$83,6,FALSE)</f>
        <v>1</v>
      </c>
      <c r="J7" s="23">
        <f>VLOOKUP(B7,Ordering!$A$1:$J$83,10,FALSE)</f>
        <v>5.882352941176471</v>
      </c>
      <c r="K7" s="23">
        <f t="shared" si="5"/>
        <v>9.0624999999999997E-2</v>
      </c>
      <c r="L7" s="92">
        <f t="shared" si="4"/>
        <v>0.53308823529411764</v>
      </c>
      <c r="N7" s="1">
        <v>25</v>
      </c>
    </row>
    <row r="8" spans="1:25" ht="14.75" customHeight="1" thickTop="1">
      <c r="A8" s="15" t="s">
        <v>47</v>
      </c>
      <c r="B8" s="14" t="s">
        <v>108</v>
      </c>
      <c r="C8" s="15" t="s">
        <v>17</v>
      </c>
      <c r="D8" s="20">
        <f t="shared" si="0"/>
        <v>0.375</v>
      </c>
      <c r="E8" s="17">
        <f t="shared" si="1"/>
        <v>29</v>
      </c>
      <c r="F8" s="18">
        <v>1</v>
      </c>
      <c r="G8" s="17">
        <f t="shared" si="2"/>
        <v>10.875</v>
      </c>
      <c r="H8" s="80">
        <f t="shared" si="3"/>
        <v>10.875</v>
      </c>
      <c r="I8" s="15">
        <f>VLOOKUP(B8,Ordering!$A$1:$J$83,6,FALSE)</f>
        <v>1</v>
      </c>
      <c r="J8" s="23">
        <f>VLOOKUP(B8,Ordering!$A$1:$J$83,10,FALSE)</f>
        <v>21.74</v>
      </c>
      <c r="K8" s="23">
        <f t="shared" si="5"/>
        <v>1.0874999999999999E-2</v>
      </c>
      <c r="L8" s="92">
        <f t="shared" si="4"/>
        <v>0.23642249999999998</v>
      </c>
      <c r="N8" s="31">
        <v>3</v>
      </c>
      <c r="V8" s="86" t="s">
        <v>193</v>
      </c>
      <c r="W8" s="87">
        <v>1</v>
      </c>
      <c r="X8" s="86" t="s">
        <v>14</v>
      </c>
      <c r="Y8" s="88">
        <f>SUM(L5:L16)/S15</f>
        <v>1.9113182949701621</v>
      </c>
    </row>
    <row r="9" spans="1:25">
      <c r="A9" s="15" t="s">
        <v>47</v>
      </c>
      <c r="B9" s="14" t="s">
        <v>109</v>
      </c>
      <c r="C9" s="15" t="s">
        <v>17</v>
      </c>
      <c r="D9" s="20">
        <f t="shared" si="0"/>
        <v>0.375</v>
      </c>
      <c r="E9" s="17">
        <f t="shared" si="1"/>
        <v>29</v>
      </c>
      <c r="F9" s="18">
        <v>1</v>
      </c>
      <c r="G9" s="17">
        <f t="shared" si="2"/>
        <v>10.875</v>
      </c>
      <c r="H9" s="80">
        <f t="shared" si="3"/>
        <v>10.875</v>
      </c>
      <c r="I9" s="15">
        <f>VLOOKUP(B9,Ordering!$A$1:$J$83,6,FALSE)</f>
        <v>1</v>
      </c>
      <c r="J9" s="23">
        <f>VLOOKUP(B9,Ordering!$A$1:$J$83,10,FALSE)</f>
        <v>90</v>
      </c>
      <c r="K9" s="23">
        <f t="shared" si="5"/>
        <v>1.0874999999999999E-2</v>
      </c>
      <c r="L9" s="92">
        <f t="shared" si="4"/>
        <v>0.9787499999999999</v>
      </c>
      <c r="N9" s="31">
        <v>3</v>
      </c>
    </row>
    <row r="10" spans="1:25">
      <c r="A10" s="14" t="s">
        <v>30</v>
      </c>
      <c r="B10" s="14" t="s">
        <v>107</v>
      </c>
      <c r="C10" s="15" t="s">
        <v>17</v>
      </c>
      <c r="D10" s="20">
        <f t="shared" si="0"/>
        <v>2.75</v>
      </c>
      <c r="E10" s="17">
        <f t="shared" si="1"/>
        <v>29</v>
      </c>
      <c r="F10" s="18">
        <v>1</v>
      </c>
      <c r="G10" s="17">
        <f t="shared" si="2"/>
        <v>79.75</v>
      </c>
      <c r="H10" s="80">
        <f t="shared" si="3"/>
        <v>79.75</v>
      </c>
      <c r="I10" s="15">
        <f>VLOOKUP(B10,Ordering!$A$1:$J$83,6,FALSE)</f>
        <v>1</v>
      </c>
      <c r="J10" s="23">
        <f>VLOOKUP(B10,Ordering!$A$1:$J$83,10,FALSE)</f>
        <v>14</v>
      </c>
      <c r="K10" s="23">
        <f t="shared" si="5"/>
        <v>7.9750000000000001E-2</v>
      </c>
      <c r="L10" s="92">
        <f t="shared" si="4"/>
        <v>1.1165</v>
      </c>
      <c r="N10" s="31">
        <v>22</v>
      </c>
      <c r="R10" s="157" t="s">
        <v>76</v>
      </c>
      <c r="S10" s="158"/>
    </row>
    <row r="11" spans="1:25">
      <c r="A11" s="14" t="s">
        <v>46</v>
      </c>
      <c r="B11" s="54" t="s">
        <v>247</v>
      </c>
      <c r="C11" s="15" t="s">
        <v>17</v>
      </c>
      <c r="D11" s="20">
        <f t="shared" si="0"/>
        <v>1.5</v>
      </c>
      <c r="E11" s="17">
        <f t="shared" si="1"/>
        <v>29</v>
      </c>
      <c r="F11" s="18">
        <v>1</v>
      </c>
      <c r="G11" s="17">
        <f t="shared" si="2"/>
        <v>43.5</v>
      </c>
      <c r="H11" s="80">
        <f t="shared" si="3"/>
        <v>43.5</v>
      </c>
      <c r="I11" s="15">
        <f>VLOOKUP(B11,Ordering!$A$1:$J$83,6,FALSE)</f>
        <v>1</v>
      </c>
      <c r="J11" s="23">
        <f>VLOOKUP(B11,Ordering!$A$1:$J$83,10,FALSE)</f>
        <v>2.7</v>
      </c>
      <c r="K11" s="23">
        <f t="shared" si="5"/>
        <v>4.3499999999999997E-2</v>
      </c>
      <c r="L11" s="92">
        <f>J11*K11</f>
        <v>0.11745</v>
      </c>
      <c r="N11" s="31">
        <v>12</v>
      </c>
      <c r="R11" s="159" t="s">
        <v>18</v>
      </c>
      <c r="S11" s="160"/>
    </row>
    <row r="12" spans="1:25" ht="14.75" customHeight="1" thickBot="1">
      <c r="A12" s="14" t="s">
        <v>48</v>
      </c>
      <c r="B12" s="14" t="s">
        <v>111</v>
      </c>
      <c r="C12" s="15" t="s">
        <v>17</v>
      </c>
      <c r="D12" s="20">
        <f t="shared" si="0"/>
        <v>15.625</v>
      </c>
      <c r="E12" s="17">
        <f t="shared" si="1"/>
        <v>29</v>
      </c>
      <c r="F12" s="18">
        <v>1</v>
      </c>
      <c r="G12" s="17">
        <f t="shared" si="2"/>
        <v>453.125</v>
      </c>
      <c r="H12" s="80">
        <f t="shared" si="3"/>
        <v>453.125</v>
      </c>
      <c r="I12" s="15">
        <f>VLOOKUP(B12,Ordering!$A$1:$J$83,6,FALSE)</f>
        <v>1</v>
      </c>
      <c r="J12" s="23">
        <f>VLOOKUP(B12,Ordering!$A$1:$J$83,10,FALSE)</f>
        <v>1.8</v>
      </c>
      <c r="K12" s="23">
        <f t="shared" si="5"/>
        <v>0.453125</v>
      </c>
      <c r="L12" s="92">
        <f t="shared" ref="L12:L16" si="6">J12*K12</f>
        <v>0.81562500000000004</v>
      </c>
      <c r="N12" s="31">
        <v>125</v>
      </c>
      <c r="R12" s="5" t="s">
        <v>19</v>
      </c>
      <c r="S12" s="6" t="s">
        <v>20</v>
      </c>
    </row>
    <row r="13" spans="1:25" ht="14.75" customHeight="1" thickBot="1">
      <c r="A13" s="14" t="s">
        <v>48</v>
      </c>
      <c r="B13" s="14" t="s">
        <v>114</v>
      </c>
      <c r="C13" s="15" t="s">
        <v>17</v>
      </c>
      <c r="D13" s="20">
        <f t="shared" si="0"/>
        <v>15.625</v>
      </c>
      <c r="E13" s="17">
        <f t="shared" si="1"/>
        <v>29</v>
      </c>
      <c r="F13" s="18">
        <v>1</v>
      </c>
      <c r="G13" s="17">
        <f t="shared" si="2"/>
        <v>453.125</v>
      </c>
      <c r="H13" s="80">
        <f t="shared" si="3"/>
        <v>453.125</v>
      </c>
      <c r="I13" s="15">
        <f>VLOOKUP(B13,Ordering!$A$1:$J$83,6,FALSE)</f>
        <v>1</v>
      </c>
      <c r="J13" s="23">
        <f>VLOOKUP(B13,Ordering!$A$1:$J$83,10,FALSE)</f>
        <v>1.7</v>
      </c>
      <c r="K13" s="23">
        <f t="shared" si="5"/>
        <v>0.453125</v>
      </c>
      <c r="L13" s="92">
        <f t="shared" si="6"/>
        <v>0.77031249999999996</v>
      </c>
      <c r="N13" s="31">
        <v>125</v>
      </c>
      <c r="R13" s="7" t="s">
        <v>21</v>
      </c>
      <c r="S13" s="8">
        <f>V1</f>
        <v>27</v>
      </c>
    </row>
    <row r="14" spans="1:25" ht="14.75" customHeight="1" thickBot="1">
      <c r="A14" s="14" t="s">
        <v>30</v>
      </c>
      <c r="B14" s="14" t="s">
        <v>102</v>
      </c>
      <c r="C14" s="15" t="s">
        <v>17</v>
      </c>
      <c r="D14" s="20">
        <f t="shared" si="0"/>
        <v>80</v>
      </c>
      <c r="E14" s="17">
        <f t="shared" si="1"/>
        <v>29</v>
      </c>
      <c r="F14" s="18">
        <v>1</v>
      </c>
      <c r="G14" s="17">
        <f t="shared" si="2"/>
        <v>2320</v>
      </c>
      <c r="H14" s="80">
        <f t="shared" si="3"/>
        <v>2320</v>
      </c>
      <c r="I14" s="15">
        <f>VLOOKUP(B14,Ordering!$A$1:$J$83,6,FALSE)</f>
        <v>1</v>
      </c>
      <c r="J14" s="23">
        <f>VLOOKUP(B14,Ordering!$A$1:$J$83,10,FALSE)</f>
        <v>17.934782608695652</v>
      </c>
      <c r="K14" s="23">
        <f t="shared" si="5"/>
        <v>2.3199999999999998</v>
      </c>
      <c r="L14" s="92">
        <f t="shared" si="6"/>
        <v>41.608695652173914</v>
      </c>
      <c r="N14" s="31">
        <v>640</v>
      </c>
      <c r="R14" s="7" t="s">
        <v>22</v>
      </c>
      <c r="S14" s="9">
        <v>2</v>
      </c>
    </row>
    <row r="15" spans="1:25">
      <c r="A15" s="14" t="s">
        <v>51</v>
      </c>
      <c r="B15" s="14" t="s">
        <v>115</v>
      </c>
      <c r="C15" s="15" t="s">
        <v>17</v>
      </c>
      <c r="D15" s="20">
        <f t="shared" si="0"/>
        <v>25</v>
      </c>
      <c r="E15" s="17">
        <f t="shared" si="1"/>
        <v>29</v>
      </c>
      <c r="F15" s="18">
        <v>1</v>
      </c>
      <c r="G15" s="17">
        <f t="shared" si="2"/>
        <v>725</v>
      </c>
      <c r="H15" s="80">
        <f t="shared" si="3"/>
        <v>725</v>
      </c>
      <c r="I15" s="15">
        <f>VLOOKUP(B15,Ordering!$A$1:$J$83,6,FALSE)</f>
        <v>1</v>
      </c>
      <c r="J15" s="23">
        <f>VLOOKUP(B15,Ordering!$A$1:$J$83,10,FALSE)</f>
        <v>7</v>
      </c>
      <c r="K15" s="23">
        <f t="shared" si="5"/>
        <v>0.72499999999999998</v>
      </c>
      <c r="L15" s="92">
        <f t="shared" si="6"/>
        <v>5.0750000000000002</v>
      </c>
      <c r="N15" s="31">
        <v>200</v>
      </c>
      <c r="R15" s="10" t="s">
        <v>23</v>
      </c>
      <c r="S15" s="11">
        <f>S13+S14</f>
        <v>29</v>
      </c>
    </row>
    <row r="16" spans="1:25">
      <c r="A16" s="14" t="s">
        <v>47</v>
      </c>
      <c r="B16" s="14" t="s">
        <v>125</v>
      </c>
      <c r="C16" s="15" t="s">
        <v>16</v>
      </c>
      <c r="D16" s="20">
        <f t="shared" si="0"/>
        <v>2</v>
      </c>
      <c r="E16" s="17">
        <f t="shared" si="1"/>
        <v>29</v>
      </c>
      <c r="F16" s="18">
        <v>1</v>
      </c>
      <c r="G16" s="17">
        <f t="shared" si="2"/>
        <v>58</v>
      </c>
      <c r="H16" s="80">
        <f t="shared" si="3"/>
        <v>58</v>
      </c>
      <c r="I16" s="15">
        <f>VLOOKUP(B16,Ordering!$A$1:$J$83,6,FALSE)</f>
        <v>1</v>
      </c>
      <c r="J16" s="23">
        <f>VLOOKUP(B16,Ordering!$A$1:$J$83,10,FALSE)</f>
        <v>15.5</v>
      </c>
      <c r="K16" s="23">
        <f t="shared" si="5"/>
        <v>5.8000000000000003E-2</v>
      </c>
      <c r="L16" s="92">
        <f t="shared" si="6"/>
        <v>0.89900000000000002</v>
      </c>
      <c r="N16" s="32">
        <v>16</v>
      </c>
      <c r="R16" s="89" t="s">
        <v>14</v>
      </c>
      <c r="S16" s="90">
        <f>SUM(L5:L16)</f>
        <v>55.4282305541347</v>
      </c>
    </row>
    <row r="17" spans="10:12">
      <c r="J17" s="93"/>
      <c r="K17" s="93"/>
      <c r="L17" s="93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2" orientation="landscape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">
    <tabColor theme="9" tint="-0.249977111117893"/>
    <pageSetUpPr fitToPage="1"/>
  </sheetPr>
  <dimension ref="A1:Y21"/>
  <sheetViews>
    <sheetView topLeftCell="K1" zoomScale="70" zoomScaleNormal="70" zoomScaleSheetLayoutView="100" workbookViewId="0">
      <selection activeCell="S14" sqref="S14"/>
    </sheetView>
  </sheetViews>
  <sheetFormatPr defaultRowHeight="14.3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1" max="11" width="11.05859375" bestFit="1" customWidth="1"/>
    <col min="12" max="12" width="12.05859375" bestFit="1" customWidth="1"/>
    <col min="18" max="18" width="21.9375" customWidth="1"/>
    <col min="19" max="19" width="8.468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110</v>
      </c>
      <c r="G1" s="4"/>
      <c r="H1" s="38" t="s">
        <v>2</v>
      </c>
      <c r="I1" s="13">
        <f>F1/B1</f>
        <v>110</v>
      </c>
      <c r="J1" s="4"/>
      <c r="K1" s="38"/>
      <c r="U1" s="123" t="s">
        <v>206</v>
      </c>
      <c r="V1" s="121">
        <v>108</v>
      </c>
    </row>
    <row r="2" spans="1:25" ht="14.25" customHeight="1">
      <c r="A2" s="42"/>
      <c r="B2" s="161" t="s">
        <v>45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75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30</v>
      </c>
      <c r="B5" s="15" t="s">
        <v>100</v>
      </c>
      <c r="C5" s="15" t="s">
        <v>15</v>
      </c>
      <c r="D5" s="20">
        <f t="shared" ref="D5:D21" si="0">N5/8</f>
        <v>0.125</v>
      </c>
      <c r="E5" s="17">
        <f t="shared" ref="E5:E21" si="1">$I$1</f>
        <v>110</v>
      </c>
      <c r="F5" s="18">
        <v>1</v>
      </c>
      <c r="G5" s="30">
        <f t="shared" ref="G5:G21" si="2">E5*D5</f>
        <v>13.75</v>
      </c>
      <c r="H5" s="80">
        <f t="shared" ref="H5:H21" si="3">G5*F5</f>
        <v>13.75</v>
      </c>
      <c r="I5" s="15">
        <f>VLOOKUP(B5,Ordering!$A$1:$J$83,6,FALSE)</f>
        <v>1</v>
      </c>
      <c r="J5" s="20">
        <f>VLOOKUP(B5,Ordering!$A$1:$J$83,10,FALSE)</f>
        <v>0.43333333333333335</v>
      </c>
      <c r="K5" s="20">
        <f>H5/I5</f>
        <v>13.75</v>
      </c>
      <c r="L5" s="91">
        <f t="shared" ref="L5:L21" si="4">J5*K5</f>
        <v>5.9583333333333339</v>
      </c>
      <c r="N5" s="1">
        <v>1</v>
      </c>
    </row>
    <row r="6" spans="1:25" ht="14.75" customHeight="1" thickTop="1">
      <c r="A6" s="15" t="s">
        <v>30</v>
      </c>
      <c r="B6" s="15" t="s">
        <v>101</v>
      </c>
      <c r="C6" s="15" t="s">
        <v>16</v>
      </c>
      <c r="D6" s="20">
        <f t="shared" si="0"/>
        <v>14</v>
      </c>
      <c r="E6" s="17">
        <f t="shared" si="1"/>
        <v>110</v>
      </c>
      <c r="F6" s="18">
        <v>1</v>
      </c>
      <c r="G6" s="17">
        <f t="shared" si="2"/>
        <v>1540</v>
      </c>
      <c r="H6" s="80">
        <f t="shared" si="3"/>
        <v>1540</v>
      </c>
      <c r="I6" s="15">
        <f>VLOOKUP(B6,Ordering!$A$1:$J$83,6,FALSE)</f>
        <v>1</v>
      </c>
      <c r="J6" s="20">
        <f>VLOOKUP(B6,Ordering!$A$1:$J$83,10,FALSE)</f>
        <v>4.2033333333333331</v>
      </c>
      <c r="K6" s="20">
        <f t="shared" ref="K6:K21" si="5">((H6/(I6))/1000)</f>
        <v>1.54</v>
      </c>
      <c r="L6" s="91">
        <f t="shared" si="4"/>
        <v>6.4731333333333332</v>
      </c>
      <c r="N6" s="31">
        <v>112</v>
      </c>
    </row>
    <row r="7" spans="1:25">
      <c r="A7" s="15" t="s">
        <v>47</v>
      </c>
      <c r="B7" s="15" t="s">
        <v>126</v>
      </c>
      <c r="C7" s="15" t="s">
        <v>16</v>
      </c>
      <c r="D7" s="20">
        <f t="shared" si="0"/>
        <v>3.125</v>
      </c>
      <c r="E7" s="17">
        <f t="shared" si="1"/>
        <v>110</v>
      </c>
      <c r="F7" s="18">
        <v>1</v>
      </c>
      <c r="G7" s="17">
        <f t="shared" si="2"/>
        <v>343.75</v>
      </c>
      <c r="H7" s="80">
        <f t="shared" si="3"/>
        <v>343.75</v>
      </c>
      <c r="I7" s="15">
        <f>VLOOKUP(B7,Ordering!$A$1:$J$83,6,FALSE)</f>
        <v>1</v>
      </c>
      <c r="J7" s="20">
        <f>VLOOKUP(B7,Ordering!$A$1:$J$83,10,FALSE)</f>
        <v>5.882352941176471</v>
      </c>
      <c r="K7" s="20">
        <f t="shared" si="5"/>
        <v>0.34375</v>
      </c>
      <c r="L7" s="91">
        <f t="shared" si="4"/>
        <v>2.0220588235294121</v>
      </c>
      <c r="N7" s="31">
        <v>25</v>
      </c>
    </row>
    <row r="8" spans="1:25">
      <c r="A8" s="15" t="s">
        <v>47</v>
      </c>
      <c r="B8" s="15" t="s">
        <v>108</v>
      </c>
      <c r="C8" s="15" t="s">
        <v>17</v>
      </c>
      <c r="D8" s="20">
        <f t="shared" si="0"/>
        <v>0.375</v>
      </c>
      <c r="E8" s="17">
        <f t="shared" si="1"/>
        <v>110</v>
      </c>
      <c r="F8" s="18">
        <v>1</v>
      </c>
      <c r="G8" s="17">
        <f t="shared" si="2"/>
        <v>41.25</v>
      </c>
      <c r="H8" s="80">
        <f t="shared" si="3"/>
        <v>41.25</v>
      </c>
      <c r="I8" s="15">
        <f>VLOOKUP(B8,Ordering!$A$1:$J$83,6,FALSE)</f>
        <v>1</v>
      </c>
      <c r="J8" s="20">
        <f>VLOOKUP(B8,Ordering!$A$1:$J$83,10,FALSE)</f>
        <v>21.74</v>
      </c>
      <c r="K8" s="20">
        <f t="shared" si="5"/>
        <v>4.1250000000000002E-2</v>
      </c>
      <c r="L8" s="91">
        <f t="shared" si="4"/>
        <v>0.89677499999999999</v>
      </c>
      <c r="N8" s="31">
        <v>3</v>
      </c>
      <c r="V8" s="86" t="s">
        <v>193</v>
      </c>
      <c r="W8" s="87">
        <v>1</v>
      </c>
      <c r="X8" s="86" t="s">
        <v>14</v>
      </c>
      <c r="Y8" s="88">
        <f>SUM(L5:L21)/S15</f>
        <v>3.4367099398001035</v>
      </c>
    </row>
    <row r="9" spans="1:25">
      <c r="A9" s="15" t="s">
        <v>47</v>
      </c>
      <c r="B9" s="15" t="s">
        <v>109</v>
      </c>
      <c r="C9" s="15" t="s">
        <v>17</v>
      </c>
      <c r="D9" s="20">
        <f t="shared" si="0"/>
        <v>0.375</v>
      </c>
      <c r="E9" s="17">
        <f t="shared" si="1"/>
        <v>110</v>
      </c>
      <c r="F9" s="18">
        <v>1</v>
      </c>
      <c r="G9" s="17">
        <f t="shared" si="2"/>
        <v>41.25</v>
      </c>
      <c r="H9" s="80">
        <f t="shared" si="3"/>
        <v>41.25</v>
      </c>
      <c r="I9" s="15">
        <f>VLOOKUP(B9,Ordering!$A$1:$J$83,6,FALSE)</f>
        <v>1</v>
      </c>
      <c r="J9" s="20">
        <f>VLOOKUP(B9,Ordering!$A$1:$J$83,10,FALSE)</f>
        <v>90</v>
      </c>
      <c r="K9" s="20">
        <f t="shared" si="5"/>
        <v>4.1250000000000002E-2</v>
      </c>
      <c r="L9" s="91">
        <f t="shared" si="4"/>
        <v>3.7125000000000004</v>
      </c>
      <c r="N9" s="31">
        <v>3</v>
      </c>
    </row>
    <row r="10" spans="1:25">
      <c r="A10" s="14" t="s">
        <v>30</v>
      </c>
      <c r="B10" s="15" t="s">
        <v>107</v>
      </c>
      <c r="C10" s="15" t="s">
        <v>17</v>
      </c>
      <c r="D10" s="20">
        <f t="shared" si="0"/>
        <v>2.75</v>
      </c>
      <c r="E10" s="17">
        <f t="shared" si="1"/>
        <v>110</v>
      </c>
      <c r="F10" s="18">
        <v>1</v>
      </c>
      <c r="G10" s="17">
        <f t="shared" si="2"/>
        <v>302.5</v>
      </c>
      <c r="H10" s="80">
        <f t="shared" si="3"/>
        <v>302.5</v>
      </c>
      <c r="I10" s="15">
        <f>VLOOKUP(B10,Ordering!$A$1:$J$83,6,FALSE)</f>
        <v>1</v>
      </c>
      <c r="J10" s="20">
        <f>VLOOKUP(B10,Ordering!$A$1:$J$83,10,FALSE)</f>
        <v>14</v>
      </c>
      <c r="K10" s="20">
        <f t="shared" si="5"/>
        <v>0.30249999999999999</v>
      </c>
      <c r="L10" s="91">
        <f t="shared" si="4"/>
        <v>4.2349999999999994</v>
      </c>
      <c r="N10" s="31">
        <v>22</v>
      </c>
      <c r="R10" s="163" t="s">
        <v>261</v>
      </c>
      <c r="S10" s="164"/>
    </row>
    <row r="11" spans="1:25">
      <c r="A11" s="14" t="s">
        <v>46</v>
      </c>
      <c r="B11" s="15" t="s">
        <v>247</v>
      </c>
      <c r="C11" s="15" t="s">
        <v>17</v>
      </c>
      <c r="D11" s="20">
        <f t="shared" si="0"/>
        <v>1.5</v>
      </c>
      <c r="E11" s="17">
        <f t="shared" si="1"/>
        <v>110</v>
      </c>
      <c r="F11" s="18">
        <v>1</v>
      </c>
      <c r="G11" s="17">
        <f t="shared" si="2"/>
        <v>165</v>
      </c>
      <c r="H11" s="80">
        <f t="shared" si="3"/>
        <v>165</v>
      </c>
      <c r="I11" s="15">
        <f>VLOOKUP(B11,Ordering!$A$1:$J$83,6,FALSE)</f>
        <v>1</v>
      </c>
      <c r="J11" s="20">
        <f>VLOOKUP(B11,Ordering!$A$1:$J$83,10,FALSE)</f>
        <v>2.7</v>
      </c>
      <c r="K11" s="20">
        <f t="shared" si="5"/>
        <v>0.16500000000000001</v>
      </c>
      <c r="L11" s="91">
        <f t="shared" si="4"/>
        <v>0.44550000000000006</v>
      </c>
      <c r="N11" s="31">
        <v>12</v>
      </c>
      <c r="R11" s="163" t="s">
        <v>18</v>
      </c>
      <c r="S11" s="164"/>
    </row>
    <row r="12" spans="1:25" ht="14.75" customHeight="1">
      <c r="A12" s="14" t="s">
        <v>48</v>
      </c>
      <c r="B12" s="15" t="s">
        <v>111</v>
      </c>
      <c r="C12" s="15" t="s">
        <v>17</v>
      </c>
      <c r="D12" s="20">
        <f t="shared" si="0"/>
        <v>15.625</v>
      </c>
      <c r="E12" s="17">
        <f t="shared" si="1"/>
        <v>110</v>
      </c>
      <c r="F12" s="18">
        <v>1</v>
      </c>
      <c r="G12" s="17">
        <f t="shared" si="2"/>
        <v>1718.75</v>
      </c>
      <c r="H12" s="80">
        <f t="shared" si="3"/>
        <v>1718.75</v>
      </c>
      <c r="I12" s="15">
        <f>VLOOKUP(B12,Ordering!$A$1:$J$83,6,FALSE)</f>
        <v>1</v>
      </c>
      <c r="J12" s="20">
        <f>VLOOKUP(B12,Ordering!$A$1:$J$83,10,FALSE)</f>
        <v>1.8</v>
      </c>
      <c r="K12" s="20">
        <f t="shared" si="5"/>
        <v>1.71875</v>
      </c>
      <c r="L12" s="91">
        <f t="shared" si="4"/>
        <v>3.09375</v>
      </c>
      <c r="N12" s="31">
        <v>125</v>
      </c>
      <c r="R12" s="5" t="s">
        <v>19</v>
      </c>
      <c r="S12" s="5" t="s">
        <v>20</v>
      </c>
    </row>
    <row r="13" spans="1:25" ht="14.75" customHeight="1">
      <c r="A13" s="14" t="s">
        <v>48</v>
      </c>
      <c r="B13" s="15" t="s">
        <v>114</v>
      </c>
      <c r="C13" s="15" t="s">
        <v>17</v>
      </c>
      <c r="D13" s="20">
        <f t="shared" si="0"/>
        <v>15.625</v>
      </c>
      <c r="E13" s="17">
        <f t="shared" si="1"/>
        <v>110</v>
      </c>
      <c r="F13" s="18">
        <v>1</v>
      </c>
      <c r="G13" s="17">
        <f t="shared" si="2"/>
        <v>1718.75</v>
      </c>
      <c r="H13" s="80">
        <f t="shared" si="3"/>
        <v>1718.75</v>
      </c>
      <c r="I13" s="15">
        <f>VLOOKUP(B13,Ordering!$A$1:$J$83,6,FALSE)</f>
        <v>1</v>
      </c>
      <c r="J13" s="20">
        <f>VLOOKUP(B13,Ordering!$A$1:$J$83,10,FALSE)</f>
        <v>1.7</v>
      </c>
      <c r="K13" s="20">
        <f t="shared" si="5"/>
        <v>1.71875</v>
      </c>
      <c r="L13" s="91">
        <f t="shared" si="4"/>
        <v>2.921875</v>
      </c>
      <c r="N13" s="31">
        <v>125</v>
      </c>
      <c r="R13" s="5" t="s">
        <v>21</v>
      </c>
      <c r="S13" s="47">
        <f>V1</f>
        <v>108</v>
      </c>
    </row>
    <row r="14" spans="1:25" ht="14.75" customHeight="1">
      <c r="A14" s="14" t="s">
        <v>30</v>
      </c>
      <c r="B14" s="15" t="s">
        <v>102</v>
      </c>
      <c r="C14" s="15" t="s">
        <v>17</v>
      </c>
      <c r="D14" s="20">
        <f t="shared" si="0"/>
        <v>100</v>
      </c>
      <c r="E14" s="17">
        <f t="shared" si="1"/>
        <v>110</v>
      </c>
      <c r="F14" s="18">
        <v>1</v>
      </c>
      <c r="G14" s="17">
        <f t="shared" si="2"/>
        <v>11000</v>
      </c>
      <c r="H14" s="80">
        <f t="shared" si="3"/>
        <v>11000</v>
      </c>
      <c r="I14" s="15">
        <f>VLOOKUP(B14,Ordering!$A$1:$J$83,6,FALSE)</f>
        <v>1</v>
      </c>
      <c r="J14" s="20">
        <f>VLOOKUP(B14,Ordering!$A$1:$J$83,10,FALSE)</f>
        <v>17.934782608695652</v>
      </c>
      <c r="K14" s="20">
        <f t="shared" si="5"/>
        <v>11</v>
      </c>
      <c r="L14" s="91">
        <f t="shared" si="4"/>
        <v>197.28260869565219</v>
      </c>
      <c r="N14" s="31">
        <v>800</v>
      </c>
      <c r="R14" s="5" t="s">
        <v>22</v>
      </c>
      <c r="S14" s="14">
        <v>2</v>
      </c>
    </row>
    <row r="15" spans="1:25">
      <c r="A15" s="14" t="s">
        <v>52</v>
      </c>
      <c r="B15" s="15" t="s">
        <v>131</v>
      </c>
      <c r="C15" s="15" t="s">
        <v>17</v>
      </c>
      <c r="D15" s="20">
        <f t="shared" si="0"/>
        <v>100</v>
      </c>
      <c r="E15" s="17">
        <f t="shared" si="1"/>
        <v>110</v>
      </c>
      <c r="F15" s="18">
        <v>1</v>
      </c>
      <c r="G15" s="17">
        <f t="shared" si="2"/>
        <v>11000</v>
      </c>
      <c r="H15" s="80">
        <f t="shared" si="3"/>
        <v>11000</v>
      </c>
      <c r="I15" s="15">
        <f>VLOOKUP(B15,Ordering!$A$1:$J$83,6,FALSE)</f>
        <v>0.99</v>
      </c>
      <c r="J15" s="20">
        <f>VLOOKUP(B15,Ordering!$A$1:$J$83,10,FALSE)</f>
        <v>13.055555555555555</v>
      </c>
      <c r="K15" s="20">
        <f t="shared" si="5"/>
        <v>11.111111111111111</v>
      </c>
      <c r="L15" s="91">
        <f t="shared" si="4"/>
        <v>145.06172839506172</v>
      </c>
      <c r="N15" s="31">
        <v>800</v>
      </c>
      <c r="R15" s="5" t="s">
        <v>23</v>
      </c>
      <c r="S15" s="48">
        <f>S13+S14</f>
        <v>110</v>
      </c>
    </row>
    <row r="16" spans="1:25">
      <c r="A16" s="14" t="s">
        <v>51</v>
      </c>
      <c r="B16" s="15" t="s">
        <v>121</v>
      </c>
      <c r="C16" s="15" t="s">
        <v>17</v>
      </c>
      <c r="D16" s="20">
        <f t="shared" si="0"/>
        <v>5</v>
      </c>
      <c r="E16" s="17">
        <f t="shared" si="1"/>
        <v>110</v>
      </c>
      <c r="F16" s="18">
        <v>1</v>
      </c>
      <c r="G16" s="17">
        <f t="shared" si="2"/>
        <v>550</v>
      </c>
      <c r="H16" s="80">
        <f t="shared" si="3"/>
        <v>550</v>
      </c>
      <c r="I16" s="15">
        <f>VLOOKUP(B16,Ordering!$A$1:$J$83,6,FALSE)</f>
        <v>0.69</v>
      </c>
      <c r="J16" s="20">
        <f>VLOOKUP(B16,Ordering!$A$1:$J$83,10,FALSE)</f>
        <v>4</v>
      </c>
      <c r="K16" s="20">
        <f t="shared" si="5"/>
        <v>0.79710144927536242</v>
      </c>
      <c r="L16" s="91">
        <f t="shared" si="4"/>
        <v>3.1884057971014497</v>
      </c>
      <c r="N16" s="31">
        <v>40</v>
      </c>
      <c r="R16" s="89" t="s">
        <v>14</v>
      </c>
      <c r="S16" s="90">
        <f>SUM(L5:L21)</f>
        <v>378.03809337801141</v>
      </c>
    </row>
    <row r="17" spans="1:14">
      <c r="A17" s="14" t="s">
        <v>51</v>
      </c>
      <c r="B17" s="15" t="s">
        <v>119</v>
      </c>
      <c r="C17" s="15" t="s">
        <v>17</v>
      </c>
      <c r="D17" s="20">
        <f t="shared" si="0"/>
        <v>0.125</v>
      </c>
      <c r="E17" s="17">
        <f t="shared" si="1"/>
        <v>110</v>
      </c>
      <c r="F17" s="18">
        <v>1</v>
      </c>
      <c r="G17" s="17">
        <f t="shared" si="2"/>
        <v>13.75</v>
      </c>
      <c r="H17" s="17">
        <f t="shared" si="3"/>
        <v>13.75</v>
      </c>
      <c r="I17" s="15">
        <f>VLOOKUP(B17,Ordering!$A$1:$J$83,6,FALSE)</f>
        <v>1</v>
      </c>
      <c r="J17" s="20">
        <f>VLOOKUP(B17,Ordering!$A$1:$J$83,10,FALSE)</f>
        <v>31</v>
      </c>
      <c r="K17" s="20">
        <f t="shared" si="5"/>
        <v>1.375E-2</v>
      </c>
      <c r="L17" s="91">
        <f t="shared" si="4"/>
        <v>0.42625000000000002</v>
      </c>
      <c r="N17" s="31">
        <v>1</v>
      </c>
    </row>
    <row r="18" spans="1:14">
      <c r="A18" s="14" t="s">
        <v>51</v>
      </c>
      <c r="B18" s="15" t="s">
        <v>117</v>
      </c>
      <c r="C18" s="15" t="s">
        <v>17</v>
      </c>
      <c r="D18" s="20">
        <f t="shared" si="0"/>
        <v>0.125</v>
      </c>
      <c r="E18" s="17">
        <f t="shared" si="1"/>
        <v>110</v>
      </c>
      <c r="F18" s="18">
        <v>1</v>
      </c>
      <c r="G18" s="17">
        <f t="shared" si="2"/>
        <v>13.75</v>
      </c>
      <c r="H18" s="17">
        <f t="shared" si="3"/>
        <v>13.75</v>
      </c>
      <c r="I18" s="15">
        <f>VLOOKUP(B18,Ordering!$A$1:$J$83,6,FALSE)</f>
        <v>1</v>
      </c>
      <c r="J18" s="20">
        <f>VLOOKUP(B18,Ordering!$A$1:$J$83,10,FALSE)</f>
        <v>14</v>
      </c>
      <c r="K18" s="20">
        <f t="shared" si="5"/>
        <v>1.375E-2</v>
      </c>
      <c r="L18" s="91">
        <f t="shared" si="4"/>
        <v>0.1925</v>
      </c>
      <c r="N18" s="31">
        <v>1</v>
      </c>
    </row>
    <row r="19" spans="1:14">
      <c r="A19" s="14" t="s">
        <v>51</v>
      </c>
      <c r="B19" s="15" t="s">
        <v>118</v>
      </c>
      <c r="C19" s="15" t="s">
        <v>17</v>
      </c>
      <c r="D19" s="20">
        <f t="shared" si="0"/>
        <v>0.125</v>
      </c>
      <c r="E19" s="17">
        <f t="shared" si="1"/>
        <v>110</v>
      </c>
      <c r="F19" s="18">
        <v>1</v>
      </c>
      <c r="G19" s="17">
        <f t="shared" si="2"/>
        <v>13.75</v>
      </c>
      <c r="H19" s="17">
        <f t="shared" si="3"/>
        <v>13.75</v>
      </c>
      <c r="I19" s="15">
        <f>VLOOKUP(B19,Ordering!$A$1:$J$83,6,FALSE)</f>
        <v>1</v>
      </c>
      <c r="J19" s="20">
        <f>VLOOKUP(B19,Ordering!$A$1:$J$83,10,FALSE)</f>
        <v>107</v>
      </c>
      <c r="K19" s="20">
        <f t="shared" si="5"/>
        <v>1.375E-2</v>
      </c>
      <c r="L19" s="91">
        <f t="shared" si="4"/>
        <v>1.4712499999999999</v>
      </c>
      <c r="N19" s="31">
        <v>1</v>
      </c>
    </row>
    <row r="20" spans="1:14">
      <c r="A20" s="14" t="s">
        <v>47</v>
      </c>
      <c r="B20" s="15" t="s">
        <v>110</v>
      </c>
      <c r="C20" s="15" t="s">
        <v>17</v>
      </c>
      <c r="D20" s="20">
        <f t="shared" si="0"/>
        <v>0.125</v>
      </c>
      <c r="E20" s="17">
        <f t="shared" si="1"/>
        <v>110</v>
      </c>
      <c r="F20" s="18">
        <v>1</v>
      </c>
      <c r="G20" s="17">
        <f t="shared" si="2"/>
        <v>13.75</v>
      </c>
      <c r="H20" s="17">
        <f t="shared" si="3"/>
        <v>13.75</v>
      </c>
      <c r="I20" s="15">
        <f>VLOOKUP(B20,Ordering!$A$1:$J$83,6,FALSE)</f>
        <v>1</v>
      </c>
      <c r="J20" s="20">
        <f>VLOOKUP(B20,Ordering!$A$1:$J$83,10,FALSE)</f>
        <v>0.74</v>
      </c>
      <c r="K20" s="20">
        <f t="shared" si="5"/>
        <v>1.375E-2</v>
      </c>
      <c r="L20" s="91">
        <f t="shared" si="4"/>
        <v>1.0175E-2</v>
      </c>
      <c r="N20" s="31">
        <v>1</v>
      </c>
    </row>
    <row r="21" spans="1:14">
      <c r="A21" s="14" t="s">
        <v>30</v>
      </c>
      <c r="B21" s="15" t="s">
        <v>103</v>
      </c>
      <c r="C21" s="15" t="s">
        <v>17</v>
      </c>
      <c r="D21" s="20">
        <f t="shared" si="0"/>
        <v>0.125</v>
      </c>
      <c r="E21" s="17">
        <f t="shared" si="1"/>
        <v>110</v>
      </c>
      <c r="F21" s="18">
        <v>1</v>
      </c>
      <c r="G21" s="17">
        <f t="shared" si="2"/>
        <v>13.75</v>
      </c>
      <c r="H21" s="17">
        <f t="shared" si="3"/>
        <v>13.75</v>
      </c>
      <c r="I21" s="15">
        <f>VLOOKUP(B21,Ordering!$A$1:$J$83,6,FALSE)</f>
        <v>1</v>
      </c>
      <c r="J21" s="20">
        <f>VLOOKUP(B21,Ordering!$A$1:$J$83,10,FALSE)</f>
        <v>47</v>
      </c>
      <c r="K21" s="20">
        <f t="shared" si="5"/>
        <v>1.375E-2</v>
      </c>
      <c r="L21" s="91">
        <f t="shared" si="4"/>
        <v>0.64624999999999999</v>
      </c>
      <c r="N21" s="31">
        <v>1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">
    <tabColor theme="9" tint="-0.249977111117893"/>
    <pageSetUpPr fitToPage="1"/>
  </sheetPr>
  <dimension ref="A1:Y20"/>
  <sheetViews>
    <sheetView topLeftCell="I2" zoomScale="55" zoomScaleNormal="55" zoomScaleSheetLayoutView="100" workbookViewId="0">
      <selection activeCell="S14" sqref="S14"/>
    </sheetView>
  </sheetViews>
  <sheetFormatPr defaultRowHeight="14.3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5.5859375" customWidth="1"/>
    <col min="19" max="19" width="8.468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29</v>
      </c>
      <c r="G1" s="4"/>
      <c r="H1" s="38" t="s">
        <v>2</v>
      </c>
      <c r="I1" s="13">
        <f>F1/B1</f>
        <v>29</v>
      </c>
      <c r="J1" s="4"/>
      <c r="K1" s="38"/>
      <c r="U1" s="123" t="s">
        <v>206</v>
      </c>
      <c r="V1" s="121">
        <v>27</v>
      </c>
    </row>
    <row r="2" spans="1:25" ht="14.25" customHeight="1">
      <c r="A2" s="42"/>
      <c r="B2" s="161" t="s">
        <v>3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78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30</v>
      </c>
      <c r="B5" s="15" t="s">
        <v>100</v>
      </c>
      <c r="C5" s="15" t="s">
        <v>15</v>
      </c>
      <c r="D5" s="20">
        <f t="shared" ref="D5:D20" si="0">N5/8</f>
        <v>0.125</v>
      </c>
      <c r="E5" s="17">
        <f t="shared" ref="E5:E20" si="1">$I$1</f>
        <v>29</v>
      </c>
      <c r="F5" s="18">
        <v>1</v>
      </c>
      <c r="G5" s="30">
        <f t="shared" ref="G5:G20" si="2">E5*D5</f>
        <v>3.625</v>
      </c>
      <c r="H5" s="80">
        <f t="shared" ref="H5:H20" si="3">G5*F5</f>
        <v>3.625</v>
      </c>
      <c r="I5" s="15">
        <f>VLOOKUP(B5,Ordering!$A$1:$J$83,6,FALSE)</f>
        <v>1</v>
      </c>
      <c r="J5" s="15">
        <f>VLOOKUP(B5,Ordering!$A$1:$J$83,10,FALSE)</f>
        <v>0.43333333333333335</v>
      </c>
      <c r="K5" s="15">
        <f>H5/I5</f>
        <v>3.625</v>
      </c>
      <c r="L5" s="92">
        <f t="shared" ref="L5:L20" si="4">J5*K5</f>
        <v>1.5708333333333333</v>
      </c>
      <c r="N5" s="1">
        <v>1</v>
      </c>
    </row>
    <row r="6" spans="1:25" ht="14.75" customHeight="1" thickTop="1">
      <c r="A6" s="15" t="s">
        <v>30</v>
      </c>
      <c r="B6" s="15" t="s">
        <v>101</v>
      </c>
      <c r="C6" s="15" t="s">
        <v>16</v>
      </c>
      <c r="D6" s="20">
        <f t="shared" si="0"/>
        <v>14</v>
      </c>
      <c r="E6" s="17">
        <f t="shared" si="1"/>
        <v>29</v>
      </c>
      <c r="F6" s="18">
        <v>1</v>
      </c>
      <c r="G6" s="17">
        <f t="shared" si="2"/>
        <v>406</v>
      </c>
      <c r="H6" s="80">
        <f t="shared" si="3"/>
        <v>406</v>
      </c>
      <c r="I6" s="15">
        <f>VLOOKUP(B6,Ordering!$A$1:$J$83,6,FALSE)</f>
        <v>1</v>
      </c>
      <c r="J6" s="15">
        <f>VLOOKUP(B6,Ordering!$A$1:$J$83,10,FALSE)</f>
        <v>4.2033333333333331</v>
      </c>
      <c r="K6" s="23">
        <f t="shared" ref="K6:K20" si="5">((H6/(I6))/1000)</f>
        <v>0.40600000000000003</v>
      </c>
      <c r="L6" s="92">
        <f t="shared" si="4"/>
        <v>1.7065533333333334</v>
      </c>
      <c r="N6" s="31">
        <v>112</v>
      </c>
    </row>
    <row r="7" spans="1:25">
      <c r="A7" s="15" t="s">
        <v>47</v>
      </c>
      <c r="B7" s="15" t="s">
        <v>126</v>
      </c>
      <c r="C7" s="15" t="s">
        <v>17</v>
      </c>
      <c r="D7" s="20">
        <f t="shared" si="0"/>
        <v>3.125</v>
      </c>
      <c r="E7" s="17">
        <f t="shared" si="1"/>
        <v>29</v>
      </c>
      <c r="F7" s="18">
        <v>1</v>
      </c>
      <c r="G7" s="17">
        <f t="shared" si="2"/>
        <v>90.625</v>
      </c>
      <c r="H7" s="80">
        <f t="shared" si="3"/>
        <v>90.625</v>
      </c>
      <c r="I7" s="15">
        <f>VLOOKUP(B7,Ordering!$A$1:$J$83,6,FALSE)</f>
        <v>1</v>
      </c>
      <c r="J7" s="15">
        <f>VLOOKUP(B7,Ordering!$A$1:$J$83,10,FALSE)</f>
        <v>5.882352941176471</v>
      </c>
      <c r="K7" s="23">
        <f t="shared" si="5"/>
        <v>9.0624999999999997E-2</v>
      </c>
      <c r="L7" s="92">
        <f t="shared" si="4"/>
        <v>0.53308823529411764</v>
      </c>
      <c r="N7" s="31">
        <v>25</v>
      </c>
    </row>
    <row r="8" spans="1:25">
      <c r="A8" s="15" t="s">
        <v>47</v>
      </c>
      <c r="B8" s="15" t="s">
        <v>108</v>
      </c>
      <c r="C8" s="15" t="s">
        <v>17</v>
      </c>
      <c r="D8" s="20">
        <f t="shared" si="0"/>
        <v>0.375</v>
      </c>
      <c r="E8" s="17">
        <f t="shared" si="1"/>
        <v>29</v>
      </c>
      <c r="F8" s="18">
        <v>1</v>
      </c>
      <c r="G8" s="17">
        <f t="shared" si="2"/>
        <v>10.875</v>
      </c>
      <c r="H8" s="80">
        <f t="shared" si="3"/>
        <v>10.875</v>
      </c>
      <c r="I8" s="15">
        <f>VLOOKUP(B8,Ordering!$A$1:$J$83,6,FALSE)</f>
        <v>1</v>
      </c>
      <c r="J8" s="15">
        <f>VLOOKUP(B8,Ordering!$A$1:$J$83,10,FALSE)</f>
        <v>21.74</v>
      </c>
      <c r="K8" s="23">
        <f t="shared" si="5"/>
        <v>1.0874999999999999E-2</v>
      </c>
      <c r="L8" s="92">
        <f t="shared" si="4"/>
        <v>0.23642249999999998</v>
      </c>
      <c r="N8" s="31">
        <v>3</v>
      </c>
      <c r="V8" s="86" t="s">
        <v>193</v>
      </c>
      <c r="W8" s="87">
        <v>1</v>
      </c>
      <c r="X8" s="86" t="s">
        <v>14</v>
      </c>
      <c r="Y8" s="88">
        <f>SUM(L5:L20)/S15</f>
        <v>1.9352580182903201</v>
      </c>
    </row>
    <row r="9" spans="1:25">
      <c r="A9" s="15" t="s">
        <v>47</v>
      </c>
      <c r="B9" s="15" t="s">
        <v>109</v>
      </c>
      <c r="C9" s="15" t="s">
        <v>17</v>
      </c>
      <c r="D9" s="20">
        <f t="shared" si="0"/>
        <v>0.375</v>
      </c>
      <c r="E9" s="17">
        <f t="shared" si="1"/>
        <v>29</v>
      </c>
      <c r="F9" s="18">
        <v>1</v>
      </c>
      <c r="G9" s="17">
        <f t="shared" si="2"/>
        <v>10.875</v>
      </c>
      <c r="H9" s="80">
        <f t="shared" si="3"/>
        <v>10.875</v>
      </c>
      <c r="I9" s="15">
        <f>VLOOKUP(B9,Ordering!$A$1:$J$83,6,FALSE)</f>
        <v>1</v>
      </c>
      <c r="J9" s="15">
        <f>VLOOKUP(B9,Ordering!$A$1:$J$83,10,FALSE)</f>
        <v>90</v>
      </c>
      <c r="K9" s="23">
        <f t="shared" si="5"/>
        <v>1.0874999999999999E-2</v>
      </c>
      <c r="L9" s="92">
        <f t="shared" si="4"/>
        <v>0.9787499999999999</v>
      </c>
      <c r="N9" s="31">
        <v>3</v>
      </c>
    </row>
    <row r="10" spans="1:25">
      <c r="A10" s="14" t="s">
        <v>30</v>
      </c>
      <c r="B10" s="15" t="s">
        <v>107</v>
      </c>
      <c r="C10" s="15" t="s">
        <v>17</v>
      </c>
      <c r="D10" s="20">
        <f t="shared" si="0"/>
        <v>2.75</v>
      </c>
      <c r="E10" s="17">
        <f t="shared" si="1"/>
        <v>29</v>
      </c>
      <c r="F10" s="18">
        <v>1</v>
      </c>
      <c r="G10" s="17">
        <f t="shared" si="2"/>
        <v>79.75</v>
      </c>
      <c r="H10" s="80">
        <f t="shared" si="3"/>
        <v>79.75</v>
      </c>
      <c r="I10" s="15">
        <f>VLOOKUP(B10,Ordering!$A$1:$J$83,6,FALSE)</f>
        <v>1</v>
      </c>
      <c r="J10" s="15">
        <f>VLOOKUP(B10,Ordering!$A$1:$J$83,10,FALSE)</f>
        <v>14</v>
      </c>
      <c r="K10" s="23">
        <f t="shared" si="5"/>
        <v>7.9750000000000001E-2</v>
      </c>
      <c r="L10" s="92">
        <f t="shared" si="4"/>
        <v>1.1165</v>
      </c>
      <c r="N10" s="31">
        <v>22</v>
      </c>
      <c r="R10" s="157" t="s">
        <v>77</v>
      </c>
      <c r="S10" s="158"/>
    </row>
    <row r="11" spans="1:25">
      <c r="A11" s="14" t="s">
        <v>46</v>
      </c>
      <c r="B11" s="15" t="s">
        <v>247</v>
      </c>
      <c r="C11" s="15" t="s">
        <v>17</v>
      </c>
      <c r="D11" s="20">
        <f t="shared" si="0"/>
        <v>1.5</v>
      </c>
      <c r="E11" s="17">
        <f t="shared" si="1"/>
        <v>29</v>
      </c>
      <c r="F11" s="18">
        <v>1</v>
      </c>
      <c r="G11" s="17">
        <f t="shared" si="2"/>
        <v>43.5</v>
      </c>
      <c r="H11" s="80">
        <f t="shared" si="3"/>
        <v>43.5</v>
      </c>
      <c r="I11" s="15">
        <f>VLOOKUP(B11,Ordering!$A$1:$J$83,6,FALSE)</f>
        <v>1</v>
      </c>
      <c r="J11" s="15">
        <f>VLOOKUP(B11,Ordering!$A$1:$J$83,10,FALSE)</f>
        <v>2.7</v>
      </c>
      <c r="K11" s="23">
        <f t="shared" si="5"/>
        <v>4.3499999999999997E-2</v>
      </c>
      <c r="L11" s="92">
        <f t="shared" si="4"/>
        <v>0.11745</v>
      </c>
      <c r="N11" s="31">
        <v>12</v>
      </c>
      <c r="R11" s="159" t="s">
        <v>18</v>
      </c>
      <c r="S11" s="160"/>
    </row>
    <row r="12" spans="1:25" ht="14.75" customHeight="1" thickBot="1">
      <c r="A12" s="14" t="s">
        <v>48</v>
      </c>
      <c r="B12" s="15" t="s">
        <v>111</v>
      </c>
      <c r="C12" s="15" t="s">
        <v>17</v>
      </c>
      <c r="D12" s="20">
        <f t="shared" si="0"/>
        <v>15.625</v>
      </c>
      <c r="E12" s="17">
        <f t="shared" si="1"/>
        <v>29</v>
      </c>
      <c r="F12" s="18">
        <v>1</v>
      </c>
      <c r="G12" s="17">
        <f t="shared" si="2"/>
        <v>453.125</v>
      </c>
      <c r="H12" s="80">
        <f t="shared" si="3"/>
        <v>453.125</v>
      </c>
      <c r="I12" s="15">
        <f>VLOOKUP(B12,Ordering!$A$1:$J$83,6,FALSE)</f>
        <v>1</v>
      </c>
      <c r="J12" s="15">
        <f>VLOOKUP(B12,Ordering!$A$1:$J$83,10,FALSE)</f>
        <v>1.8</v>
      </c>
      <c r="K12" s="23">
        <f t="shared" si="5"/>
        <v>0.453125</v>
      </c>
      <c r="L12" s="92">
        <f t="shared" si="4"/>
        <v>0.81562500000000004</v>
      </c>
      <c r="N12" s="31">
        <v>125</v>
      </c>
      <c r="R12" s="5" t="s">
        <v>19</v>
      </c>
      <c r="S12" s="6" t="s">
        <v>20</v>
      </c>
    </row>
    <row r="13" spans="1:25" ht="14.75" customHeight="1" thickBot="1">
      <c r="A13" s="14" t="s">
        <v>48</v>
      </c>
      <c r="B13" s="15" t="s">
        <v>114</v>
      </c>
      <c r="C13" s="15" t="s">
        <v>17</v>
      </c>
      <c r="D13" s="20">
        <f t="shared" si="0"/>
        <v>15.625</v>
      </c>
      <c r="E13" s="17">
        <f t="shared" si="1"/>
        <v>29</v>
      </c>
      <c r="F13" s="18">
        <v>1</v>
      </c>
      <c r="G13" s="17">
        <f t="shared" si="2"/>
        <v>453.125</v>
      </c>
      <c r="H13" s="80">
        <f t="shared" si="3"/>
        <v>453.125</v>
      </c>
      <c r="I13" s="15">
        <f>VLOOKUP(B13,Ordering!$A$1:$J$83,6,FALSE)</f>
        <v>1</v>
      </c>
      <c r="J13" s="15">
        <f>VLOOKUP(B13,Ordering!$A$1:$J$83,10,FALSE)</f>
        <v>1.7</v>
      </c>
      <c r="K13" s="23">
        <f t="shared" si="5"/>
        <v>0.453125</v>
      </c>
      <c r="L13" s="92">
        <f t="shared" si="4"/>
        <v>0.77031249999999996</v>
      </c>
      <c r="N13" s="31">
        <v>125</v>
      </c>
      <c r="R13" s="7" t="s">
        <v>21</v>
      </c>
      <c r="S13" s="8">
        <f>V1</f>
        <v>27</v>
      </c>
    </row>
    <row r="14" spans="1:25" ht="14.75" customHeight="1" thickBot="1">
      <c r="A14" s="14" t="s">
        <v>30</v>
      </c>
      <c r="B14" s="15" t="s">
        <v>105</v>
      </c>
      <c r="C14" s="15" t="s">
        <v>17</v>
      </c>
      <c r="D14" s="20">
        <f t="shared" si="0"/>
        <v>100</v>
      </c>
      <c r="E14" s="17">
        <f t="shared" si="1"/>
        <v>29</v>
      </c>
      <c r="F14" s="18">
        <v>1</v>
      </c>
      <c r="G14" s="17">
        <f t="shared" si="2"/>
        <v>2900</v>
      </c>
      <c r="H14" s="80">
        <f t="shared" si="3"/>
        <v>2900</v>
      </c>
      <c r="I14" s="15">
        <f>VLOOKUP(B14,Ordering!$A$1:$J$83,6,FALSE)</f>
        <v>1</v>
      </c>
      <c r="J14" s="15">
        <f>VLOOKUP(B14,Ordering!$A$1:$J$83,10,FALSE)</f>
        <v>13.545454545454545</v>
      </c>
      <c r="K14" s="23">
        <f t="shared" si="5"/>
        <v>2.9</v>
      </c>
      <c r="L14" s="92">
        <f t="shared" si="4"/>
        <v>39.281818181818181</v>
      </c>
      <c r="N14" s="31">
        <v>800</v>
      </c>
      <c r="R14" s="7" t="s">
        <v>22</v>
      </c>
      <c r="S14" s="9">
        <v>2</v>
      </c>
    </row>
    <row r="15" spans="1:25">
      <c r="A15" s="14" t="s">
        <v>51</v>
      </c>
      <c r="B15" s="15" t="s">
        <v>121</v>
      </c>
      <c r="C15" s="15" t="s">
        <v>17</v>
      </c>
      <c r="D15" s="20">
        <f t="shared" si="0"/>
        <v>20</v>
      </c>
      <c r="E15" s="17">
        <f t="shared" si="1"/>
        <v>29</v>
      </c>
      <c r="F15" s="18">
        <v>1</v>
      </c>
      <c r="G15" s="17">
        <f t="shared" si="2"/>
        <v>580</v>
      </c>
      <c r="H15" s="80">
        <f t="shared" si="3"/>
        <v>580</v>
      </c>
      <c r="I15" s="15">
        <f>VLOOKUP(B15,Ordering!$A$1:$J$83,6,FALSE)</f>
        <v>0.69</v>
      </c>
      <c r="J15" s="15">
        <f>VLOOKUP(B15,Ordering!$A$1:$J$83,10,FALSE)</f>
        <v>4</v>
      </c>
      <c r="K15" s="23">
        <f t="shared" si="5"/>
        <v>0.84057971014492761</v>
      </c>
      <c r="L15" s="92">
        <f t="shared" si="4"/>
        <v>3.3623188405797104</v>
      </c>
      <c r="N15" s="31">
        <v>160</v>
      </c>
      <c r="R15" s="10" t="s">
        <v>23</v>
      </c>
      <c r="S15" s="11">
        <f>S13+S14</f>
        <v>29</v>
      </c>
    </row>
    <row r="16" spans="1:25">
      <c r="A16" s="14" t="s">
        <v>52</v>
      </c>
      <c r="B16" s="15" t="s">
        <v>120</v>
      </c>
      <c r="C16" s="15" t="s">
        <v>17</v>
      </c>
      <c r="D16" s="20">
        <f t="shared" si="0"/>
        <v>5</v>
      </c>
      <c r="E16" s="17">
        <f t="shared" si="1"/>
        <v>29</v>
      </c>
      <c r="F16" s="18">
        <v>1</v>
      </c>
      <c r="G16" s="17">
        <f t="shared" si="2"/>
        <v>145</v>
      </c>
      <c r="H16" s="80">
        <f t="shared" si="3"/>
        <v>145</v>
      </c>
      <c r="I16" s="15">
        <f>VLOOKUP(B16,Ordering!$A$1:$J$83,6,FALSE)</f>
        <v>0.9</v>
      </c>
      <c r="J16" s="15">
        <f>VLOOKUP(B16,Ordering!$A$1:$J$83,10,FALSE)</f>
        <v>3.5</v>
      </c>
      <c r="K16" s="23">
        <f t="shared" si="5"/>
        <v>0.16111111111111112</v>
      </c>
      <c r="L16" s="92">
        <f t="shared" si="4"/>
        <v>0.56388888888888888</v>
      </c>
      <c r="N16" s="31">
        <v>40</v>
      </c>
      <c r="R16" s="89" t="s">
        <v>14</v>
      </c>
      <c r="S16" s="90">
        <f>SUM(L5:L20)</f>
        <v>56.122482530419283</v>
      </c>
    </row>
    <row r="17" spans="1:14">
      <c r="A17" s="14" t="s">
        <v>52</v>
      </c>
      <c r="B17" s="15" t="s">
        <v>112</v>
      </c>
      <c r="C17" s="15" t="s">
        <v>17</v>
      </c>
      <c r="D17" s="20">
        <f t="shared" si="0"/>
        <v>5</v>
      </c>
      <c r="E17" s="17">
        <f t="shared" si="1"/>
        <v>29</v>
      </c>
      <c r="F17" s="18">
        <v>1</v>
      </c>
      <c r="G17" s="17">
        <f t="shared" si="2"/>
        <v>145</v>
      </c>
      <c r="H17" s="17">
        <f t="shared" si="3"/>
        <v>145</v>
      </c>
      <c r="I17" s="15">
        <f>VLOOKUP(B17,Ordering!$A$1:$J$83,6,FALSE)</f>
        <v>0.8</v>
      </c>
      <c r="J17" s="15">
        <f>VLOOKUP(B17,Ordering!$A$1:$J$83,10,FALSE)</f>
        <v>3</v>
      </c>
      <c r="K17" s="23">
        <f t="shared" si="5"/>
        <v>0.18124999999999999</v>
      </c>
      <c r="L17" s="92">
        <f t="shared" si="4"/>
        <v>0.54374999999999996</v>
      </c>
      <c r="N17" s="31">
        <v>40</v>
      </c>
    </row>
    <row r="18" spans="1:14">
      <c r="A18" s="14" t="s">
        <v>51</v>
      </c>
      <c r="B18" s="15" t="s">
        <v>124</v>
      </c>
      <c r="C18" s="15" t="s">
        <v>17</v>
      </c>
      <c r="D18" s="20">
        <f t="shared" si="0"/>
        <v>1</v>
      </c>
      <c r="E18" s="17">
        <f t="shared" si="1"/>
        <v>29</v>
      </c>
      <c r="F18" s="18">
        <v>1</v>
      </c>
      <c r="G18" s="17">
        <f t="shared" si="2"/>
        <v>29</v>
      </c>
      <c r="H18" s="17">
        <f t="shared" si="3"/>
        <v>29</v>
      </c>
      <c r="I18" s="15">
        <f>VLOOKUP(B18,Ordering!$A$1:$J$83,6,FALSE)</f>
        <v>1</v>
      </c>
      <c r="J18" s="15">
        <f>VLOOKUP(B18,Ordering!$A$1:$J$83,10,FALSE)</f>
        <v>20</v>
      </c>
      <c r="K18" s="23">
        <f t="shared" si="5"/>
        <v>2.9000000000000001E-2</v>
      </c>
      <c r="L18" s="92">
        <f t="shared" si="4"/>
        <v>0.58000000000000007</v>
      </c>
      <c r="N18" s="31">
        <v>8</v>
      </c>
    </row>
    <row r="19" spans="1:14">
      <c r="A19" s="14" t="s">
        <v>47</v>
      </c>
      <c r="B19" s="15" t="s">
        <v>237</v>
      </c>
      <c r="C19" s="15" t="s">
        <v>17</v>
      </c>
      <c r="D19" s="20">
        <f t="shared" si="0"/>
        <v>8</v>
      </c>
      <c r="E19" s="17">
        <f t="shared" si="1"/>
        <v>29</v>
      </c>
      <c r="F19" s="18">
        <v>1</v>
      </c>
      <c r="G19" s="17">
        <f t="shared" si="2"/>
        <v>232</v>
      </c>
      <c r="H19" s="17">
        <f t="shared" si="3"/>
        <v>232</v>
      </c>
      <c r="I19" s="15">
        <f>VLOOKUP(B19,Ordering!$A$1:$J$83,6,FALSE)</f>
        <v>1</v>
      </c>
      <c r="J19" s="15">
        <f>VLOOKUP(B19,Ordering!$A$1:$J$83,10,FALSE)</f>
        <v>10.416666666666666</v>
      </c>
      <c r="K19" s="23">
        <f t="shared" si="5"/>
        <v>0.23200000000000001</v>
      </c>
      <c r="L19" s="92">
        <f t="shared" si="4"/>
        <v>2.4166666666666665</v>
      </c>
      <c r="N19" s="31">
        <v>64</v>
      </c>
    </row>
    <row r="20" spans="1:14">
      <c r="A20" s="14" t="s">
        <v>47</v>
      </c>
      <c r="B20" s="15" t="s">
        <v>238</v>
      </c>
      <c r="C20" s="15" t="s">
        <v>17</v>
      </c>
      <c r="D20" s="20">
        <f t="shared" si="0"/>
        <v>8</v>
      </c>
      <c r="E20" s="17">
        <f t="shared" si="1"/>
        <v>29</v>
      </c>
      <c r="F20" s="18">
        <v>1</v>
      </c>
      <c r="G20" s="17">
        <f t="shared" si="2"/>
        <v>232</v>
      </c>
      <c r="H20" s="17">
        <f t="shared" si="3"/>
        <v>232</v>
      </c>
      <c r="I20" s="15">
        <f>VLOOKUP(B20,Ordering!$A$1:$J$83,6,FALSE)</f>
        <v>1</v>
      </c>
      <c r="J20" s="15">
        <f>VLOOKUP(B20,Ordering!$A$1:$J$83,10,FALSE)</f>
        <v>6.5883838383838373</v>
      </c>
      <c r="K20" s="23">
        <f t="shared" si="5"/>
        <v>0.23200000000000001</v>
      </c>
      <c r="L20" s="92">
        <f t="shared" si="4"/>
        <v>1.5285050505050504</v>
      </c>
      <c r="N20" s="31">
        <v>64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theme="9" tint="-0.249977111117893"/>
    <pageSetUpPr fitToPage="1"/>
  </sheetPr>
  <dimension ref="A1:Y16"/>
  <sheetViews>
    <sheetView topLeftCell="D1" zoomScale="70" zoomScaleNormal="70" zoomScaleSheetLayoutView="100" workbookViewId="0">
      <selection activeCell="S14" sqref="S14"/>
    </sheetView>
  </sheetViews>
  <sheetFormatPr defaultRowHeight="14.35"/>
  <cols>
    <col min="1" max="1" width="17.64453125" bestFit="1" customWidth="1"/>
    <col min="2" max="2" width="31.46875" bestFit="1" customWidth="1"/>
    <col min="3" max="3" width="4.46875" bestFit="1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6.05859375" customWidth="1"/>
    <col min="19" max="19" width="8.468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91</v>
      </c>
      <c r="G1" s="4"/>
      <c r="H1" s="38" t="s">
        <v>2</v>
      </c>
      <c r="I1" s="13">
        <f>F1/B1</f>
        <v>91</v>
      </c>
      <c r="J1" s="4"/>
      <c r="K1" s="38"/>
      <c r="U1" s="123" t="s">
        <v>206</v>
      </c>
      <c r="V1" s="121">
        <v>89</v>
      </c>
    </row>
    <row r="2" spans="1:25" ht="14.25" customHeight="1">
      <c r="A2" s="42"/>
      <c r="B2" s="161" t="s">
        <v>33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84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49</v>
      </c>
      <c r="B5" s="15" t="s">
        <v>250</v>
      </c>
      <c r="C5" s="22" t="s">
        <v>17</v>
      </c>
      <c r="D5" s="20">
        <f>N5/100</f>
        <v>15</v>
      </c>
      <c r="E5" s="17">
        <f>$I$1</f>
        <v>91</v>
      </c>
      <c r="F5" s="18">
        <v>1</v>
      </c>
      <c r="G5" s="17">
        <f>E5*D5</f>
        <v>1365</v>
      </c>
      <c r="H5" s="80">
        <f>G5*F5</f>
        <v>1365</v>
      </c>
      <c r="I5" s="15">
        <f>VLOOKUP(B5,Ordering!$A$1:$J$83,6,FALSE)</f>
        <v>1</v>
      </c>
      <c r="J5" s="15">
        <f>VLOOKUP(B5,Ordering!$A$1:$J$83,10,FALSE)</f>
        <v>19.75</v>
      </c>
      <c r="K5" s="23">
        <f t="shared" ref="K5:K8" si="0">((H5/(I5))/1000)</f>
        <v>1.365</v>
      </c>
      <c r="L5" s="92">
        <f t="shared" ref="L5:L8" si="1">J5*K5</f>
        <v>26.958749999999998</v>
      </c>
      <c r="N5" s="2">
        <v>1500</v>
      </c>
    </row>
    <row r="6" spans="1:25" ht="15" customHeight="1" thickTop="1" thickBot="1">
      <c r="A6" s="15" t="s">
        <v>30</v>
      </c>
      <c r="B6" s="15" t="s">
        <v>104</v>
      </c>
      <c r="C6" s="22" t="s">
        <v>17</v>
      </c>
      <c r="D6" s="21">
        <f>N6/100</f>
        <v>7.5</v>
      </c>
      <c r="E6" s="17">
        <f>$I$1</f>
        <v>91</v>
      </c>
      <c r="F6" s="18">
        <v>1</v>
      </c>
      <c r="G6" s="17">
        <f>E6*D6</f>
        <v>682.5</v>
      </c>
      <c r="H6" s="80">
        <f>G6*F6</f>
        <v>682.5</v>
      </c>
      <c r="I6" s="15">
        <f>VLOOKUP(B6,Ordering!$A$1:$J$83,6,FALSE)</f>
        <v>1</v>
      </c>
      <c r="J6" s="15">
        <f>VLOOKUP(B6,Ordering!$A$1:$J$83,10,FALSE)</f>
        <v>30</v>
      </c>
      <c r="K6" s="23">
        <f t="shared" si="0"/>
        <v>0.6825</v>
      </c>
      <c r="L6" s="92">
        <f t="shared" si="1"/>
        <v>20.475000000000001</v>
      </c>
      <c r="N6" s="2">
        <v>750</v>
      </c>
    </row>
    <row r="7" spans="1:25" ht="15" customHeight="1" thickTop="1" thickBot="1">
      <c r="A7" s="15" t="s">
        <v>30</v>
      </c>
      <c r="B7" s="15" t="s">
        <v>224</v>
      </c>
      <c r="C7" s="22" t="s">
        <v>17</v>
      </c>
      <c r="D7" s="21">
        <f>N7/100</f>
        <v>4</v>
      </c>
      <c r="E7" s="17">
        <f>$I$1</f>
        <v>91</v>
      </c>
      <c r="F7" s="18">
        <v>1</v>
      </c>
      <c r="G7" s="17">
        <f>E7*D7</f>
        <v>364</v>
      </c>
      <c r="H7" s="80">
        <f>G7*F7</f>
        <v>364</v>
      </c>
      <c r="I7" s="15">
        <f>VLOOKUP(B7,Ordering!$A$1:$J$83,6,FALSE)</f>
        <v>1</v>
      </c>
      <c r="J7" s="15">
        <f>VLOOKUP(B7,Ordering!$A$1:$J$83,10,FALSE)</f>
        <v>11.304</v>
      </c>
      <c r="K7" s="23">
        <f t="shared" si="0"/>
        <v>0.36399999999999999</v>
      </c>
      <c r="L7" s="92">
        <f t="shared" si="1"/>
        <v>4.1146560000000001</v>
      </c>
      <c r="N7" s="2">
        <v>400</v>
      </c>
    </row>
    <row r="8" spans="1:25" ht="15" customHeight="1" thickTop="1" thickBot="1">
      <c r="A8" s="15" t="s">
        <v>27</v>
      </c>
      <c r="B8" s="15" t="s">
        <v>242</v>
      </c>
      <c r="C8" s="22" t="s">
        <v>17</v>
      </c>
      <c r="D8" s="20">
        <f>N8/100</f>
        <v>16</v>
      </c>
      <c r="E8" s="17">
        <f>$I$1</f>
        <v>91</v>
      </c>
      <c r="F8" s="18">
        <v>1</v>
      </c>
      <c r="G8" s="17">
        <f>E8*D8</f>
        <v>1456</v>
      </c>
      <c r="H8" s="80">
        <f>G8*F8</f>
        <v>1456</v>
      </c>
      <c r="I8" s="15">
        <f>VLOOKUP(B8,Ordering!$A$1:$J$83,6,FALSE)</f>
        <v>1</v>
      </c>
      <c r="J8" s="15">
        <f>VLOOKUP(B8,Ordering!$A$1:$J$83,10,FALSE)</f>
        <v>9.1666666666666679</v>
      </c>
      <c r="K8" s="23">
        <f t="shared" si="0"/>
        <v>1.456</v>
      </c>
      <c r="L8" s="92">
        <f t="shared" si="1"/>
        <v>13.346666666666668</v>
      </c>
      <c r="N8" s="2">
        <v>1600</v>
      </c>
      <c r="V8" s="86" t="s">
        <v>193</v>
      </c>
      <c r="W8" s="87">
        <v>1</v>
      </c>
      <c r="X8" s="86" t="s">
        <v>14</v>
      </c>
      <c r="Y8" s="88">
        <f>SUM(L5:L8)/S15</f>
        <v>0.71313266666666664</v>
      </c>
    </row>
    <row r="9" spans="1:25" ht="14.75" customHeight="1" thickTop="1"/>
    <row r="10" spans="1:25">
      <c r="R10" s="163" t="s">
        <v>83</v>
      </c>
      <c r="S10" s="164"/>
    </row>
    <row r="11" spans="1:25">
      <c r="R11" s="163" t="s">
        <v>18</v>
      </c>
      <c r="S11" s="164"/>
    </row>
    <row r="12" spans="1:25" ht="14.75" customHeight="1">
      <c r="R12" s="5" t="s">
        <v>19</v>
      </c>
      <c r="S12" s="5" t="s">
        <v>20</v>
      </c>
    </row>
    <row r="13" spans="1:25" ht="14.75" customHeight="1">
      <c r="R13" s="5" t="s">
        <v>21</v>
      </c>
      <c r="S13" s="47">
        <f>V1</f>
        <v>89</v>
      </c>
    </row>
    <row r="14" spans="1:25" ht="14.75" customHeight="1">
      <c r="R14" s="5" t="s">
        <v>22</v>
      </c>
      <c r="S14" s="14">
        <v>2</v>
      </c>
    </row>
    <row r="15" spans="1:25">
      <c r="R15" s="5" t="s">
        <v>23</v>
      </c>
      <c r="S15" s="48">
        <f>S13+S14</f>
        <v>91</v>
      </c>
    </row>
    <row r="16" spans="1:25">
      <c r="R16" s="89" t="s">
        <v>14</v>
      </c>
      <c r="S16" s="90">
        <f>SUM(L5:L8)</f>
        <v>64.895072666666664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3">
    <tabColor theme="9" tint="-0.249977111117893"/>
    <pageSetUpPr fitToPage="1"/>
  </sheetPr>
  <dimension ref="A1:Y16"/>
  <sheetViews>
    <sheetView topLeftCell="J1" zoomScale="70" zoomScaleNormal="70" zoomScaleSheetLayoutView="100" workbookViewId="0">
      <selection activeCell="S14" sqref="S14"/>
    </sheetView>
  </sheetViews>
  <sheetFormatPr defaultRowHeight="14.3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7.64453125" customWidth="1"/>
    <col min="19" max="19" width="8.468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171</v>
      </c>
      <c r="G1" s="4"/>
      <c r="H1" s="38" t="s">
        <v>2</v>
      </c>
      <c r="I1" s="13">
        <f>F1/B1</f>
        <v>171</v>
      </c>
      <c r="J1" s="4"/>
      <c r="K1" s="38"/>
      <c r="U1" s="123" t="s">
        <v>206</v>
      </c>
      <c r="V1" s="121">
        <v>169</v>
      </c>
    </row>
    <row r="2" spans="1:25" ht="14.25" customHeight="1">
      <c r="A2" s="42"/>
      <c r="B2" s="161" t="s">
        <v>37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79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30</v>
      </c>
      <c r="B5" s="15" t="s">
        <v>100</v>
      </c>
      <c r="C5" s="26" t="s">
        <v>15</v>
      </c>
      <c r="D5" s="20">
        <f t="shared" ref="D5:D12" si="0">N5/70</f>
        <v>0.2</v>
      </c>
      <c r="E5" s="17">
        <f t="shared" ref="E5:E12" si="1">$I$1</f>
        <v>171</v>
      </c>
      <c r="F5" s="18">
        <v>1</v>
      </c>
      <c r="G5" s="17">
        <f t="shared" ref="G5:G12" si="2">E5*D5</f>
        <v>34.200000000000003</v>
      </c>
      <c r="H5" s="80">
        <f t="shared" ref="H5:H12" si="3">G5*F5</f>
        <v>34.200000000000003</v>
      </c>
      <c r="I5" s="15">
        <f>VLOOKUP(B5,Ordering!$A$1:$J$83,6,FALSE)</f>
        <v>1</v>
      </c>
      <c r="J5" s="15">
        <f>VLOOKUP(B5,Ordering!$A$1:$J$83,10,FALSE)</f>
        <v>0.43333333333333335</v>
      </c>
      <c r="K5" s="15">
        <f>H5/I5</f>
        <v>34.200000000000003</v>
      </c>
      <c r="L5" s="92">
        <f t="shared" ref="L5:L12" si="4">J5*K5</f>
        <v>14.820000000000002</v>
      </c>
      <c r="N5" s="3">
        <v>14</v>
      </c>
    </row>
    <row r="6" spans="1:25" ht="15" customHeight="1" thickTop="1" thickBot="1">
      <c r="A6" s="15" t="s">
        <v>47</v>
      </c>
      <c r="B6" s="15" t="s">
        <v>126</v>
      </c>
      <c r="C6" s="26" t="s">
        <v>17</v>
      </c>
      <c r="D6" s="20">
        <f t="shared" si="0"/>
        <v>11.785714285714286</v>
      </c>
      <c r="E6" s="17">
        <f t="shared" si="1"/>
        <v>171</v>
      </c>
      <c r="F6" s="18">
        <v>1</v>
      </c>
      <c r="G6" s="17">
        <f t="shared" si="2"/>
        <v>2015.3571428571429</v>
      </c>
      <c r="H6" s="80">
        <f t="shared" si="3"/>
        <v>2015.3571428571429</v>
      </c>
      <c r="I6" s="15">
        <f>VLOOKUP(B6,Ordering!$A$1:$J$83,6,FALSE)</f>
        <v>1</v>
      </c>
      <c r="J6" s="15">
        <f>VLOOKUP(B6,Ordering!$A$1:$J$83,10,FALSE)</f>
        <v>5.882352941176471</v>
      </c>
      <c r="K6" s="23">
        <f t="shared" ref="K6:K12" si="5">((H6/(I6))/1000)</f>
        <v>2.0153571428571428</v>
      </c>
      <c r="L6" s="92">
        <f t="shared" si="4"/>
        <v>11.855042016806724</v>
      </c>
      <c r="N6" s="3">
        <v>825</v>
      </c>
    </row>
    <row r="7" spans="1:25" ht="15" customHeight="1" thickTop="1" thickBot="1">
      <c r="A7" s="15" t="s">
        <v>46</v>
      </c>
      <c r="B7" s="15" t="s">
        <v>247</v>
      </c>
      <c r="C7" s="26" t="s">
        <v>17</v>
      </c>
      <c r="D7" s="20">
        <f t="shared" si="0"/>
        <v>9.0714285714285712</v>
      </c>
      <c r="E7" s="17">
        <f t="shared" si="1"/>
        <v>171</v>
      </c>
      <c r="F7" s="18">
        <v>1</v>
      </c>
      <c r="G7" s="17">
        <f t="shared" si="2"/>
        <v>1551.2142857142858</v>
      </c>
      <c r="H7" s="80">
        <f t="shared" si="3"/>
        <v>1551.2142857142858</v>
      </c>
      <c r="I7" s="15">
        <f>VLOOKUP(B7,Ordering!$A$1:$J$83,6,FALSE)</f>
        <v>1</v>
      </c>
      <c r="J7" s="15">
        <f>VLOOKUP(B7,Ordering!$A$1:$J$83,10,FALSE)</f>
        <v>2.7</v>
      </c>
      <c r="K7" s="23">
        <f t="shared" si="5"/>
        <v>1.5512142857142859</v>
      </c>
      <c r="L7" s="92">
        <f t="shared" si="4"/>
        <v>4.1882785714285724</v>
      </c>
      <c r="N7" s="3">
        <v>635</v>
      </c>
    </row>
    <row r="8" spans="1:25" ht="15" customHeight="1" thickTop="1" thickBot="1">
      <c r="A8" s="15" t="s">
        <v>30</v>
      </c>
      <c r="B8" s="15" t="s">
        <v>107</v>
      </c>
      <c r="C8" s="26" t="s">
        <v>17</v>
      </c>
      <c r="D8" s="20">
        <f t="shared" si="0"/>
        <v>11.785714285714286</v>
      </c>
      <c r="E8" s="17">
        <f t="shared" si="1"/>
        <v>171</v>
      </c>
      <c r="F8" s="18">
        <v>1</v>
      </c>
      <c r="G8" s="17">
        <f t="shared" si="2"/>
        <v>2015.3571428571429</v>
      </c>
      <c r="H8" s="80">
        <f t="shared" si="3"/>
        <v>2015.3571428571429</v>
      </c>
      <c r="I8" s="15">
        <f>VLOOKUP(B8,Ordering!$A$1:$J$83,6,FALSE)</f>
        <v>1</v>
      </c>
      <c r="J8" s="15">
        <f>VLOOKUP(B8,Ordering!$A$1:$J$83,10,FALSE)</f>
        <v>14</v>
      </c>
      <c r="K8" s="23">
        <f t="shared" si="5"/>
        <v>2.0153571428571428</v>
      </c>
      <c r="L8" s="92">
        <f t="shared" si="4"/>
        <v>28.215</v>
      </c>
      <c r="N8" s="3">
        <v>825</v>
      </c>
      <c r="V8" s="86" t="s">
        <v>193</v>
      </c>
      <c r="W8" s="87">
        <v>1</v>
      </c>
      <c r="X8" s="86" t="s">
        <v>14</v>
      </c>
      <c r="Y8" s="88">
        <f>SUM(L5:L12)/S15</f>
        <v>0.51451781045751643</v>
      </c>
    </row>
    <row r="9" spans="1:25" ht="15" customHeight="1" thickTop="1" thickBot="1">
      <c r="A9" s="15" t="s">
        <v>48</v>
      </c>
      <c r="B9" s="15" t="s">
        <v>257</v>
      </c>
      <c r="C9" s="26" t="s">
        <v>17</v>
      </c>
      <c r="D9" s="20">
        <f t="shared" si="0"/>
        <v>15.357142857142858</v>
      </c>
      <c r="E9" s="17">
        <f t="shared" si="1"/>
        <v>171</v>
      </c>
      <c r="F9" s="18">
        <v>1</v>
      </c>
      <c r="G9" s="17">
        <f t="shared" si="2"/>
        <v>2626.0714285714284</v>
      </c>
      <c r="H9" s="80">
        <f t="shared" si="3"/>
        <v>2626.0714285714284</v>
      </c>
      <c r="I9" s="15">
        <f>VLOOKUP(B9,Ordering!$A$1:$J$83,6,FALSE)</f>
        <v>1</v>
      </c>
      <c r="J9" s="15">
        <f>VLOOKUP(B9,Ordering!$A$1:$J$83,10,FALSE)</f>
        <v>5</v>
      </c>
      <c r="K9" s="23">
        <f t="shared" si="5"/>
        <v>2.6260714285714286</v>
      </c>
      <c r="L9" s="92">
        <f t="shared" si="4"/>
        <v>13.130357142857143</v>
      </c>
      <c r="N9" s="3">
        <v>1075</v>
      </c>
    </row>
    <row r="10" spans="1:25" ht="15" customHeight="1" thickTop="1" thickBot="1">
      <c r="A10" s="15" t="s">
        <v>47</v>
      </c>
      <c r="B10" s="15" t="s">
        <v>235</v>
      </c>
      <c r="C10" s="26" t="s">
        <v>17</v>
      </c>
      <c r="D10" s="20">
        <f t="shared" si="0"/>
        <v>0.35714285714285715</v>
      </c>
      <c r="E10" s="17">
        <f t="shared" si="1"/>
        <v>171</v>
      </c>
      <c r="F10" s="18">
        <v>1</v>
      </c>
      <c r="G10" s="17">
        <f t="shared" si="2"/>
        <v>61.071428571428569</v>
      </c>
      <c r="H10" s="80">
        <f t="shared" si="3"/>
        <v>61.071428571428569</v>
      </c>
      <c r="I10" s="15">
        <f>VLOOKUP(B10,Ordering!$A$1:$J$83,6,FALSE)</f>
        <v>1</v>
      </c>
      <c r="J10" s="15">
        <f>VLOOKUP(B10,Ordering!$A$1:$J$83,10,FALSE)</f>
        <v>7.9</v>
      </c>
      <c r="K10" s="23">
        <f t="shared" si="5"/>
        <v>6.1071428571428568E-2</v>
      </c>
      <c r="L10" s="92">
        <f t="shared" si="4"/>
        <v>0.48246428571428573</v>
      </c>
      <c r="N10" s="3">
        <v>25</v>
      </c>
      <c r="R10" s="163" t="s">
        <v>80</v>
      </c>
      <c r="S10" s="164"/>
    </row>
    <row r="11" spans="1:25" ht="15" customHeight="1" thickTop="1" thickBot="1">
      <c r="A11" s="15" t="s">
        <v>47</v>
      </c>
      <c r="B11" s="15" t="s">
        <v>232</v>
      </c>
      <c r="C11" s="26" t="s">
        <v>17</v>
      </c>
      <c r="D11" s="20">
        <f t="shared" si="0"/>
        <v>0.35714285714285715</v>
      </c>
      <c r="E11" s="17">
        <f t="shared" si="1"/>
        <v>171</v>
      </c>
      <c r="F11" s="18">
        <v>1</v>
      </c>
      <c r="G11" s="17">
        <f t="shared" si="2"/>
        <v>61.071428571428569</v>
      </c>
      <c r="H11" s="80">
        <f t="shared" si="3"/>
        <v>61.071428571428569</v>
      </c>
      <c r="I11" s="15">
        <f>VLOOKUP(B11,Ordering!$A$1:$J$83,6,FALSE)</f>
        <v>1</v>
      </c>
      <c r="J11" s="15">
        <f>VLOOKUP(B11,Ordering!$A$1:$J$83,10,FALSE)</f>
        <v>24.305555555555557</v>
      </c>
      <c r="K11" s="23">
        <f t="shared" si="5"/>
        <v>6.1071428571428568E-2</v>
      </c>
      <c r="L11" s="92">
        <f t="shared" si="4"/>
        <v>1.484375</v>
      </c>
      <c r="N11" s="3">
        <v>25</v>
      </c>
      <c r="R11" s="163" t="s">
        <v>18</v>
      </c>
      <c r="S11" s="164"/>
    </row>
    <row r="12" spans="1:25" ht="15" customHeight="1" thickTop="1" thickBot="1">
      <c r="A12" s="15" t="s">
        <v>30</v>
      </c>
      <c r="B12" s="15" t="s">
        <v>224</v>
      </c>
      <c r="C12" s="26" t="s">
        <v>17</v>
      </c>
      <c r="D12" s="20">
        <f t="shared" si="0"/>
        <v>7.1428571428571432</v>
      </c>
      <c r="E12" s="17">
        <f t="shared" si="1"/>
        <v>171</v>
      </c>
      <c r="F12" s="18">
        <v>1</v>
      </c>
      <c r="G12" s="17">
        <f t="shared" si="2"/>
        <v>1221.4285714285716</v>
      </c>
      <c r="H12" s="80">
        <f t="shared" si="3"/>
        <v>1221.4285714285716</v>
      </c>
      <c r="I12" s="15">
        <f>VLOOKUP(B12,Ordering!$A$1:$J$83,6,FALSE)</f>
        <v>1</v>
      </c>
      <c r="J12" s="15">
        <f>VLOOKUP(B12,Ordering!$A$1:$J$83,10,FALSE)</f>
        <v>11.304</v>
      </c>
      <c r="K12" s="23">
        <f t="shared" si="5"/>
        <v>1.2214285714285715</v>
      </c>
      <c r="L12" s="92">
        <f t="shared" si="4"/>
        <v>13.807028571428573</v>
      </c>
      <c r="N12" s="3">
        <v>500</v>
      </c>
      <c r="R12" s="5" t="s">
        <v>19</v>
      </c>
      <c r="S12" s="5" t="s">
        <v>20</v>
      </c>
    </row>
    <row r="13" spans="1:25" ht="15" customHeight="1" thickTop="1">
      <c r="R13" s="5" t="s">
        <v>21</v>
      </c>
      <c r="S13" s="47">
        <f>V1</f>
        <v>169</v>
      </c>
    </row>
    <row r="14" spans="1:25" ht="14.75" customHeight="1">
      <c r="R14" s="5" t="s">
        <v>22</v>
      </c>
      <c r="S14" s="14">
        <v>2</v>
      </c>
    </row>
    <row r="15" spans="1:25">
      <c r="R15" s="5" t="s">
        <v>23</v>
      </c>
      <c r="S15" s="48">
        <f>S13+S14</f>
        <v>171</v>
      </c>
    </row>
    <row r="16" spans="1:25">
      <c r="R16" s="89" t="s">
        <v>14</v>
      </c>
      <c r="S16" s="90">
        <f>SUM(L5:L12)</f>
        <v>87.982545588235311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theme="9" tint="-0.249977111117893"/>
    <pageSetUpPr fitToPage="1"/>
  </sheetPr>
  <dimension ref="A1:Y16"/>
  <sheetViews>
    <sheetView topLeftCell="R1" zoomScale="70" zoomScaleNormal="70" zoomScaleSheetLayoutView="100" workbookViewId="0">
      <selection activeCell="S14" sqref="S14"/>
    </sheetView>
  </sheetViews>
  <sheetFormatPr defaultRowHeight="14.35"/>
  <cols>
    <col min="1" max="1" width="17.64453125" bestFit="1" customWidth="1"/>
    <col min="2" max="2" width="31.4687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27.64453125" customWidth="1"/>
    <col min="19" max="19" width="8.468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293.82</v>
      </c>
      <c r="G1" s="4"/>
      <c r="H1" s="38" t="s">
        <v>2</v>
      </c>
      <c r="I1" s="13">
        <f>F1/B1</f>
        <v>293.82</v>
      </c>
      <c r="J1" s="4"/>
      <c r="K1" s="38"/>
      <c r="U1" s="123" t="s">
        <v>206</v>
      </c>
      <c r="V1" s="121">
        <v>293</v>
      </c>
    </row>
    <row r="2" spans="1:25" ht="14.25" customHeight="1">
      <c r="A2" s="42"/>
      <c r="B2" s="161" t="s">
        <v>32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82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27</v>
      </c>
      <c r="B5" s="15" t="s">
        <v>242</v>
      </c>
      <c r="C5" s="24" t="s">
        <v>17</v>
      </c>
      <c r="D5" s="20">
        <f>N5/96</f>
        <v>12.5</v>
      </c>
      <c r="E5" s="17">
        <f>$I$1</f>
        <v>293.82</v>
      </c>
      <c r="F5" s="18">
        <v>1</v>
      </c>
      <c r="G5" s="17">
        <f>E5*D5</f>
        <v>3672.75</v>
      </c>
      <c r="H5" s="80">
        <f>G5*F5</f>
        <v>3672.75</v>
      </c>
      <c r="I5" s="15">
        <f>VLOOKUP(B5,Ordering!$A$1:$J$83,6,FALSE)</f>
        <v>1</v>
      </c>
      <c r="J5" s="23">
        <f>VLOOKUP(B5,Ordering!$A$1:$J$83,10,FALSE)</f>
        <v>9.1666666666666679</v>
      </c>
      <c r="K5" s="20">
        <f t="shared" ref="K5:K9" si="0">((H5/(I5))/1000)</f>
        <v>3.6727500000000002</v>
      </c>
      <c r="L5" s="92">
        <f t="shared" ref="L5:L9" si="1">J5*K5</f>
        <v>33.666875000000005</v>
      </c>
      <c r="N5" s="3">
        <v>1200</v>
      </c>
    </row>
    <row r="6" spans="1:25" ht="15" customHeight="1" thickTop="1" thickBot="1">
      <c r="A6" s="15" t="s">
        <v>30</v>
      </c>
      <c r="B6" s="15" t="s">
        <v>104</v>
      </c>
      <c r="C6" s="24" t="s">
        <v>17</v>
      </c>
      <c r="D6" s="21">
        <f>N6/96</f>
        <v>2.0833333333333335</v>
      </c>
      <c r="E6" s="17">
        <f>$I$1</f>
        <v>293.82</v>
      </c>
      <c r="F6" s="18">
        <v>1</v>
      </c>
      <c r="G6" s="17">
        <f>E6*D6</f>
        <v>612.125</v>
      </c>
      <c r="H6" s="80">
        <f>G6*F6</f>
        <v>612.125</v>
      </c>
      <c r="I6" s="15">
        <f>VLOOKUP(B6,Ordering!$A$1:$J$83,6,FALSE)</f>
        <v>1</v>
      </c>
      <c r="J6" s="23">
        <f>VLOOKUP(B6,Ordering!$A$1:$J$83,10,FALSE)</f>
        <v>30</v>
      </c>
      <c r="K6" s="20">
        <f t="shared" si="0"/>
        <v>0.61212500000000003</v>
      </c>
      <c r="L6" s="92">
        <f t="shared" si="1"/>
        <v>18.36375</v>
      </c>
      <c r="N6" s="3">
        <v>200</v>
      </c>
    </row>
    <row r="7" spans="1:25" ht="15" customHeight="1" thickTop="1" thickBot="1">
      <c r="A7" s="15" t="s">
        <v>30</v>
      </c>
      <c r="B7" s="15" t="s">
        <v>105</v>
      </c>
      <c r="C7" s="24" t="s">
        <v>17</v>
      </c>
      <c r="D7" s="21">
        <f>N7/96</f>
        <v>15.625</v>
      </c>
      <c r="E7" s="17">
        <f>$I$1</f>
        <v>293.82</v>
      </c>
      <c r="F7" s="18">
        <v>1</v>
      </c>
      <c r="G7" s="17">
        <f>E7*D7</f>
        <v>4590.9375</v>
      </c>
      <c r="H7" s="80">
        <f>G7*F7</f>
        <v>4590.9375</v>
      </c>
      <c r="I7" s="15">
        <f>VLOOKUP(B7,Ordering!$A$1:$J$83,6,FALSE)</f>
        <v>1</v>
      </c>
      <c r="J7" s="23">
        <f>VLOOKUP(B7,Ordering!$A$1:$J$83,10,FALSE)</f>
        <v>13.545454545454545</v>
      </c>
      <c r="K7" s="20">
        <f t="shared" si="0"/>
        <v>4.5909374999999999</v>
      </c>
      <c r="L7" s="92">
        <f t="shared" si="1"/>
        <v>62.186335227272721</v>
      </c>
      <c r="N7" s="3">
        <v>1500</v>
      </c>
    </row>
    <row r="8" spans="1:25" ht="15" customHeight="1" thickTop="1" thickBot="1">
      <c r="A8" s="15" t="s">
        <v>30</v>
      </c>
      <c r="B8" s="15" t="s">
        <v>228</v>
      </c>
      <c r="C8" s="24" t="s">
        <v>17</v>
      </c>
      <c r="D8" s="21">
        <f>N8/96</f>
        <v>4.166666666666667</v>
      </c>
      <c r="E8" s="17">
        <f>$I$1</f>
        <v>293.82</v>
      </c>
      <c r="F8" s="18">
        <v>1</v>
      </c>
      <c r="G8" s="17">
        <f>E8*D8</f>
        <v>1224.25</v>
      </c>
      <c r="H8" s="80">
        <f>G8*F8</f>
        <v>1224.25</v>
      </c>
      <c r="I8" s="15">
        <f>VLOOKUP(B8,Ordering!$A$1:$J$83,6,FALSE)</f>
        <v>1</v>
      </c>
      <c r="J8" s="23">
        <f>VLOOKUP(B8,Ordering!$A$1:$J$83,10,FALSE)</f>
        <v>14.2</v>
      </c>
      <c r="K8" s="20">
        <f t="shared" si="0"/>
        <v>1.2242500000000001</v>
      </c>
      <c r="L8" s="92">
        <f t="shared" si="1"/>
        <v>17.384350000000001</v>
      </c>
      <c r="N8" s="3">
        <v>400</v>
      </c>
      <c r="V8" s="86" t="s">
        <v>193</v>
      </c>
      <c r="W8" s="87">
        <v>1</v>
      </c>
      <c r="X8" s="86" t="s">
        <v>14</v>
      </c>
      <c r="Y8" s="88">
        <f>SUM(L5:L9)/S15</f>
        <v>0.8211616161616162</v>
      </c>
    </row>
    <row r="9" spans="1:25" ht="15" customHeight="1" thickTop="1" thickBot="1">
      <c r="A9" s="15" t="s">
        <v>50</v>
      </c>
      <c r="B9" s="15" t="s">
        <v>245</v>
      </c>
      <c r="C9" s="24" t="s">
        <v>17</v>
      </c>
      <c r="D9" s="21">
        <f>N9/96</f>
        <v>10.416666666666666</v>
      </c>
      <c r="E9" s="17">
        <f>$I$1</f>
        <v>293.82</v>
      </c>
      <c r="F9" s="18">
        <v>1</v>
      </c>
      <c r="G9" s="17">
        <f>E9*D9</f>
        <v>3060.6249999999995</v>
      </c>
      <c r="H9" s="80">
        <f>G9*F9</f>
        <v>3060.6249999999995</v>
      </c>
      <c r="I9" s="15">
        <f>VLOOKUP(B9,Ordering!$A$1:$J$83,6,FALSE)</f>
        <v>1</v>
      </c>
      <c r="J9" s="23">
        <f>VLOOKUP(B9,Ordering!$A$1:$J$83,10,FALSE)</f>
        <v>35.833333333333336</v>
      </c>
      <c r="K9" s="20">
        <f t="shared" si="0"/>
        <v>3.0606249999999995</v>
      </c>
      <c r="L9" s="92">
        <f t="shared" si="1"/>
        <v>109.67239583333333</v>
      </c>
      <c r="N9" s="3">
        <v>1000</v>
      </c>
    </row>
    <row r="10" spans="1:25" ht="14.75" customHeight="1" thickTop="1">
      <c r="R10" s="163" t="s">
        <v>81</v>
      </c>
      <c r="S10" s="164"/>
    </row>
    <row r="11" spans="1:25">
      <c r="R11" s="163" t="s">
        <v>18</v>
      </c>
      <c r="S11" s="164"/>
    </row>
    <row r="12" spans="1:25" ht="14.75" customHeight="1">
      <c r="R12" s="5" t="s">
        <v>19</v>
      </c>
      <c r="S12" s="5" t="s">
        <v>20</v>
      </c>
    </row>
    <row r="13" spans="1:25" ht="14.75" customHeight="1">
      <c r="R13" s="5" t="s">
        <v>21</v>
      </c>
      <c r="S13" s="47">
        <f>V1</f>
        <v>293</v>
      </c>
    </row>
    <row r="14" spans="1:25" ht="14.75" customHeight="1">
      <c r="R14" s="5" t="s">
        <v>22</v>
      </c>
      <c r="S14" s="14">
        <v>0.82</v>
      </c>
    </row>
    <row r="15" spans="1:25">
      <c r="R15" s="5" t="s">
        <v>23</v>
      </c>
      <c r="S15" s="48">
        <f>S13+S14</f>
        <v>293.82</v>
      </c>
    </row>
    <row r="16" spans="1:25">
      <c r="R16" s="89" t="s">
        <v>14</v>
      </c>
      <c r="S16" s="90">
        <f>SUM(L5:L9)</f>
        <v>241.27370606060606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7BCC6-24C0-4A99-BCD8-EC3A65103E97}">
  <sheetPr codeName="Sheet39">
    <tabColor theme="9" tint="-0.249977111117893"/>
    <pageSetUpPr fitToPage="1"/>
  </sheetPr>
  <dimension ref="A1:X16"/>
  <sheetViews>
    <sheetView topLeftCell="I1" zoomScale="55" zoomScaleNormal="55" zoomScaleSheetLayoutView="100" workbookViewId="0">
      <selection activeCell="S14" sqref="S14"/>
    </sheetView>
  </sheetViews>
  <sheetFormatPr defaultRowHeight="14.35"/>
  <cols>
    <col min="1" max="1" width="23.05859375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2" max="12" width="20.9375" bestFit="1" customWidth="1"/>
    <col min="18" max="18" width="19.05859375" customWidth="1"/>
    <col min="19" max="19" width="15.937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39</v>
      </c>
      <c r="G1" s="4"/>
      <c r="H1" s="38" t="s">
        <v>2</v>
      </c>
      <c r="I1" s="13">
        <f>F1/B1</f>
        <v>39</v>
      </c>
      <c r="J1" s="4"/>
      <c r="K1" s="38"/>
      <c r="U1" s="123" t="s">
        <v>206</v>
      </c>
      <c r="V1" s="121">
        <v>34</v>
      </c>
    </row>
    <row r="2" spans="1:24" ht="14.25" customHeight="1">
      <c r="A2" s="42"/>
      <c r="B2" s="161"/>
      <c r="C2" s="161"/>
      <c r="D2" s="161"/>
      <c r="E2" s="161"/>
      <c r="F2" s="161"/>
      <c r="G2" s="161"/>
      <c r="H2" s="161"/>
      <c r="I2" s="41"/>
      <c r="J2" s="43"/>
      <c r="K2" s="42"/>
    </row>
    <row r="3" spans="1:24" ht="14.25" customHeight="1">
      <c r="A3" s="46"/>
      <c r="B3" s="162" t="s">
        <v>188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4" ht="39.7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4" ht="15" customHeight="1">
      <c r="A5" s="14"/>
      <c r="B5" s="15" t="s">
        <v>190</v>
      </c>
      <c r="C5" s="14" t="s">
        <v>17</v>
      </c>
      <c r="D5" s="20">
        <v>6.5</v>
      </c>
      <c r="E5" s="17">
        <f t="shared" ref="E5:E7" si="0">$I$1</f>
        <v>39</v>
      </c>
      <c r="F5" s="18">
        <v>1</v>
      </c>
      <c r="G5" s="17">
        <f t="shared" ref="G5:G7" si="1">E5*D5</f>
        <v>253.5</v>
      </c>
      <c r="H5" s="80">
        <f t="shared" ref="H5:H7" si="2">G5*F5</f>
        <v>253.5</v>
      </c>
      <c r="I5" s="14">
        <f>VLOOKUP(B5,Ordering!$A$1:$J$83,6,FALSE)</f>
        <v>1</v>
      </c>
      <c r="J5" s="92">
        <f>VLOOKUP(B5,Ordering!$A$1:$J$83,10,FALSE)</f>
        <v>40</v>
      </c>
      <c r="K5" s="23">
        <f t="shared" ref="K5:K7" si="3">((H5/(I5))/1000)</f>
        <v>0.2535</v>
      </c>
      <c r="L5" s="92">
        <f t="shared" ref="L5:L7" si="4">J5*K5</f>
        <v>10.14</v>
      </c>
    </row>
    <row r="6" spans="1:24" ht="15" customHeight="1">
      <c r="A6" s="14"/>
      <c r="B6" s="15" t="s">
        <v>200</v>
      </c>
      <c r="C6" s="14" t="s">
        <v>17</v>
      </c>
      <c r="D6" s="20">
        <v>12.4</v>
      </c>
      <c r="E6" s="17">
        <f t="shared" si="0"/>
        <v>39</v>
      </c>
      <c r="F6" s="18">
        <v>1</v>
      </c>
      <c r="G6" s="17">
        <f t="shared" si="1"/>
        <v>483.6</v>
      </c>
      <c r="H6" s="111">
        <f t="shared" si="2"/>
        <v>483.6</v>
      </c>
      <c r="I6" s="106">
        <f>VLOOKUP(B6,Ordering!$A$1:$J$83,6,FALSE)</f>
        <v>1</v>
      </c>
      <c r="J6" s="106">
        <f>VLOOKUP(B6,Ordering!$A$1:$J$83,10,FALSE)</f>
        <v>51</v>
      </c>
      <c r="K6" s="96">
        <f t="shared" si="3"/>
        <v>0.48360000000000003</v>
      </c>
      <c r="L6" s="95">
        <f t="shared" si="4"/>
        <v>24.663600000000002</v>
      </c>
    </row>
    <row r="7" spans="1:24" ht="15" customHeight="1">
      <c r="A7" s="14"/>
      <c r="B7" s="15" t="s">
        <v>241</v>
      </c>
      <c r="C7" s="14" t="s">
        <v>17</v>
      </c>
      <c r="D7" s="20">
        <v>5</v>
      </c>
      <c r="E7" s="17">
        <f t="shared" si="0"/>
        <v>39</v>
      </c>
      <c r="F7" s="18">
        <v>1</v>
      </c>
      <c r="G7" s="17">
        <f t="shared" si="1"/>
        <v>195</v>
      </c>
      <c r="H7" s="111">
        <f t="shared" si="2"/>
        <v>195</v>
      </c>
      <c r="I7" s="106">
        <f>VLOOKUP(B7,Ordering!$A$1:$J$83,6,FALSE)</f>
        <v>1</v>
      </c>
      <c r="J7" s="106">
        <f>VLOOKUP(B7,Ordering!$A$1:$J$83,10,FALSE)</f>
        <v>41</v>
      </c>
      <c r="K7" s="96">
        <f t="shared" si="3"/>
        <v>0.19500000000000001</v>
      </c>
      <c r="L7" s="95">
        <f t="shared" si="4"/>
        <v>7.9950000000000001</v>
      </c>
    </row>
    <row r="8" spans="1:24" ht="15" customHeight="1">
      <c r="U8" s="86" t="s">
        <v>193</v>
      </c>
      <c r="V8" s="87">
        <v>1</v>
      </c>
      <c r="W8" s="86" t="s">
        <v>14</v>
      </c>
      <c r="X8" s="88">
        <f>SUM(L5:L7)/S15</f>
        <v>1.0973999999999999</v>
      </c>
    </row>
    <row r="9" spans="1:24" ht="15" customHeight="1"/>
    <row r="10" spans="1:24" ht="15" customHeight="1">
      <c r="R10" s="163" t="s">
        <v>188</v>
      </c>
      <c r="S10" s="164"/>
    </row>
    <row r="11" spans="1:24" ht="15" customHeight="1">
      <c r="R11" s="163" t="s">
        <v>189</v>
      </c>
      <c r="S11" s="164"/>
    </row>
    <row r="12" spans="1:24" ht="15" customHeight="1">
      <c r="R12" s="5" t="s">
        <v>19</v>
      </c>
      <c r="S12" s="5" t="s">
        <v>20</v>
      </c>
    </row>
    <row r="13" spans="1:24" ht="15" customHeight="1">
      <c r="R13" s="5" t="s">
        <v>21</v>
      </c>
      <c r="S13" s="47">
        <f>V1</f>
        <v>34</v>
      </c>
    </row>
    <row r="14" spans="1:24" ht="14.75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39</v>
      </c>
    </row>
    <row r="16" spans="1:24">
      <c r="R16" s="89" t="s">
        <v>14</v>
      </c>
      <c r="S16" s="90">
        <f>SUM(L5:L7)</f>
        <v>42.7986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38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7">
    <tabColor theme="8" tint="-0.249977111117893"/>
    <pageSetUpPr fitToPage="1"/>
  </sheetPr>
  <dimension ref="A1:Y16"/>
  <sheetViews>
    <sheetView topLeftCell="I1" zoomScale="70" zoomScaleNormal="70" zoomScaleSheetLayoutView="100" workbookViewId="0">
      <selection activeCell="S14" sqref="S14"/>
    </sheetView>
  </sheetViews>
  <sheetFormatPr defaultRowHeight="14.35"/>
  <cols>
    <col min="1" max="1" width="17.64453125" bestFit="1" customWidth="1"/>
    <col min="2" max="2" width="46.64453125" customWidth="1"/>
    <col min="3" max="3" width="17.41015625" customWidth="1"/>
    <col min="4" max="4" width="14.46875" bestFit="1" customWidth="1"/>
    <col min="5" max="5" width="14.3515625" bestFit="1" customWidth="1"/>
    <col min="6" max="6" width="12.3515625" customWidth="1"/>
    <col min="8" max="8" width="29.8203125" bestFit="1" customWidth="1"/>
    <col min="10" max="10" width="14.41015625" customWidth="1"/>
    <col min="12" max="12" width="4.46875" bestFit="1" customWidth="1"/>
    <col min="13" max="13" width="3.41015625" customWidth="1"/>
    <col min="14" max="14" width="7.3515625" customWidth="1"/>
    <col min="15" max="17" width="3.41015625" customWidth="1"/>
    <col min="18" max="18" width="24.05859375" customWidth="1"/>
    <col min="19" max="19" width="14.8203125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120</v>
      </c>
      <c r="G1" s="4"/>
      <c r="H1" s="38" t="s">
        <v>2</v>
      </c>
      <c r="I1" s="13">
        <f>F1/B1</f>
        <v>120</v>
      </c>
      <c r="J1" s="4"/>
      <c r="K1" s="38"/>
      <c r="U1" s="123" t="s">
        <v>206</v>
      </c>
      <c r="V1" s="121">
        <v>118</v>
      </c>
    </row>
    <row r="2" spans="1:25" ht="14.25" customHeight="1">
      <c r="A2" s="42"/>
      <c r="B2" s="161" t="s">
        <v>41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88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53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30</v>
      </c>
      <c r="B5" s="15" t="s">
        <v>225</v>
      </c>
      <c r="C5" s="15" t="s">
        <v>17</v>
      </c>
      <c r="D5" s="20">
        <f t="shared" ref="D5:D14" si="0">N5/50</f>
        <v>8</v>
      </c>
      <c r="E5" s="17">
        <f t="shared" ref="E5:E14" si="1">$I$1</f>
        <v>120</v>
      </c>
      <c r="F5" s="18">
        <v>1</v>
      </c>
      <c r="G5" s="17">
        <f t="shared" ref="G5:G14" si="2">E5*D5</f>
        <v>960</v>
      </c>
      <c r="H5" s="80">
        <f t="shared" ref="H5:H14" si="3">G5*F5</f>
        <v>960</v>
      </c>
      <c r="I5" s="15">
        <f>VLOOKUP(B5,Ordering!$A$1:$J$83,6,FALSE)</f>
        <v>1</v>
      </c>
      <c r="J5" s="15">
        <f>VLOOKUP(B5,Ordering!$A$1:$J$83,10,FALSE)</f>
        <v>34.848484848484851</v>
      </c>
      <c r="K5" s="23">
        <f t="shared" ref="K5:K11" si="4">((H5/(I5))/1000)</f>
        <v>0.96</v>
      </c>
      <c r="L5" s="92">
        <f t="shared" ref="L5:L14" si="5">J5*K5</f>
        <v>33.454545454545453</v>
      </c>
      <c r="N5" s="1">
        <v>400</v>
      </c>
    </row>
    <row r="6" spans="1:25" ht="15" customHeight="1" thickTop="1" thickBot="1">
      <c r="A6" s="15" t="s">
        <v>46</v>
      </c>
      <c r="B6" s="15" t="s">
        <v>248</v>
      </c>
      <c r="C6" s="15" t="s">
        <v>17</v>
      </c>
      <c r="D6" s="20">
        <f t="shared" si="0"/>
        <v>3</v>
      </c>
      <c r="E6" s="17">
        <f t="shared" si="1"/>
        <v>120</v>
      </c>
      <c r="F6" s="18">
        <v>1</v>
      </c>
      <c r="G6" s="17">
        <f t="shared" si="2"/>
        <v>360</v>
      </c>
      <c r="H6" s="80">
        <f t="shared" si="3"/>
        <v>360</v>
      </c>
      <c r="I6" s="15">
        <f>VLOOKUP(B6,Ordering!$A$1:$J$83,6,FALSE)</f>
        <v>1</v>
      </c>
      <c r="J6" s="15">
        <f>VLOOKUP(B6,Ordering!$A$1:$J$83,10,FALSE)</f>
        <v>3.3333333333333335</v>
      </c>
      <c r="K6" s="23">
        <f t="shared" si="4"/>
        <v>0.36</v>
      </c>
      <c r="L6" s="92">
        <f t="shared" si="5"/>
        <v>1.2</v>
      </c>
      <c r="N6" s="1">
        <v>150</v>
      </c>
    </row>
    <row r="7" spans="1:25" ht="15" customHeight="1" thickTop="1" thickBot="1">
      <c r="A7" s="15" t="s">
        <v>30</v>
      </c>
      <c r="B7" s="15" t="s">
        <v>227</v>
      </c>
      <c r="C7" s="15" t="s">
        <v>17</v>
      </c>
      <c r="D7" s="20">
        <f t="shared" si="0"/>
        <v>14</v>
      </c>
      <c r="E7" s="17">
        <f t="shared" si="1"/>
        <v>120</v>
      </c>
      <c r="F7" s="18">
        <v>1</v>
      </c>
      <c r="G7" s="17">
        <f t="shared" si="2"/>
        <v>1680</v>
      </c>
      <c r="H7" s="80">
        <f t="shared" si="3"/>
        <v>1680</v>
      </c>
      <c r="I7" s="15">
        <f>VLOOKUP(B7,Ordering!$A$1:$J$83,6,FALSE)</f>
        <v>1</v>
      </c>
      <c r="J7" s="15">
        <f>VLOOKUP(B7,Ordering!$A$1:$J$83,10,FALSE)</f>
        <v>10.833333333333334</v>
      </c>
      <c r="K7" s="23">
        <f t="shared" si="4"/>
        <v>1.68</v>
      </c>
      <c r="L7" s="92">
        <f t="shared" si="5"/>
        <v>18.2</v>
      </c>
      <c r="N7" s="1">
        <v>700</v>
      </c>
    </row>
    <row r="8" spans="1:25" ht="15" customHeight="1" thickTop="1" thickBot="1">
      <c r="A8" s="15" t="s">
        <v>49</v>
      </c>
      <c r="B8" s="15" t="s">
        <v>243</v>
      </c>
      <c r="C8" s="15" t="s">
        <v>17</v>
      </c>
      <c r="D8" s="20">
        <f t="shared" si="0"/>
        <v>2</v>
      </c>
      <c r="E8" s="17">
        <f t="shared" si="1"/>
        <v>120</v>
      </c>
      <c r="F8" s="18">
        <v>1</v>
      </c>
      <c r="G8" s="17">
        <f t="shared" si="2"/>
        <v>240</v>
      </c>
      <c r="H8" s="80">
        <f t="shared" si="3"/>
        <v>240</v>
      </c>
      <c r="I8" s="15">
        <f>VLOOKUP(B8,Ordering!$A$1:$J$83,6,FALSE)</f>
        <v>1</v>
      </c>
      <c r="J8" s="15">
        <f>VLOOKUP(B8,Ordering!$A$1:$J$83,10,FALSE)</f>
        <v>34.133333333333333</v>
      </c>
      <c r="K8" s="23">
        <f t="shared" si="4"/>
        <v>0.24</v>
      </c>
      <c r="L8" s="92">
        <f t="shared" si="5"/>
        <v>8.1920000000000002</v>
      </c>
      <c r="N8" s="1">
        <v>100</v>
      </c>
      <c r="V8" s="86" t="s">
        <v>193</v>
      </c>
      <c r="W8" s="87">
        <v>1</v>
      </c>
      <c r="X8" s="86" t="s">
        <v>14</v>
      </c>
      <c r="Y8" s="88">
        <f>SUM(L5:L14)/S15</f>
        <v>1.0527849376114082</v>
      </c>
    </row>
    <row r="9" spans="1:25" ht="15" customHeight="1" thickTop="1" thickBot="1">
      <c r="A9" s="15" t="s">
        <v>48</v>
      </c>
      <c r="B9" s="15" t="s">
        <v>254</v>
      </c>
      <c r="C9" s="15" t="s">
        <v>17</v>
      </c>
      <c r="D9" s="20">
        <f t="shared" si="0"/>
        <v>10</v>
      </c>
      <c r="E9" s="17">
        <f t="shared" si="1"/>
        <v>120</v>
      </c>
      <c r="F9" s="18">
        <v>1</v>
      </c>
      <c r="G9" s="17">
        <f t="shared" si="2"/>
        <v>1200</v>
      </c>
      <c r="H9" s="80">
        <f t="shared" si="3"/>
        <v>1200</v>
      </c>
      <c r="I9" s="15">
        <f>VLOOKUP(B9,Ordering!$A$1:$J$83,6,FALSE)</f>
        <v>1</v>
      </c>
      <c r="J9" s="15">
        <f>VLOOKUP(B9,Ordering!$A$1:$J$83,10,FALSE)</f>
        <v>9.3333333333333339</v>
      </c>
      <c r="K9" s="23">
        <f t="shared" si="4"/>
        <v>1.2</v>
      </c>
      <c r="L9" s="92">
        <f t="shared" si="5"/>
        <v>11.200000000000001</v>
      </c>
      <c r="N9" s="1">
        <v>500</v>
      </c>
    </row>
    <row r="10" spans="1:25" ht="15" customHeight="1" thickTop="1" thickBot="1">
      <c r="A10" s="14" t="s">
        <v>47</v>
      </c>
      <c r="B10" s="15" t="s">
        <v>106</v>
      </c>
      <c r="C10" s="15" t="s">
        <v>16</v>
      </c>
      <c r="D10" s="20">
        <f t="shared" si="0"/>
        <v>3</v>
      </c>
      <c r="E10" s="17">
        <f t="shared" si="1"/>
        <v>120</v>
      </c>
      <c r="F10" s="18">
        <v>1</v>
      </c>
      <c r="G10" s="17">
        <f t="shared" si="2"/>
        <v>360</v>
      </c>
      <c r="H10" s="80">
        <f t="shared" si="3"/>
        <v>360</v>
      </c>
      <c r="I10" s="15">
        <f>VLOOKUP(B10,Ordering!$A$1:$J$83,6,FALSE)</f>
        <v>1</v>
      </c>
      <c r="J10" s="15">
        <f>VLOOKUP(B10,Ordering!$A$1:$J$83,10,FALSE)</f>
        <v>0</v>
      </c>
      <c r="K10" s="23">
        <f t="shared" si="4"/>
        <v>0.36</v>
      </c>
      <c r="L10" s="92">
        <f t="shared" si="5"/>
        <v>0</v>
      </c>
      <c r="N10" s="1">
        <v>150</v>
      </c>
      <c r="R10" s="163" t="s">
        <v>89</v>
      </c>
      <c r="S10" s="164"/>
    </row>
    <row r="11" spans="1:25" ht="15" customHeight="1" thickTop="1" thickBot="1">
      <c r="A11" s="14" t="s">
        <v>47</v>
      </c>
      <c r="B11" s="15" t="s">
        <v>126</v>
      </c>
      <c r="C11" s="15" t="s">
        <v>17</v>
      </c>
      <c r="D11" s="20">
        <f t="shared" si="0"/>
        <v>3</v>
      </c>
      <c r="E11" s="17">
        <f t="shared" si="1"/>
        <v>120</v>
      </c>
      <c r="F11" s="18">
        <v>1</v>
      </c>
      <c r="G11" s="17">
        <f t="shared" si="2"/>
        <v>360</v>
      </c>
      <c r="H11" s="80">
        <f t="shared" si="3"/>
        <v>360</v>
      </c>
      <c r="I11" s="15">
        <f>VLOOKUP(B11,Ordering!$A$1:$J$83,6,FALSE)</f>
        <v>1</v>
      </c>
      <c r="J11" s="15">
        <f>VLOOKUP(B11,Ordering!$A$1:$J$83,10,FALSE)</f>
        <v>5.882352941176471</v>
      </c>
      <c r="K11" s="23">
        <f t="shared" si="4"/>
        <v>0.36</v>
      </c>
      <c r="L11" s="92">
        <f t="shared" si="5"/>
        <v>2.1176470588235294</v>
      </c>
      <c r="N11" s="1">
        <v>150</v>
      </c>
      <c r="R11" s="163" t="s">
        <v>18</v>
      </c>
      <c r="S11" s="164"/>
    </row>
    <row r="12" spans="1:25" ht="15" customHeight="1" thickTop="1" thickBot="1">
      <c r="A12" s="14" t="s">
        <v>30</v>
      </c>
      <c r="B12" s="15" t="s">
        <v>100</v>
      </c>
      <c r="C12" s="15" t="s">
        <v>15</v>
      </c>
      <c r="D12" s="20">
        <f t="shared" si="0"/>
        <v>0.06</v>
      </c>
      <c r="E12" s="17">
        <f t="shared" si="1"/>
        <v>120</v>
      </c>
      <c r="F12" s="18">
        <v>1</v>
      </c>
      <c r="G12" s="17">
        <f t="shared" si="2"/>
        <v>7.1999999999999993</v>
      </c>
      <c r="H12" s="80">
        <f t="shared" si="3"/>
        <v>7.1999999999999993</v>
      </c>
      <c r="I12" s="15">
        <f>VLOOKUP(B12,Ordering!$A$1:$J$83,6,FALSE)</f>
        <v>1</v>
      </c>
      <c r="J12" s="15">
        <f>VLOOKUP(B12,Ordering!$A$1:$J$83,10,FALSE)</f>
        <v>0.43333333333333335</v>
      </c>
      <c r="K12" s="15">
        <f t="shared" ref="K12" si="6">H12/I12</f>
        <v>7.1999999999999993</v>
      </c>
      <c r="L12" s="92">
        <f t="shared" si="5"/>
        <v>3.1199999999999997</v>
      </c>
      <c r="N12" s="1">
        <v>3</v>
      </c>
      <c r="R12" s="5" t="s">
        <v>19</v>
      </c>
      <c r="S12" s="5" t="s">
        <v>20</v>
      </c>
    </row>
    <row r="13" spans="1:25" ht="15" customHeight="1" thickTop="1" thickBot="1">
      <c r="A13" s="14" t="s">
        <v>50</v>
      </c>
      <c r="B13" s="15" t="s">
        <v>244</v>
      </c>
      <c r="C13" s="15" t="s">
        <v>17</v>
      </c>
      <c r="D13" s="20">
        <f t="shared" si="0"/>
        <v>10</v>
      </c>
      <c r="E13" s="17">
        <f t="shared" si="1"/>
        <v>120</v>
      </c>
      <c r="F13" s="18">
        <v>1</v>
      </c>
      <c r="G13" s="17">
        <f t="shared" si="2"/>
        <v>1200</v>
      </c>
      <c r="H13" s="80">
        <f t="shared" si="3"/>
        <v>1200</v>
      </c>
      <c r="I13" s="15">
        <f>VLOOKUP(B13,Ordering!$A$1:$J$83,6,FALSE)</f>
        <v>1</v>
      </c>
      <c r="J13" s="15">
        <f>VLOOKUP(B13,Ordering!$A$1:$J$83,10,FALSE)</f>
        <v>30.833333333333332</v>
      </c>
      <c r="K13" s="23">
        <f t="shared" ref="K13:K14" si="7">((H13/(I13))/1000)</f>
        <v>1.2</v>
      </c>
      <c r="L13" s="92">
        <f t="shared" si="5"/>
        <v>37</v>
      </c>
      <c r="N13" s="1">
        <v>500</v>
      </c>
      <c r="R13" s="5" t="s">
        <v>21</v>
      </c>
      <c r="S13" s="47">
        <f>V1</f>
        <v>118</v>
      </c>
    </row>
    <row r="14" spans="1:25" ht="15" customHeight="1" thickTop="1" thickBot="1">
      <c r="A14" s="14" t="s">
        <v>49</v>
      </c>
      <c r="B14" s="15" t="s">
        <v>250</v>
      </c>
      <c r="C14" s="15" t="s">
        <v>17</v>
      </c>
      <c r="D14" s="20">
        <f t="shared" si="0"/>
        <v>5</v>
      </c>
      <c r="E14" s="17">
        <f t="shared" si="1"/>
        <v>120</v>
      </c>
      <c r="F14" s="18">
        <v>1</v>
      </c>
      <c r="G14" s="17">
        <f t="shared" si="2"/>
        <v>600</v>
      </c>
      <c r="H14" s="80">
        <f t="shared" si="3"/>
        <v>600</v>
      </c>
      <c r="I14" s="15">
        <f>VLOOKUP(B14,Ordering!$A$1:$J$83,6,FALSE)</f>
        <v>1</v>
      </c>
      <c r="J14" s="15">
        <f>VLOOKUP(B14,Ordering!$A$1:$J$83,10,FALSE)</f>
        <v>19.75</v>
      </c>
      <c r="K14" s="23">
        <f t="shared" si="7"/>
        <v>0.6</v>
      </c>
      <c r="L14" s="92">
        <f t="shared" si="5"/>
        <v>11.85</v>
      </c>
      <c r="N14" s="1">
        <v>250</v>
      </c>
      <c r="R14" s="5" t="s">
        <v>22</v>
      </c>
      <c r="S14" s="14">
        <v>2</v>
      </c>
    </row>
    <row r="15" spans="1:25" ht="14.75" customHeight="1" thickTop="1">
      <c r="R15" s="5" t="s">
        <v>23</v>
      </c>
      <c r="S15" s="48">
        <f>S13+S14</f>
        <v>120</v>
      </c>
    </row>
    <row r="16" spans="1:25">
      <c r="R16" s="89" t="s">
        <v>14</v>
      </c>
      <c r="S16" s="90">
        <f>SUM(L5:L14)</f>
        <v>126.33419251336899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8" tint="-0.249977111117893"/>
    <pageSetUpPr fitToPage="1"/>
  </sheetPr>
  <dimension ref="A1:Y16"/>
  <sheetViews>
    <sheetView topLeftCell="B1" zoomScale="70" zoomScaleNormal="70" zoomScaleSheetLayoutView="100" workbookViewId="0">
      <selection activeCell="S14" sqref="S14"/>
    </sheetView>
  </sheetViews>
  <sheetFormatPr defaultRowHeight="14.35"/>
  <cols>
    <col min="1" max="1" width="35.8203125" bestFit="1" customWidth="1"/>
    <col min="2" max="2" width="31.4687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5.8203125" customWidth="1"/>
    <col min="19" max="19" width="8.468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124</v>
      </c>
      <c r="G1" s="4"/>
      <c r="H1" s="38" t="s">
        <v>2</v>
      </c>
      <c r="I1" s="13">
        <f>F1/B1</f>
        <v>124</v>
      </c>
      <c r="J1" s="4"/>
      <c r="K1" s="38"/>
      <c r="U1" s="123" t="s">
        <v>206</v>
      </c>
      <c r="V1" s="121">
        <v>122</v>
      </c>
    </row>
    <row r="2" spans="1:25" ht="14.25" customHeight="1">
      <c r="A2" s="42"/>
      <c r="B2" s="161" t="s">
        <v>29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85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46</v>
      </c>
      <c r="B5" s="15" t="s">
        <v>247</v>
      </c>
      <c r="C5" s="15" t="s">
        <v>17</v>
      </c>
      <c r="D5" s="19">
        <f t="shared" ref="D5:D13" si="0">N5/80</f>
        <v>12.5</v>
      </c>
      <c r="E5" s="17">
        <f t="shared" ref="E5:E13" si="1">$I$1</f>
        <v>124</v>
      </c>
      <c r="F5" s="18">
        <v>1</v>
      </c>
      <c r="G5" s="17">
        <f t="shared" ref="G5:G13" si="2">E5*D5</f>
        <v>1550</v>
      </c>
      <c r="H5" s="80">
        <f t="shared" ref="H5:H13" si="3">G5*F5</f>
        <v>1550</v>
      </c>
      <c r="I5" s="20">
        <f>VLOOKUP(B5,Ordering!$A$1:$J$83,6,FALSE)</f>
        <v>1</v>
      </c>
      <c r="J5" s="23">
        <f>VLOOKUP(B5,Ordering!$A$1:$J$83,10,FALSE)</f>
        <v>2.7</v>
      </c>
      <c r="K5" s="23">
        <f t="shared" ref="K5" si="4">((H5/(I5))/1000)</f>
        <v>1.55</v>
      </c>
      <c r="L5" s="92">
        <f t="shared" ref="L5:L13" si="5">J5*K5</f>
        <v>4.1850000000000005</v>
      </c>
      <c r="N5" s="1">
        <v>1000</v>
      </c>
    </row>
    <row r="6" spans="1:25" ht="15" customHeight="1" thickTop="1" thickBot="1">
      <c r="A6" s="15" t="s">
        <v>49</v>
      </c>
      <c r="B6" s="15" t="s">
        <v>262</v>
      </c>
      <c r="C6" s="15" t="s">
        <v>17</v>
      </c>
      <c r="D6" s="19">
        <f t="shared" si="0"/>
        <v>3.125</v>
      </c>
      <c r="E6" s="17">
        <f t="shared" si="1"/>
        <v>124</v>
      </c>
      <c r="F6" s="18">
        <v>1</v>
      </c>
      <c r="G6" s="17">
        <f t="shared" si="2"/>
        <v>387.5</v>
      </c>
      <c r="H6" s="80">
        <f t="shared" si="3"/>
        <v>387.5</v>
      </c>
      <c r="I6" s="97"/>
      <c r="J6" s="96"/>
      <c r="K6" s="96"/>
      <c r="L6" s="95"/>
      <c r="N6" s="1">
        <v>250</v>
      </c>
    </row>
    <row r="7" spans="1:25" ht="15" customHeight="1" thickTop="1" thickBot="1">
      <c r="A7" s="15" t="s">
        <v>30</v>
      </c>
      <c r="B7" s="15" t="s">
        <v>100</v>
      </c>
      <c r="C7" s="15" t="s">
        <v>15</v>
      </c>
      <c r="D7" s="53">
        <f t="shared" si="0"/>
        <v>0.1125</v>
      </c>
      <c r="E7" s="17">
        <f t="shared" si="1"/>
        <v>124</v>
      </c>
      <c r="F7" s="18">
        <v>1</v>
      </c>
      <c r="G7" s="17">
        <f t="shared" si="2"/>
        <v>13.950000000000001</v>
      </c>
      <c r="H7" s="80">
        <f t="shared" si="3"/>
        <v>13.950000000000001</v>
      </c>
      <c r="I7" s="20">
        <f>VLOOKUP(B7,Ordering!$A$1:$J$83,6,FALSE)</f>
        <v>1</v>
      </c>
      <c r="J7" s="23">
        <f>VLOOKUP(B7,Ordering!$A$1:$J$83,10,FALSE)</f>
        <v>0.43333333333333335</v>
      </c>
      <c r="K7" s="23">
        <f t="shared" ref="K7:K13" si="6">((H7/(I7))/1000)</f>
        <v>1.3950000000000001E-2</v>
      </c>
      <c r="L7" s="92">
        <f t="shared" si="5"/>
        <v>6.0450000000000009E-3</v>
      </c>
      <c r="N7" s="1">
        <v>9</v>
      </c>
    </row>
    <row r="8" spans="1:25" ht="15" customHeight="1" thickTop="1" thickBot="1">
      <c r="A8" s="15" t="s">
        <v>49</v>
      </c>
      <c r="B8" s="15" t="s">
        <v>250</v>
      </c>
      <c r="C8" s="15" t="s">
        <v>17</v>
      </c>
      <c r="D8" s="19">
        <f t="shared" si="0"/>
        <v>8.75</v>
      </c>
      <c r="E8" s="17">
        <f t="shared" si="1"/>
        <v>124</v>
      </c>
      <c r="F8" s="18">
        <v>1</v>
      </c>
      <c r="G8" s="17">
        <f t="shared" si="2"/>
        <v>1085</v>
      </c>
      <c r="H8" s="80">
        <f t="shared" si="3"/>
        <v>1085</v>
      </c>
      <c r="I8" s="20">
        <f>VLOOKUP(B8,Ordering!$A$1:$J$83,6,FALSE)</f>
        <v>1</v>
      </c>
      <c r="J8" s="23">
        <f>VLOOKUP(B8,Ordering!$A$1:$J$83,10,FALSE)</f>
        <v>19.75</v>
      </c>
      <c r="K8" s="23">
        <f t="shared" si="6"/>
        <v>1.085</v>
      </c>
      <c r="L8" s="92">
        <f t="shared" si="5"/>
        <v>21.428750000000001</v>
      </c>
      <c r="N8" s="1">
        <v>700</v>
      </c>
      <c r="V8" s="86" t="s">
        <v>193</v>
      </c>
      <c r="W8" s="87">
        <v>1</v>
      </c>
      <c r="X8" s="86" t="s">
        <v>14</v>
      </c>
      <c r="Y8" s="88">
        <f>SUM(L5:L13)/S15</f>
        <v>0.7951097619047619</v>
      </c>
    </row>
    <row r="9" spans="1:25" ht="15" customHeight="1" thickTop="1" thickBot="1">
      <c r="A9" s="15" t="s">
        <v>30</v>
      </c>
      <c r="B9" s="15" t="s">
        <v>104</v>
      </c>
      <c r="C9" s="15" t="s">
        <v>17</v>
      </c>
      <c r="D9" s="19">
        <f t="shared" si="0"/>
        <v>7.5</v>
      </c>
      <c r="E9" s="17">
        <f t="shared" si="1"/>
        <v>124</v>
      </c>
      <c r="F9" s="18">
        <v>1</v>
      </c>
      <c r="G9" s="17">
        <f t="shared" si="2"/>
        <v>930</v>
      </c>
      <c r="H9" s="80">
        <f t="shared" si="3"/>
        <v>930</v>
      </c>
      <c r="I9" s="20">
        <f>VLOOKUP(B9,Ordering!$A$1:$J$83,6,FALSE)</f>
        <v>1</v>
      </c>
      <c r="J9" s="23">
        <f>VLOOKUP(B9,Ordering!$A$1:$J$83,10,FALSE)</f>
        <v>30</v>
      </c>
      <c r="K9" s="23">
        <f t="shared" si="6"/>
        <v>0.93</v>
      </c>
      <c r="L9" s="92">
        <f t="shared" si="5"/>
        <v>27.900000000000002</v>
      </c>
      <c r="N9" s="1">
        <v>600</v>
      </c>
    </row>
    <row r="10" spans="1:25" ht="15" customHeight="1" thickTop="1" thickBot="1">
      <c r="A10" s="15" t="s">
        <v>48</v>
      </c>
      <c r="B10" s="15" t="s">
        <v>114</v>
      </c>
      <c r="C10" s="15" t="s">
        <v>17</v>
      </c>
      <c r="D10" s="19">
        <f t="shared" si="0"/>
        <v>7.1875</v>
      </c>
      <c r="E10" s="17">
        <f t="shared" si="1"/>
        <v>124</v>
      </c>
      <c r="F10" s="18">
        <v>1</v>
      </c>
      <c r="G10" s="17">
        <f t="shared" si="2"/>
        <v>891.25</v>
      </c>
      <c r="H10" s="80">
        <f t="shared" si="3"/>
        <v>891.25</v>
      </c>
      <c r="I10" s="20">
        <f>VLOOKUP(B10,Ordering!$A$1:$J$83,6,FALSE)</f>
        <v>1</v>
      </c>
      <c r="J10" s="23">
        <f>VLOOKUP(B10,Ordering!$A$1:$J$83,10,FALSE)</f>
        <v>1.7</v>
      </c>
      <c r="K10" s="23">
        <f t="shared" si="6"/>
        <v>0.89124999999999999</v>
      </c>
      <c r="L10" s="92">
        <f t="shared" si="5"/>
        <v>1.5151249999999998</v>
      </c>
      <c r="N10" s="1">
        <v>575</v>
      </c>
      <c r="R10" s="163" t="s">
        <v>86</v>
      </c>
      <c r="S10" s="164"/>
    </row>
    <row r="11" spans="1:25" ht="15" customHeight="1" thickTop="1" thickBot="1">
      <c r="A11" s="15" t="s">
        <v>50</v>
      </c>
      <c r="B11" s="15" t="s">
        <v>239</v>
      </c>
      <c r="C11" s="15" t="s">
        <v>17</v>
      </c>
      <c r="D11" s="19">
        <f t="shared" si="0"/>
        <v>3.125</v>
      </c>
      <c r="E11" s="17">
        <f t="shared" si="1"/>
        <v>124</v>
      </c>
      <c r="F11" s="18">
        <v>1</v>
      </c>
      <c r="G11" s="17">
        <f t="shared" si="2"/>
        <v>387.5</v>
      </c>
      <c r="H11" s="80">
        <f t="shared" si="3"/>
        <v>387.5</v>
      </c>
      <c r="I11" s="20">
        <f>VLOOKUP(B11,Ordering!$A$1:$J$83,6,FALSE)</f>
        <v>1</v>
      </c>
      <c r="J11" s="23">
        <f>VLOOKUP(B11,Ordering!$A$1:$J$83,10,FALSE)</f>
        <v>51.24285714285714</v>
      </c>
      <c r="K11" s="23">
        <f t="shared" si="6"/>
        <v>0.38750000000000001</v>
      </c>
      <c r="L11" s="92">
        <f t="shared" si="5"/>
        <v>19.856607142857143</v>
      </c>
      <c r="N11" s="1">
        <v>250</v>
      </c>
      <c r="R11" s="163" t="s">
        <v>18</v>
      </c>
      <c r="S11" s="164"/>
    </row>
    <row r="12" spans="1:25" ht="15" customHeight="1" thickTop="1" thickBot="1">
      <c r="A12" s="14" t="s">
        <v>30</v>
      </c>
      <c r="B12" s="15" t="s">
        <v>227</v>
      </c>
      <c r="C12" s="15" t="s">
        <v>17</v>
      </c>
      <c r="D12" s="19">
        <f t="shared" si="0"/>
        <v>6.25</v>
      </c>
      <c r="E12" s="17">
        <f t="shared" si="1"/>
        <v>124</v>
      </c>
      <c r="F12" s="18">
        <v>1</v>
      </c>
      <c r="G12" s="17">
        <f t="shared" si="2"/>
        <v>775</v>
      </c>
      <c r="H12" s="80">
        <f t="shared" si="3"/>
        <v>775</v>
      </c>
      <c r="I12" s="20">
        <f>VLOOKUP(B12,Ordering!$A$1:$J$83,6,FALSE)</f>
        <v>1</v>
      </c>
      <c r="J12" s="23">
        <f>VLOOKUP(B12,Ordering!$A$1:$J$83,10,FALSE)</f>
        <v>10.833333333333334</v>
      </c>
      <c r="K12" s="23">
        <f t="shared" si="6"/>
        <v>0.77500000000000002</v>
      </c>
      <c r="L12" s="92">
        <f t="shared" si="5"/>
        <v>8.3958333333333339</v>
      </c>
      <c r="N12" s="1">
        <v>500</v>
      </c>
      <c r="R12" s="5" t="s">
        <v>19</v>
      </c>
      <c r="S12" s="5" t="s">
        <v>20</v>
      </c>
    </row>
    <row r="13" spans="1:25" ht="15" customHeight="1" thickTop="1" thickBot="1">
      <c r="A13" s="14" t="s">
        <v>49</v>
      </c>
      <c r="B13" s="15" t="s">
        <v>250</v>
      </c>
      <c r="C13" s="15" t="s">
        <v>17</v>
      </c>
      <c r="D13" s="19">
        <f t="shared" si="0"/>
        <v>6.25</v>
      </c>
      <c r="E13" s="17">
        <f t="shared" si="1"/>
        <v>124</v>
      </c>
      <c r="F13" s="18">
        <v>1</v>
      </c>
      <c r="G13" s="17">
        <f t="shared" si="2"/>
        <v>775</v>
      </c>
      <c r="H13" s="80">
        <f t="shared" si="3"/>
        <v>775</v>
      </c>
      <c r="I13" s="20">
        <f>VLOOKUP(B13,Ordering!$A$1:$J$83,6,FALSE)</f>
        <v>1</v>
      </c>
      <c r="J13" s="23">
        <f>VLOOKUP(B13,Ordering!$A$1:$J$83,10,FALSE)</f>
        <v>19.75</v>
      </c>
      <c r="K13" s="23">
        <f t="shared" si="6"/>
        <v>0.77500000000000002</v>
      </c>
      <c r="L13" s="92">
        <f t="shared" si="5"/>
        <v>15.30625</v>
      </c>
      <c r="N13" s="1">
        <v>500</v>
      </c>
      <c r="R13" s="5" t="s">
        <v>21</v>
      </c>
      <c r="S13" s="47">
        <f>V1</f>
        <v>122</v>
      </c>
    </row>
    <row r="14" spans="1:25" ht="15" customHeight="1" thickTop="1">
      <c r="R14" s="5" t="s">
        <v>22</v>
      </c>
      <c r="S14" s="14">
        <v>2</v>
      </c>
    </row>
    <row r="15" spans="1:25">
      <c r="R15" s="5" t="s">
        <v>23</v>
      </c>
      <c r="S15" s="48">
        <f>S13+S14</f>
        <v>124</v>
      </c>
    </row>
    <row r="16" spans="1:25">
      <c r="R16" s="89" t="s">
        <v>14</v>
      </c>
      <c r="S16" s="90">
        <f>SUM(L5:L13)</f>
        <v>98.593610476190477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tabColor theme="8" tint="-0.249977111117893"/>
    <pageSetUpPr fitToPage="1"/>
  </sheetPr>
  <dimension ref="A1:Y16"/>
  <sheetViews>
    <sheetView topLeftCell="J1" zoomScale="70" zoomScaleNormal="70" zoomScaleSheetLayoutView="100" workbookViewId="0">
      <selection activeCell="S14" sqref="S14"/>
    </sheetView>
  </sheetViews>
  <sheetFormatPr defaultRowHeight="14.35"/>
  <cols>
    <col min="1" max="1" width="17.64453125" bestFit="1" customWidth="1"/>
    <col min="2" max="2" width="31.4687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3.8203125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106</v>
      </c>
      <c r="G1" s="4"/>
      <c r="H1" s="38" t="s">
        <v>2</v>
      </c>
      <c r="I1" s="13">
        <f>F1/B1</f>
        <v>106</v>
      </c>
      <c r="J1" s="4"/>
      <c r="K1" s="38"/>
      <c r="U1" s="123" t="s">
        <v>206</v>
      </c>
      <c r="V1" s="121">
        <v>104</v>
      </c>
    </row>
    <row r="2" spans="1:25" ht="14.25" customHeight="1">
      <c r="A2" s="42"/>
      <c r="B2" s="161" t="s">
        <v>28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90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>
      <c r="A5" s="15" t="s">
        <v>27</v>
      </c>
      <c r="B5" s="15" t="s">
        <v>242</v>
      </c>
      <c r="C5" s="15" t="s">
        <v>17</v>
      </c>
      <c r="D5" s="16">
        <f t="shared" ref="D5:D14" si="0">N5/100</f>
        <v>12</v>
      </c>
      <c r="E5" s="17">
        <f t="shared" ref="E5:E14" si="1">$I$1</f>
        <v>106</v>
      </c>
      <c r="F5" s="18">
        <v>1</v>
      </c>
      <c r="G5" s="17">
        <f t="shared" ref="G5:G14" si="2">E5*D5</f>
        <v>1272</v>
      </c>
      <c r="H5" s="80">
        <f t="shared" ref="H5:H14" si="3">G5*F5</f>
        <v>1272</v>
      </c>
      <c r="I5" s="23">
        <f>VLOOKUP(B5,Ordering!$A$1:$J$83,6,FALSE)</f>
        <v>1</v>
      </c>
      <c r="J5" s="23">
        <f>VLOOKUP(B5,Ordering!$A$1:$J$83,10,FALSE)</f>
        <v>9.1666666666666679</v>
      </c>
      <c r="K5" s="23">
        <f t="shared" ref="K5:K14" si="4">((H5/(I5))/1000)</f>
        <v>1.272</v>
      </c>
      <c r="L5" s="92">
        <f t="shared" ref="L5:L14" si="5">J5*K5</f>
        <v>11.660000000000002</v>
      </c>
      <c r="N5">
        <v>1200</v>
      </c>
    </row>
    <row r="6" spans="1:25">
      <c r="A6" s="15" t="s">
        <v>30</v>
      </c>
      <c r="B6" s="15" t="s">
        <v>104</v>
      </c>
      <c r="C6" s="15" t="s">
        <v>17</v>
      </c>
      <c r="D6" s="16">
        <f t="shared" si="0"/>
        <v>2</v>
      </c>
      <c r="E6" s="17">
        <f t="shared" si="1"/>
        <v>106</v>
      </c>
      <c r="F6" s="18">
        <v>1</v>
      </c>
      <c r="G6" s="17">
        <f t="shared" si="2"/>
        <v>212</v>
      </c>
      <c r="H6" s="80">
        <f t="shared" si="3"/>
        <v>212</v>
      </c>
      <c r="I6" s="23">
        <f>VLOOKUP(B6,Ordering!$A$1:$J$83,6,FALSE)</f>
        <v>1</v>
      </c>
      <c r="J6" s="23">
        <f>VLOOKUP(B6,Ordering!$A$1:$J$83,10,FALSE)</f>
        <v>30</v>
      </c>
      <c r="K6" s="23">
        <f t="shared" si="4"/>
        <v>0.21199999999999999</v>
      </c>
      <c r="L6" s="92">
        <f t="shared" si="5"/>
        <v>6.3599999999999994</v>
      </c>
      <c r="N6">
        <v>200</v>
      </c>
    </row>
    <row r="7" spans="1:25">
      <c r="A7" s="15" t="s">
        <v>46</v>
      </c>
      <c r="B7" s="15" t="s">
        <v>247</v>
      </c>
      <c r="C7" s="15" t="s">
        <v>17</v>
      </c>
      <c r="D7" s="16">
        <f t="shared" si="0"/>
        <v>2</v>
      </c>
      <c r="E7" s="17">
        <f t="shared" si="1"/>
        <v>106</v>
      </c>
      <c r="F7" s="18">
        <v>1</v>
      </c>
      <c r="G7" s="17">
        <f t="shared" si="2"/>
        <v>212</v>
      </c>
      <c r="H7" s="80">
        <f t="shared" si="3"/>
        <v>212</v>
      </c>
      <c r="I7" s="23">
        <f>VLOOKUP(B7,Ordering!$A$1:$J$83,6,FALSE)</f>
        <v>1</v>
      </c>
      <c r="J7" s="23">
        <f>VLOOKUP(B7,Ordering!$A$1:$J$83,10,FALSE)</f>
        <v>2.7</v>
      </c>
      <c r="K7" s="23">
        <f t="shared" si="4"/>
        <v>0.21199999999999999</v>
      </c>
      <c r="L7" s="92">
        <f t="shared" si="5"/>
        <v>0.57240000000000002</v>
      </c>
      <c r="N7">
        <v>200</v>
      </c>
    </row>
    <row r="8" spans="1:25">
      <c r="A8" s="15" t="s">
        <v>30</v>
      </c>
      <c r="B8" s="15" t="s">
        <v>104</v>
      </c>
      <c r="C8" s="15" t="s">
        <v>17</v>
      </c>
      <c r="D8" s="16">
        <f t="shared" si="0"/>
        <v>0.3</v>
      </c>
      <c r="E8" s="17">
        <f t="shared" si="1"/>
        <v>106</v>
      </c>
      <c r="F8" s="18">
        <v>1</v>
      </c>
      <c r="G8" s="17">
        <f t="shared" si="2"/>
        <v>31.799999999999997</v>
      </c>
      <c r="H8" s="80">
        <f t="shared" si="3"/>
        <v>31.799999999999997</v>
      </c>
      <c r="I8" s="23">
        <f>VLOOKUP(B8,Ordering!$A$1:$J$83,6,FALSE)</f>
        <v>1</v>
      </c>
      <c r="J8" s="23">
        <f>VLOOKUP(B8,Ordering!$A$1:$J$83,10,FALSE)</f>
        <v>30</v>
      </c>
      <c r="K8" s="23">
        <f t="shared" si="4"/>
        <v>3.1799999999999995E-2</v>
      </c>
      <c r="L8" s="92">
        <f t="shared" si="5"/>
        <v>0.95399999999999985</v>
      </c>
      <c r="N8">
        <v>30</v>
      </c>
      <c r="V8" s="86" t="s">
        <v>193</v>
      </c>
      <c r="W8" s="87">
        <v>1</v>
      </c>
      <c r="X8" s="86" t="s">
        <v>14</v>
      </c>
      <c r="Y8" s="88">
        <f>SUM(L5:L14)/S15</f>
        <v>0.65195166666666682</v>
      </c>
    </row>
    <row r="9" spans="1:25">
      <c r="A9" s="15" t="s">
        <v>47</v>
      </c>
      <c r="B9" s="15" t="s">
        <v>106</v>
      </c>
      <c r="C9" s="15" t="s">
        <v>16</v>
      </c>
      <c r="D9" s="16">
        <f t="shared" si="0"/>
        <v>0.1</v>
      </c>
      <c r="E9" s="17">
        <f t="shared" si="1"/>
        <v>106</v>
      </c>
      <c r="F9" s="18">
        <v>1</v>
      </c>
      <c r="G9" s="17">
        <f t="shared" si="2"/>
        <v>10.600000000000001</v>
      </c>
      <c r="H9" s="80">
        <f t="shared" si="3"/>
        <v>10.600000000000001</v>
      </c>
      <c r="I9" s="23">
        <f>VLOOKUP(B9,Ordering!$A$1:$J$83,6,FALSE)</f>
        <v>1</v>
      </c>
      <c r="J9" s="23">
        <f>VLOOKUP(B9,Ordering!$A$1:$J$83,10,FALSE)</f>
        <v>0</v>
      </c>
      <c r="K9" s="23">
        <f t="shared" si="4"/>
        <v>1.0600000000000002E-2</v>
      </c>
      <c r="L9" s="92">
        <f t="shared" si="5"/>
        <v>0</v>
      </c>
      <c r="N9">
        <v>10</v>
      </c>
    </row>
    <row r="10" spans="1:25">
      <c r="A10" s="15" t="s">
        <v>30</v>
      </c>
      <c r="B10" s="15" t="s">
        <v>101</v>
      </c>
      <c r="C10" s="15" t="s">
        <v>16</v>
      </c>
      <c r="D10" s="16">
        <f t="shared" si="0"/>
        <v>5</v>
      </c>
      <c r="E10" s="17">
        <f t="shared" si="1"/>
        <v>106</v>
      </c>
      <c r="F10" s="18">
        <v>1</v>
      </c>
      <c r="G10" s="17">
        <f t="shared" si="2"/>
        <v>530</v>
      </c>
      <c r="H10" s="80">
        <f t="shared" si="3"/>
        <v>530</v>
      </c>
      <c r="I10" s="23">
        <f>VLOOKUP(B10,Ordering!$A$1:$J$83,6,FALSE)</f>
        <v>1</v>
      </c>
      <c r="J10" s="23">
        <f>VLOOKUP(B10,Ordering!$A$1:$J$83,10,FALSE)</f>
        <v>4.2033333333333331</v>
      </c>
      <c r="K10" s="23">
        <f t="shared" si="4"/>
        <v>0.53</v>
      </c>
      <c r="L10" s="92">
        <f t="shared" si="5"/>
        <v>2.2277666666666667</v>
      </c>
      <c r="N10">
        <v>500</v>
      </c>
      <c r="R10" s="163" t="s">
        <v>91</v>
      </c>
      <c r="S10" s="164"/>
    </row>
    <row r="11" spans="1:25">
      <c r="A11" s="15" t="s">
        <v>48</v>
      </c>
      <c r="B11" s="15" t="s">
        <v>113</v>
      </c>
      <c r="C11" s="15" t="s">
        <v>17</v>
      </c>
      <c r="D11" s="16">
        <f t="shared" si="0"/>
        <v>0.5</v>
      </c>
      <c r="E11" s="17">
        <f t="shared" si="1"/>
        <v>106</v>
      </c>
      <c r="F11" s="18">
        <v>1</v>
      </c>
      <c r="G11" s="17">
        <f t="shared" si="2"/>
        <v>53</v>
      </c>
      <c r="H11" s="80">
        <f t="shared" si="3"/>
        <v>53</v>
      </c>
      <c r="I11" s="23">
        <f>VLOOKUP(B11,Ordering!$A$1:$J$83,6,FALSE)</f>
        <v>1</v>
      </c>
      <c r="J11" s="23">
        <f>VLOOKUP(B11,Ordering!$A$1:$J$83,10,FALSE)</f>
        <v>2.3199999999999998</v>
      </c>
      <c r="K11" s="23">
        <f t="shared" si="4"/>
        <v>5.2999999999999999E-2</v>
      </c>
      <c r="L11" s="92">
        <f t="shared" si="5"/>
        <v>0.12295999999999999</v>
      </c>
      <c r="N11">
        <v>50</v>
      </c>
      <c r="R11" s="163" t="s">
        <v>18</v>
      </c>
      <c r="S11" s="164"/>
    </row>
    <row r="12" spans="1:25" ht="14.75" customHeight="1">
      <c r="A12" s="15" t="s">
        <v>30</v>
      </c>
      <c r="B12" s="15" t="s">
        <v>227</v>
      </c>
      <c r="C12" s="15" t="s">
        <v>17</v>
      </c>
      <c r="D12" s="16">
        <f t="shared" si="0"/>
        <v>30</v>
      </c>
      <c r="E12" s="17">
        <f t="shared" si="1"/>
        <v>106</v>
      </c>
      <c r="F12" s="18">
        <v>1</v>
      </c>
      <c r="G12" s="17">
        <f t="shared" si="2"/>
        <v>3180</v>
      </c>
      <c r="H12" s="80">
        <f t="shared" si="3"/>
        <v>3180</v>
      </c>
      <c r="I12" s="23">
        <f>VLOOKUP(B12,Ordering!$A$1:$J$83,6,FALSE)</f>
        <v>1</v>
      </c>
      <c r="J12" s="23">
        <f>VLOOKUP(B12,Ordering!$A$1:$J$83,10,FALSE)</f>
        <v>10.833333333333334</v>
      </c>
      <c r="K12" s="23">
        <f t="shared" si="4"/>
        <v>3.18</v>
      </c>
      <c r="L12" s="92">
        <f t="shared" si="5"/>
        <v>34.450000000000003</v>
      </c>
      <c r="N12">
        <v>3000</v>
      </c>
      <c r="R12" s="5" t="s">
        <v>19</v>
      </c>
      <c r="S12" s="5" t="s">
        <v>20</v>
      </c>
    </row>
    <row r="13" spans="1:25" ht="14.75" customHeight="1">
      <c r="A13" s="15" t="s">
        <v>30</v>
      </c>
      <c r="B13" s="15" t="s">
        <v>228</v>
      </c>
      <c r="C13" s="15" t="s">
        <v>17</v>
      </c>
      <c r="D13" s="16">
        <f t="shared" si="0"/>
        <v>5</v>
      </c>
      <c r="E13" s="17">
        <f t="shared" si="1"/>
        <v>106</v>
      </c>
      <c r="F13" s="18">
        <v>1</v>
      </c>
      <c r="G13" s="17">
        <f t="shared" si="2"/>
        <v>530</v>
      </c>
      <c r="H13" s="80">
        <f t="shared" si="3"/>
        <v>530</v>
      </c>
      <c r="I13" s="23">
        <f>VLOOKUP(B13,Ordering!$A$1:$J$83,6,FALSE)</f>
        <v>1</v>
      </c>
      <c r="J13" s="23">
        <f>VLOOKUP(B13,Ordering!$A$1:$J$83,10,FALSE)</f>
        <v>14.2</v>
      </c>
      <c r="K13" s="23">
        <f t="shared" si="4"/>
        <v>0.53</v>
      </c>
      <c r="L13" s="92">
        <f t="shared" si="5"/>
        <v>7.5259999999999998</v>
      </c>
      <c r="N13">
        <v>500</v>
      </c>
      <c r="R13" s="5" t="s">
        <v>21</v>
      </c>
      <c r="S13" s="47">
        <f>V1</f>
        <v>104</v>
      </c>
    </row>
    <row r="14" spans="1:25" ht="14.75" customHeight="1">
      <c r="A14" s="15" t="s">
        <v>49</v>
      </c>
      <c r="B14" s="15" t="s">
        <v>250</v>
      </c>
      <c r="C14" s="15" t="s">
        <v>17</v>
      </c>
      <c r="D14" s="16">
        <f t="shared" si="0"/>
        <v>2.5</v>
      </c>
      <c r="E14" s="17">
        <f t="shared" si="1"/>
        <v>106</v>
      </c>
      <c r="F14" s="18">
        <v>1</v>
      </c>
      <c r="G14" s="17">
        <f t="shared" si="2"/>
        <v>265</v>
      </c>
      <c r="H14" s="80">
        <f t="shared" si="3"/>
        <v>265</v>
      </c>
      <c r="I14" s="23">
        <f>VLOOKUP(B14,Ordering!$A$1:$J$83,6,FALSE)</f>
        <v>1</v>
      </c>
      <c r="J14" s="23">
        <f>VLOOKUP(B14,Ordering!$A$1:$J$83,10,FALSE)</f>
        <v>19.75</v>
      </c>
      <c r="K14" s="23">
        <f t="shared" si="4"/>
        <v>0.26500000000000001</v>
      </c>
      <c r="L14" s="92">
        <f t="shared" si="5"/>
        <v>5.2337500000000006</v>
      </c>
      <c r="N14">
        <v>250</v>
      </c>
      <c r="R14" s="5" t="s">
        <v>22</v>
      </c>
      <c r="S14" s="14">
        <v>2</v>
      </c>
    </row>
    <row r="15" spans="1:25">
      <c r="R15" s="5" t="s">
        <v>23</v>
      </c>
      <c r="S15" s="48">
        <f>S13+S14</f>
        <v>106</v>
      </c>
    </row>
    <row r="16" spans="1:25">
      <c r="R16" s="89" t="s">
        <v>14</v>
      </c>
      <c r="S16" s="90">
        <f>SUM(L5:L14)</f>
        <v>69.106876666666679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theme="8" tint="-0.249977111117893"/>
    <pageSetUpPr fitToPage="1"/>
  </sheetPr>
  <dimension ref="A1:Y16"/>
  <sheetViews>
    <sheetView topLeftCell="I1" zoomScale="70" zoomScaleNormal="70" zoomScaleSheetLayoutView="100" workbookViewId="0">
      <selection activeCell="S14" sqref="S14"/>
    </sheetView>
  </sheetViews>
  <sheetFormatPr defaultRowHeight="14.35"/>
  <cols>
    <col min="1" max="1" width="17.64453125" bestFit="1" customWidth="1"/>
    <col min="2" max="2" width="31.4687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7.5859375" customWidth="1"/>
    <col min="19" max="19" width="8.468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207</v>
      </c>
      <c r="G1" s="4"/>
      <c r="H1" s="38" t="s">
        <v>2</v>
      </c>
      <c r="I1" s="13">
        <f>F1/B1</f>
        <v>207</v>
      </c>
      <c r="J1" s="4"/>
      <c r="K1" s="38"/>
      <c r="U1" s="123" t="s">
        <v>206</v>
      </c>
      <c r="V1" s="121">
        <v>205</v>
      </c>
    </row>
    <row r="2" spans="1:25" ht="14.25" customHeight="1">
      <c r="A2" s="42"/>
      <c r="B2" s="161" t="s">
        <v>31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87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30</v>
      </c>
      <c r="B5" s="15" t="s">
        <v>225</v>
      </c>
      <c r="C5" s="15" t="s">
        <v>17</v>
      </c>
      <c r="D5" s="19">
        <f>N5/48</f>
        <v>28.375</v>
      </c>
      <c r="E5" s="17">
        <f>$I$1</f>
        <v>207</v>
      </c>
      <c r="F5" s="18">
        <v>1</v>
      </c>
      <c r="G5" s="17">
        <f>E5*D5</f>
        <v>5873.625</v>
      </c>
      <c r="H5" s="80">
        <f>G5*F5</f>
        <v>5873.625</v>
      </c>
      <c r="I5" s="15">
        <f>VLOOKUP(B5,Ordering!$A$1:$J$83,6,FALSE)</f>
        <v>1</v>
      </c>
      <c r="J5" s="15">
        <f>VLOOKUP(B5,Ordering!$A$1:$J$83,10,FALSE)</f>
        <v>34.848484848484851</v>
      </c>
      <c r="K5" s="23">
        <f t="shared" ref="K5:K6" si="0">((H5/(I5))/1000)</f>
        <v>5.8736249999999997</v>
      </c>
      <c r="L5" s="92">
        <f t="shared" ref="L5:L9" si="1">J5*K5</f>
        <v>204.68693181818182</v>
      </c>
      <c r="N5" s="1">
        <v>1362</v>
      </c>
    </row>
    <row r="6" spans="1:25" ht="15" customHeight="1" thickTop="1" thickBot="1">
      <c r="A6" s="15" t="s">
        <v>46</v>
      </c>
      <c r="B6" s="15" t="s">
        <v>246</v>
      </c>
      <c r="C6" s="15" t="s">
        <v>17</v>
      </c>
      <c r="D6" s="19">
        <f>N6/48</f>
        <v>22.125</v>
      </c>
      <c r="E6" s="17">
        <f>$I$1</f>
        <v>207</v>
      </c>
      <c r="F6" s="18">
        <v>1</v>
      </c>
      <c r="G6" s="17">
        <f>E6*D6</f>
        <v>4579.875</v>
      </c>
      <c r="H6" s="80">
        <f>G6*F6</f>
        <v>4579.875</v>
      </c>
      <c r="I6" s="15">
        <f>VLOOKUP(B6,Ordering!$A$1:$J$83,6,FALSE)</f>
        <v>1</v>
      </c>
      <c r="J6" s="15">
        <f>VLOOKUP(B6,Ordering!$A$1:$J$83,10,FALSE)</f>
        <v>11.824324324324323</v>
      </c>
      <c r="K6" s="23">
        <f t="shared" si="0"/>
        <v>4.5798750000000004</v>
      </c>
      <c r="L6" s="92">
        <f t="shared" si="1"/>
        <v>54.153927364864863</v>
      </c>
      <c r="N6" s="1">
        <v>1062</v>
      </c>
    </row>
    <row r="7" spans="1:25" ht="15" customHeight="1" thickTop="1" thickBot="1">
      <c r="A7" s="15" t="s">
        <v>30</v>
      </c>
      <c r="B7" s="15" t="s">
        <v>100</v>
      </c>
      <c r="C7" s="15" t="s">
        <v>15</v>
      </c>
      <c r="D7" s="53">
        <f>N7/48</f>
        <v>0.375</v>
      </c>
      <c r="E7" s="17">
        <f>$I$1</f>
        <v>207</v>
      </c>
      <c r="F7" s="18">
        <v>1</v>
      </c>
      <c r="G7" s="17">
        <f>E7*D7</f>
        <v>77.625</v>
      </c>
      <c r="H7" s="80">
        <f>G7*F7</f>
        <v>77.625</v>
      </c>
      <c r="I7" s="15">
        <f>VLOOKUP(B7,Ordering!$A$1:$J$83,6,FALSE)</f>
        <v>1</v>
      </c>
      <c r="J7" s="15">
        <f>VLOOKUP(B7,Ordering!$A$1:$J$83,10,FALSE)</f>
        <v>0.43333333333333335</v>
      </c>
      <c r="K7" s="15">
        <f t="shared" ref="K7" si="2">H7/I7</f>
        <v>77.625</v>
      </c>
      <c r="L7" s="92">
        <f t="shared" si="1"/>
        <v>33.637500000000003</v>
      </c>
      <c r="N7" s="1">
        <v>18</v>
      </c>
    </row>
    <row r="8" spans="1:25" ht="15" customHeight="1" thickTop="1" thickBot="1">
      <c r="A8" s="15" t="s">
        <v>49</v>
      </c>
      <c r="B8" s="15" t="s">
        <v>249</v>
      </c>
      <c r="C8" s="15" t="s">
        <v>17</v>
      </c>
      <c r="D8" s="19">
        <f>N8/48</f>
        <v>18.229166666666668</v>
      </c>
      <c r="E8" s="17">
        <f>$I$1</f>
        <v>207</v>
      </c>
      <c r="F8" s="18">
        <v>1</v>
      </c>
      <c r="G8" s="17">
        <f>E8*D8</f>
        <v>3773.4375000000005</v>
      </c>
      <c r="H8" s="80">
        <f>G8*F8</f>
        <v>3773.4375000000005</v>
      </c>
      <c r="I8" s="15">
        <f>VLOOKUP(B8,Ordering!$A$1:$J$83,6,FALSE)</f>
        <v>1</v>
      </c>
      <c r="J8" s="15">
        <f>VLOOKUP(B8,Ordering!$A$1:$J$83,10,FALSE)</f>
        <v>70</v>
      </c>
      <c r="K8" s="23">
        <f t="shared" ref="K8:K9" si="3">((H8/(I8))/1000)</f>
        <v>3.7734375000000004</v>
      </c>
      <c r="L8" s="92">
        <f t="shared" si="1"/>
        <v>264.14062500000006</v>
      </c>
      <c r="N8" s="1">
        <v>875</v>
      </c>
      <c r="V8" s="86" t="s">
        <v>193</v>
      </c>
      <c r="W8" s="87">
        <v>1</v>
      </c>
      <c r="X8" s="86" t="s">
        <v>14</v>
      </c>
      <c r="Y8" s="88">
        <f>SUM(L5:L9)/S15</f>
        <v>2.7546576832514331</v>
      </c>
    </row>
    <row r="9" spans="1:25" ht="15" customHeight="1" thickTop="1" thickBot="1">
      <c r="A9" s="15" t="s">
        <v>30</v>
      </c>
      <c r="B9" s="15" t="s">
        <v>101</v>
      </c>
      <c r="C9" s="15" t="s">
        <v>16</v>
      </c>
      <c r="D9" s="19">
        <f>N9/48</f>
        <v>15.625</v>
      </c>
      <c r="E9" s="17">
        <f>$I$1</f>
        <v>207</v>
      </c>
      <c r="F9" s="18">
        <v>1</v>
      </c>
      <c r="G9" s="17">
        <f>E9*D9</f>
        <v>3234.375</v>
      </c>
      <c r="H9" s="80">
        <f>G9*F9</f>
        <v>3234.375</v>
      </c>
      <c r="I9" s="15">
        <f>VLOOKUP(B9,Ordering!$A$1:$J$83,6,FALSE)</f>
        <v>1</v>
      </c>
      <c r="J9" s="15">
        <f>VLOOKUP(B9,Ordering!$A$1:$J$83,10,FALSE)</f>
        <v>4.2033333333333331</v>
      </c>
      <c r="K9" s="23">
        <f t="shared" si="3"/>
        <v>3.234375</v>
      </c>
      <c r="L9" s="92">
        <f t="shared" si="1"/>
        <v>13.595156249999999</v>
      </c>
      <c r="N9" s="1">
        <v>750</v>
      </c>
    </row>
    <row r="10" spans="1:25" ht="14.75" customHeight="1" thickTop="1">
      <c r="R10" s="163" t="s">
        <v>263</v>
      </c>
      <c r="S10" s="164"/>
    </row>
    <row r="11" spans="1:25">
      <c r="R11" s="163" t="s">
        <v>18</v>
      </c>
      <c r="S11" s="164"/>
    </row>
    <row r="12" spans="1:25" ht="14.75" customHeight="1">
      <c r="R12" s="5" t="s">
        <v>19</v>
      </c>
      <c r="S12" s="5" t="s">
        <v>20</v>
      </c>
    </row>
    <row r="13" spans="1:25" ht="14.75" customHeight="1">
      <c r="R13" s="5" t="s">
        <v>21</v>
      </c>
      <c r="S13" s="47">
        <f>V1</f>
        <v>205</v>
      </c>
    </row>
    <row r="14" spans="1:25" ht="14.75" customHeight="1">
      <c r="R14" s="5" t="s">
        <v>22</v>
      </c>
      <c r="S14" s="14">
        <v>2</v>
      </c>
    </row>
    <row r="15" spans="1:25">
      <c r="R15" s="5" t="s">
        <v>23</v>
      </c>
      <c r="S15" s="48">
        <f>S13+S14</f>
        <v>207</v>
      </c>
    </row>
    <row r="16" spans="1:25">
      <c r="R16" s="89" t="s">
        <v>14</v>
      </c>
      <c r="S16" s="90">
        <f>SUM(L5:L9)</f>
        <v>570.21414043304662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565B2-8487-444F-AD21-90692A74B77F}">
  <sheetPr codeName="Sheet38">
    <tabColor theme="8" tint="-0.249977111117893"/>
    <pageSetUpPr fitToPage="1"/>
  </sheetPr>
  <dimension ref="A1:X16"/>
  <sheetViews>
    <sheetView topLeftCell="I1" zoomScale="55" zoomScaleNormal="55" zoomScaleSheetLayoutView="100" workbookViewId="0">
      <selection activeCell="S14" sqref="S14"/>
    </sheetView>
  </sheetViews>
  <sheetFormatPr defaultRowHeight="14.35"/>
  <cols>
    <col min="1" max="1" width="23.05859375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2" max="12" width="20.9375" bestFit="1" customWidth="1"/>
    <col min="18" max="18" width="19.05859375" customWidth="1"/>
    <col min="19" max="19" width="15.937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52</v>
      </c>
      <c r="G1" s="4"/>
      <c r="H1" s="38" t="s">
        <v>2</v>
      </c>
      <c r="I1" s="13">
        <f>F1/B1</f>
        <v>52</v>
      </c>
      <c r="J1" s="4"/>
      <c r="K1" s="38"/>
      <c r="U1" s="123" t="s">
        <v>206</v>
      </c>
      <c r="V1" s="121">
        <v>47</v>
      </c>
    </row>
    <row r="2" spans="1:24" ht="14.25" customHeight="1">
      <c r="A2" s="42"/>
      <c r="B2" s="161"/>
      <c r="C2" s="161"/>
      <c r="D2" s="161"/>
      <c r="E2" s="161"/>
      <c r="F2" s="161"/>
      <c r="G2" s="161"/>
      <c r="H2" s="161"/>
      <c r="I2" s="41"/>
      <c r="J2" s="43"/>
      <c r="K2" s="42"/>
    </row>
    <row r="3" spans="1:24" ht="14.25" customHeight="1">
      <c r="A3" s="46"/>
      <c r="B3" s="162" t="s">
        <v>188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4" ht="39.7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4" ht="15" customHeight="1">
      <c r="A5" s="14"/>
      <c r="B5" s="15" t="s">
        <v>190</v>
      </c>
      <c r="C5" s="14" t="s">
        <v>17</v>
      </c>
      <c r="D5" s="20">
        <v>6.5</v>
      </c>
      <c r="E5" s="17">
        <f t="shared" ref="E5:E7" si="0">$I$1</f>
        <v>52</v>
      </c>
      <c r="F5" s="18">
        <v>1</v>
      </c>
      <c r="G5" s="17">
        <f t="shared" ref="G5:G7" si="1">E5*D5</f>
        <v>338</v>
      </c>
      <c r="H5" s="80">
        <f t="shared" ref="H5:H7" si="2">G5*F5</f>
        <v>338</v>
      </c>
      <c r="I5" s="14">
        <f>VLOOKUP(B5,Ordering!$A$1:$J$83,6,FALSE)</f>
        <v>1</v>
      </c>
      <c r="J5" s="92">
        <f>VLOOKUP(B5,Ordering!$A$1:$J$83,10,FALSE)</f>
        <v>40</v>
      </c>
      <c r="K5" s="23">
        <f t="shared" ref="K5:K7" si="3">((H5/(I5))/1000)</f>
        <v>0.33800000000000002</v>
      </c>
      <c r="L5" s="92">
        <f t="shared" ref="L5:L7" si="4">J5*K5</f>
        <v>13.520000000000001</v>
      </c>
    </row>
    <row r="6" spans="1:24" ht="15" customHeight="1">
      <c r="A6" s="14"/>
      <c r="B6" s="15" t="s">
        <v>200</v>
      </c>
      <c r="C6" s="14" t="s">
        <v>17</v>
      </c>
      <c r="D6" s="20">
        <v>12.4</v>
      </c>
      <c r="E6" s="17">
        <f t="shared" si="0"/>
        <v>52</v>
      </c>
      <c r="F6" s="18">
        <v>1</v>
      </c>
      <c r="G6" s="17">
        <f t="shared" si="1"/>
        <v>644.80000000000007</v>
      </c>
      <c r="H6" s="111">
        <f t="shared" si="2"/>
        <v>644.80000000000007</v>
      </c>
      <c r="I6" s="106">
        <f>VLOOKUP(B6,Ordering!$A$1:$J$83,6,FALSE)</f>
        <v>1</v>
      </c>
      <c r="J6" s="106">
        <f>VLOOKUP(B6,Ordering!$A$1:$J$83,10,FALSE)</f>
        <v>51</v>
      </c>
      <c r="K6" s="96">
        <f t="shared" si="3"/>
        <v>0.64480000000000004</v>
      </c>
      <c r="L6" s="95">
        <f t="shared" si="4"/>
        <v>32.884799999999998</v>
      </c>
    </row>
    <row r="7" spans="1:24" ht="15" customHeight="1">
      <c r="A7" s="14"/>
      <c r="B7" s="15" t="s">
        <v>241</v>
      </c>
      <c r="C7" s="14" t="s">
        <v>17</v>
      </c>
      <c r="D7" s="20">
        <v>5</v>
      </c>
      <c r="E7" s="17">
        <f t="shared" si="0"/>
        <v>52</v>
      </c>
      <c r="F7" s="18">
        <v>1</v>
      </c>
      <c r="G7" s="17">
        <f t="shared" si="1"/>
        <v>260</v>
      </c>
      <c r="H7" s="111">
        <f t="shared" si="2"/>
        <v>260</v>
      </c>
      <c r="I7" s="106">
        <f>VLOOKUP(B7,Ordering!$A$1:$J$83,6,FALSE)</f>
        <v>1</v>
      </c>
      <c r="J7" s="106">
        <f>VLOOKUP(B7,Ordering!$A$1:$J$83,10,FALSE)</f>
        <v>41</v>
      </c>
      <c r="K7" s="96">
        <f t="shared" si="3"/>
        <v>0.26</v>
      </c>
      <c r="L7" s="95">
        <f t="shared" si="4"/>
        <v>10.66</v>
      </c>
    </row>
    <row r="8" spans="1:24" ht="15" customHeight="1">
      <c r="U8" s="86" t="s">
        <v>193</v>
      </c>
      <c r="V8" s="87">
        <v>1</v>
      </c>
      <c r="W8" s="86" t="s">
        <v>14</v>
      </c>
      <c r="X8" s="88">
        <f>SUM(L5:L7)/S15</f>
        <v>1.0974000000000002</v>
      </c>
    </row>
    <row r="9" spans="1:24" ht="15" customHeight="1"/>
    <row r="10" spans="1:24" ht="15" customHeight="1">
      <c r="R10" s="163" t="s">
        <v>188</v>
      </c>
      <c r="S10" s="164"/>
    </row>
    <row r="11" spans="1:24" ht="15" customHeight="1">
      <c r="R11" s="163" t="s">
        <v>189</v>
      </c>
      <c r="S11" s="164"/>
    </row>
    <row r="12" spans="1:24" ht="15" customHeight="1">
      <c r="R12" s="5" t="s">
        <v>19</v>
      </c>
      <c r="S12" s="5" t="s">
        <v>20</v>
      </c>
    </row>
    <row r="13" spans="1:24" ht="15" customHeight="1">
      <c r="R13" s="5" t="s">
        <v>21</v>
      </c>
      <c r="S13" s="47">
        <f>V1</f>
        <v>47</v>
      </c>
    </row>
    <row r="14" spans="1:24" ht="14.75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52</v>
      </c>
    </row>
    <row r="16" spans="1:24">
      <c r="R16" s="89" t="s">
        <v>14</v>
      </c>
      <c r="S16" s="90">
        <f>SUM(L5:L7)</f>
        <v>57.064800000000005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38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0B582-EEEA-4248-AA67-4D2EAF045A25}">
  <sheetPr codeName="Sheet6">
    <tabColor theme="7" tint="-0.249977111117893"/>
    <pageSetUpPr fitToPage="1"/>
  </sheetPr>
  <dimension ref="A1:V20"/>
  <sheetViews>
    <sheetView topLeftCell="D1" zoomScale="70" zoomScaleNormal="70" zoomScaleSheetLayoutView="100" workbookViewId="0">
      <selection activeCell="S14" sqref="S14"/>
    </sheetView>
  </sheetViews>
  <sheetFormatPr defaultRowHeight="14.3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9" max="9" width="9.05859375" bestFit="1" customWidth="1"/>
    <col min="10" max="10" width="14.41015625" customWidth="1"/>
    <col min="11" max="11" width="10.64453125" bestFit="1" customWidth="1"/>
    <col min="12" max="12" width="9.05859375" bestFit="1" customWidth="1"/>
    <col min="18" max="18" width="15.5859375" customWidth="1"/>
    <col min="19" max="19" width="8.46875" bestFit="1" customWidth="1"/>
  </cols>
  <sheetData>
    <row r="1" spans="1:22">
      <c r="A1" s="38" t="s">
        <v>0</v>
      </c>
      <c r="B1" s="12">
        <v>1</v>
      </c>
      <c r="C1" s="4"/>
      <c r="D1" s="4"/>
      <c r="E1" s="38" t="s">
        <v>1</v>
      </c>
      <c r="F1" s="13">
        <f>S15</f>
        <v>15</v>
      </c>
      <c r="G1" s="4"/>
      <c r="H1" s="38" t="s">
        <v>2</v>
      </c>
      <c r="I1" s="13">
        <f>F1/B1</f>
        <v>15</v>
      </c>
      <c r="J1" s="4"/>
      <c r="K1" s="38"/>
      <c r="U1" s="123" t="s">
        <v>206</v>
      </c>
      <c r="V1" s="121">
        <v>13</v>
      </c>
    </row>
    <row r="2" spans="1:22" ht="14.25" customHeight="1">
      <c r="A2" s="42"/>
      <c r="B2" s="161" t="s">
        <v>3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2" ht="14.25" customHeight="1">
      <c r="A3" s="46"/>
      <c r="B3" s="162" t="s">
        <v>78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2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2" ht="15" customHeight="1" thickTop="1" thickBot="1">
      <c r="A5" s="15" t="s">
        <v>30</v>
      </c>
      <c r="B5" s="15" t="s">
        <v>100</v>
      </c>
      <c r="C5" s="15" t="s">
        <v>15</v>
      </c>
      <c r="D5" s="20">
        <f t="shared" ref="D5:D20" si="0">N5/8</f>
        <v>0.125</v>
      </c>
      <c r="E5" s="17">
        <f t="shared" ref="E5:E20" si="1">$I$1</f>
        <v>15</v>
      </c>
      <c r="F5" s="18">
        <v>1</v>
      </c>
      <c r="G5" s="30">
        <f t="shared" ref="G5:G20" si="2">E5*D5</f>
        <v>1.875</v>
      </c>
      <c r="H5" s="80">
        <f t="shared" ref="H5:H20" si="3">G5*F5</f>
        <v>1.875</v>
      </c>
      <c r="I5" s="23">
        <f>VLOOKUP(B5,Ordering!$A$1:$J$83,6,FALSE)</f>
        <v>1</v>
      </c>
      <c r="J5" s="23">
        <f>VLOOKUP(B5,Ordering!$A$1:$J$83,10,FALSE)</f>
        <v>0.43333333333333335</v>
      </c>
      <c r="K5" s="23">
        <f>H5/I5</f>
        <v>1.875</v>
      </c>
      <c r="L5" s="92">
        <f>I5*J5</f>
        <v>0.43333333333333335</v>
      </c>
      <c r="N5" s="1">
        <v>1</v>
      </c>
    </row>
    <row r="6" spans="1:22" ht="14.75" customHeight="1" thickTop="1">
      <c r="A6" s="15" t="s">
        <v>30</v>
      </c>
      <c r="B6" s="15" t="s">
        <v>101</v>
      </c>
      <c r="C6" s="15" t="s">
        <v>16</v>
      </c>
      <c r="D6" s="20">
        <f t="shared" si="0"/>
        <v>14</v>
      </c>
      <c r="E6" s="17">
        <f t="shared" si="1"/>
        <v>15</v>
      </c>
      <c r="F6" s="18">
        <v>1</v>
      </c>
      <c r="G6" s="17">
        <f t="shared" si="2"/>
        <v>210</v>
      </c>
      <c r="H6" s="80">
        <f t="shared" si="3"/>
        <v>210</v>
      </c>
      <c r="I6" s="23">
        <f>VLOOKUP(B6,Ordering!$A$1:$J$83,6,FALSE)</f>
        <v>1</v>
      </c>
      <c r="J6" s="23">
        <f>VLOOKUP(B6,Ordering!$A$1:$J$83,10,FALSE)</f>
        <v>4.2033333333333331</v>
      </c>
      <c r="K6" s="23">
        <f t="shared" ref="K6:K16" si="4">H6/I6</f>
        <v>210</v>
      </c>
      <c r="L6" s="92">
        <f t="shared" ref="L6:L16" si="5">I6*J6</f>
        <v>4.2033333333333331</v>
      </c>
      <c r="N6" s="31">
        <v>112</v>
      </c>
    </row>
    <row r="7" spans="1:22">
      <c r="A7" s="15" t="s">
        <v>47</v>
      </c>
      <c r="B7" s="15" t="s">
        <v>126</v>
      </c>
      <c r="C7" s="15" t="s">
        <v>17</v>
      </c>
      <c r="D7" s="20">
        <f t="shared" si="0"/>
        <v>3.125</v>
      </c>
      <c r="E7" s="17">
        <f t="shared" si="1"/>
        <v>15</v>
      </c>
      <c r="F7" s="18">
        <v>1</v>
      </c>
      <c r="G7" s="17">
        <f t="shared" si="2"/>
        <v>46.875</v>
      </c>
      <c r="H7" s="80">
        <f t="shared" si="3"/>
        <v>46.875</v>
      </c>
      <c r="I7" s="23">
        <f>VLOOKUP(B7,Ordering!$A$1:$J$83,6,FALSE)</f>
        <v>1</v>
      </c>
      <c r="J7" s="23">
        <f>VLOOKUP(B7,Ordering!$A$1:$J$83,10,FALSE)</f>
        <v>5.882352941176471</v>
      </c>
      <c r="K7" s="23">
        <f t="shared" si="4"/>
        <v>46.875</v>
      </c>
      <c r="L7" s="92">
        <f t="shared" si="5"/>
        <v>5.882352941176471</v>
      </c>
      <c r="N7" s="31">
        <v>25</v>
      </c>
    </row>
    <row r="8" spans="1:22">
      <c r="A8" s="15" t="s">
        <v>47</v>
      </c>
      <c r="B8" s="15" t="s">
        <v>108</v>
      </c>
      <c r="C8" s="15" t="s">
        <v>17</v>
      </c>
      <c r="D8" s="20">
        <f t="shared" si="0"/>
        <v>0.375</v>
      </c>
      <c r="E8" s="17">
        <f t="shared" si="1"/>
        <v>15</v>
      </c>
      <c r="F8" s="18">
        <v>1</v>
      </c>
      <c r="G8" s="17">
        <f t="shared" si="2"/>
        <v>5.625</v>
      </c>
      <c r="H8" s="80">
        <f t="shared" si="3"/>
        <v>5.625</v>
      </c>
      <c r="I8" s="23">
        <f>VLOOKUP(B8,Ordering!$A$1:$J$83,6,FALSE)</f>
        <v>1</v>
      </c>
      <c r="J8" s="23">
        <f>VLOOKUP(B8,Ordering!$A$1:$J$83,10,FALSE)</f>
        <v>21.74</v>
      </c>
      <c r="K8" s="23">
        <f t="shared" si="4"/>
        <v>5.625</v>
      </c>
      <c r="L8" s="92">
        <f t="shared" si="5"/>
        <v>21.74</v>
      </c>
      <c r="N8" s="31">
        <v>3</v>
      </c>
    </row>
    <row r="9" spans="1:22">
      <c r="A9" s="15" t="s">
        <v>47</v>
      </c>
      <c r="B9" s="15" t="s">
        <v>109</v>
      </c>
      <c r="C9" s="15" t="s">
        <v>17</v>
      </c>
      <c r="D9" s="20">
        <f t="shared" si="0"/>
        <v>0.375</v>
      </c>
      <c r="E9" s="17">
        <f t="shared" si="1"/>
        <v>15</v>
      </c>
      <c r="F9" s="18">
        <v>1</v>
      </c>
      <c r="G9" s="17">
        <f t="shared" si="2"/>
        <v>5.625</v>
      </c>
      <c r="H9" s="80">
        <f t="shared" si="3"/>
        <v>5.625</v>
      </c>
      <c r="I9" s="23">
        <f>VLOOKUP(B9,Ordering!$A$1:$J$83,6,FALSE)</f>
        <v>1</v>
      </c>
      <c r="J9" s="23">
        <f>VLOOKUP(B9,Ordering!$A$1:$J$83,10,FALSE)</f>
        <v>90</v>
      </c>
      <c r="K9" s="23">
        <f t="shared" si="4"/>
        <v>5.625</v>
      </c>
      <c r="L9" s="92">
        <f t="shared" si="5"/>
        <v>90</v>
      </c>
      <c r="N9" s="31">
        <v>3</v>
      </c>
    </row>
    <row r="10" spans="1:22">
      <c r="A10" s="14" t="s">
        <v>30</v>
      </c>
      <c r="B10" s="15" t="s">
        <v>107</v>
      </c>
      <c r="C10" s="15" t="s">
        <v>17</v>
      </c>
      <c r="D10" s="20">
        <f t="shared" si="0"/>
        <v>2.75</v>
      </c>
      <c r="E10" s="17">
        <f t="shared" si="1"/>
        <v>15</v>
      </c>
      <c r="F10" s="18">
        <v>1</v>
      </c>
      <c r="G10" s="17">
        <f t="shared" si="2"/>
        <v>41.25</v>
      </c>
      <c r="H10" s="80">
        <f t="shared" si="3"/>
        <v>41.25</v>
      </c>
      <c r="I10" s="23">
        <f>VLOOKUP(B10,Ordering!$A$1:$J$83,6,FALSE)</f>
        <v>1</v>
      </c>
      <c r="J10" s="23">
        <f>VLOOKUP(B10,Ordering!$A$1:$J$83,10,FALSE)</f>
        <v>14</v>
      </c>
      <c r="K10" s="23">
        <f t="shared" si="4"/>
        <v>41.25</v>
      </c>
      <c r="L10" s="92">
        <f t="shared" si="5"/>
        <v>14</v>
      </c>
      <c r="N10" s="31">
        <v>22</v>
      </c>
      <c r="R10" s="163" t="s">
        <v>77</v>
      </c>
      <c r="S10" s="164"/>
    </row>
    <row r="11" spans="1:22">
      <c r="A11" s="14" t="s">
        <v>46</v>
      </c>
      <c r="B11" s="15" t="s">
        <v>247</v>
      </c>
      <c r="C11" s="15" t="s">
        <v>17</v>
      </c>
      <c r="D11" s="20">
        <f t="shared" si="0"/>
        <v>1.5</v>
      </c>
      <c r="E11" s="17">
        <f t="shared" si="1"/>
        <v>15</v>
      </c>
      <c r="F11" s="18">
        <v>1</v>
      </c>
      <c r="G11" s="17">
        <f t="shared" si="2"/>
        <v>22.5</v>
      </c>
      <c r="H11" s="80">
        <f t="shared" si="3"/>
        <v>22.5</v>
      </c>
      <c r="I11" s="23">
        <f>VLOOKUP(B11,Ordering!$A$1:$J$83,6,FALSE)</f>
        <v>1</v>
      </c>
      <c r="J11" s="23">
        <f>VLOOKUP(B11,Ordering!$A$1:$J$83,10,FALSE)</f>
        <v>2.7</v>
      </c>
      <c r="K11" s="23">
        <f t="shared" si="4"/>
        <v>22.5</v>
      </c>
      <c r="L11" s="92">
        <f t="shared" si="5"/>
        <v>2.7</v>
      </c>
      <c r="N11" s="31">
        <v>12</v>
      </c>
      <c r="R11" s="163" t="s">
        <v>18</v>
      </c>
      <c r="S11" s="164"/>
    </row>
    <row r="12" spans="1:22" ht="14.75" customHeight="1">
      <c r="A12" s="14" t="s">
        <v>48</v>
      </c>
      <c r="B12" s="15" t="s">
        <v>111</v>
      </c>
      <c r="C12" s="15" t="s">
        <v>17</v>
      </c>
      <c r="D12" s="20">
        <f t="shared" si="0"/>
        <v>15.625</v>
      </c>
      <c r="E12" s="17">
        <f t="shared" si="1"/>
        <v>15</v>
      </c>
      <c r="F12" s="18">
        <v>1</v>
      </c>
      <c r="G12" s="17">
        <f t="shared" si="2"/>
        <v>234.375</v>
      </c>
      <c r="H12" s="80">
        <f t="shared" si="3"/>
        <v>234.375</v>
      </c>
      <c r="I12" s="23">
        <f>VLOOKUP(B12,Ordering!$A$1:$J$83,6,FALSE)</f>
        <v>1</v>
      </c>
      <c r="J12" s="23">
        <f>VLOOKUP(B12,Ordering!$A$1:$J$83,10,FALSE)</f>
        <v>1.8</v>
      </c>
      <c r="K12" s="23">
        <f t="shared" si="4"/>
        <v>234.375</v>
      </c>
      <c r="L12" s="92">
        <f t="shared" si="5"/>
        <v>1.8</v>
      </c>
      <c r="N12" s="31">
        <v>125</v>
      </c>
      <c r="R12" s="5" t="s">
        <v>19</v>
      </c>
      <c r="S12" s="5" t="s">
        <v>20</v>
      </c>
    </row>
    <row r="13" spans="1:22" ht="14.75" customHeight="1">
      <c r="A13" s="14" t="s">
        <v>48</v>
      </c>
      <c r="B13" s="15" t="s">
        <v>114</v>
      </c>
      <c r="C13" s="15" t="s">
        <v>17</v>
      </c>
      <c r="D13" s="20">
        <f t="shared" si="0"/>
        <v>15.625</v>
      </c>
      <c r="E13" s="17">
        <f t="shared" si="1"/>
        <v>15</v>
      </c>
      <c r="F13" s="18">
        <v>1</v>
      </c>
      <c r="G13" s="17">
        <f t="shared" si="2"/>
        <v>234.375</v>
      </c>
      <c r="H13" s="80">
        <f t="shared" si="3"/>
        <v>234.375</v>
      </c>
      <c r="I13" s="23">
        <f>VLOOKUP(B13,Ordering!$A$1:$J$83,6,FALSE)</f>
        <v>1</v>
      </c>
      <c r="J13" s="23">
        <f>VLOOKUP(B13,Ordering!$A$1:$J$83,10,FALSE)</f>
        <v>1.7</v>
      </c>
      <c r="K13" s="23">
        <f t="shared" si="4"/>
        <v>234.375</v>
      </c>
      <c r="L13" s="92">
        <f t="shared" si="5"/>
        <v>1.7</v>
      </c>
      <c r="N13" s="31">
        <v>125</v>
      </c>
      <c r="R13" s="5" t="s">
        <v>21</v>
      </c>
      <c r="S13" s="47">
        <f>V1</f>
        <v>13</v>
      </c>
    </row>
    <row r="14" spans="1:22" ht="14.75" customHeight="1">
      <c r="A14" s="14" t="s">
        <v>30</v>
      </c>
      <c r="B14" s="15" t="s">
        <v>105</v>
      </c>
      <c r="C14" s="15" t="s">
        <v>17</v>
      </c>
      <c r="D14" s="20">
        <f t="shared" si="0"/>
        <v>100</v>
      </c>
      <c r="E14" s="17">
        <f t="shared" si="1"/>
        <v>15</v>
      </c>
      <c r="F14" s="18">
        <v>1</v>
      </c>
      <c r="G14" s="17">
        <f t="shared" si="2"/>
        <v>1500</v>
      </c>
      <c r="H14" s="80">
        <f t="shared" si="3"/>
        <v>1500</v>
      </c>
      <c r="I14" s="23">
        <f>VLOOKUP(B14,Ordering!$A$1:$J$83,6,FALSE)</f>
        <v>1</v>
      </c>
      <c r="J14" s="23">
        <f>VLOOKUP(B14,Ordering!$A$1:$J$83,10,FALSE)</f>
        <v>13.545454545454545</v>
      </c>
      <c r="K14" s="23">
        <f t="shared" si="4"/>
        <v>1500</v>
      </c>
      <c r="L14" s="92">
        <f t="shared" si="5"/>
        <v>13.545454545454545</v>
      </c>
      <c r="N14" s="31">
        <v>800</v>
      </c>
      <c r="R14" s="5" t="s">
        <v>22</v>
      </c>
      <c r="S14" s="14">
        <v>2</v>
      </c>
    </row>
    <row r="15" spans="1:22">
      <c r="A15" s="14" t="s">
        <v>51</v>
      </c>
      <c r="B15" s="15" t="s">
        <v>121</v>
      </c>
      <c r="C15" s="15" t="s">
        <v>17</v>
      </c>
      <c r="D15" s="20">
        <f t="shared" si="0"/>
        <v>20</v>
      </c>
      <c r="E15" s="17">
        <f t="shared" si="1"/>
        <v>15</v>
      </c>
      <c r="F15" s="18">
        <v>1</v>
      </c>
      <c r="G15" s="17">
        <f t="shared" si="2"/>
        <v>300</v>
      </c>
      <c r="H15" s="80">
        <f t="shared" si="3"/>
        <v>300</v>
      </c>
      <c r="I15" s="23">
        <f>VLOOKUP(B15,Ordering!$A$1:$J$83,6,FALSE)</f>
        <v>0.69</v>
      </c>
      <c r="J15" s="23">
        <f>VLOOKUP(B15,Ordering!$A$1:$J$83,10,FALSE)</f>
        <v>4</v>
      </c>
      <c r="K15" s="23">
        <f t="shared" si="4"/>
        <v>434.78260869565219</v>
      </c>
      <c r="L15" s="92">
        <f t="shared" si="5"/>
        <v>2.76</v>
      </c>
      <c r="N15" s="31">
        <v>160</v>
      </c>
      <c r="R15" s="5" t="s">
        <v>23</v>
      </c>
      <c r="S15" s="48">
        <f>S13+S14</f>
        <v>15</v>
      </c>
    </row>
    <row r="16" spans="1:22">
      <c r="A16" s="14" t="s">
        <v>52</v>
      </c>
      <c r="B16" s="15" t="s">
        <v>120</v>
      </c>
      <c r="C16" s="15" t="s">
        <v>17</v>
      </c>
      <c r="D16" s="20">
        <f t="shared" si="0"/>
        <v>5</v>
      </c>
      <c r="E16" s="17">
        <f t="shared" si="1"/>
        <v>15</v>
      </c>
      <c r="F16" s="18">
        <v>1</v>
      </c>
      <c r="G16" s="17">
        <f t="shared" si="2"/>
        <v>75</v>
      </c>
      <c r="H16" s="80">
        <f t="shared" si="3"/>
        <v>75</v>
      </c>
      <c r="I16" s="23">
        <f>VLOOKUP(B16,Ordering!$A$1:$J$83,6,FALSE)</f>
        <v>0.9</v>
      </c>
      <c r="J16" s="23">
        <f>VLOOKUP(B16,Ordering!$A$1:$J$83,10,FALSE)</f>
        <v>3.5</v>
      </c>
      <c r="K16" s="23">
        <f t="shared" si="4"/>
        <v>83.333333333333329</v>
      </c>
      <c r="L16" s="92">
        <f t="shared" si="5"/>
        <v>3.15</v>
      </c>
      <c r="N16" s="31">
        <v>40</v>
      </c>
    </row>
    <row r="17" spans="1:14">
      <c r="A17" s="14" t="s">
        <v>52</v>
      </c>
      <c r="B17" s="15" t="s">
        <v>112</v>
      </c>
      <c r="C17" s="15" t="s">
        <v>17</v>
      </c>
      <c r="D17" s="20">
        <f t="shared" si="0"/>
        <v>5</v>
      </c>
      <c r="E17" s="17">
        <f t="shared" si="1"/>
        <v>15</v>
      </c>
      <c r="F17" s="18">
        <v>1</v>
      </c>
      <c r="G17" s="17">
        <f t="shared" si="2"/>
        <v>75</v>
      </c>
      <c r="H17" s="17">
        <f t="shared" si="3"/>
        <v>75</v>
      </c>
      <c r="I17" s="23">
        <f>VLOOKUP(B17,Ordering!$A$1:$J$83,6,FALSE)</f>
        <v>0.8</v>
      </c>
      <c r="J17" s="23">
        <f>VLOOKUP(B17,Ordering!$A$1:$J$83,10,FALSE)</f>
        <v>3</v>
      </c>
      <c r="K17" s="23">
        <f t="shared" ref="K17:K20" si="6">H17/I17</f>
        <v>93.75</v>
      </c>
      <c r="L17" s="92">
        <f t="shared" ref="L17:L20" si="7">I17*J17</f>
        <v>2.4000000000000004</v>
      </c>
      <c r="N17" s="31">
        <v>40</v>
      </c>
    </row>
    <row r="18" spans="1:14">
      <c r="A18" s="14" t="s">
        <v>51</v>
      </c>
      <c r="B18" s="15" t="s">
        <v>124</v>
      </c>
      <c r="C18" s="15" t="s">
        <v>17</v>
      </c>
      <c r="D18" s="20">
        <f t="shared" si="0"/>
        <v>1</v>
      </c>
      <c r="E18" s="17">
        <f t="shared" si="1"/>
        <v>15</v>
      </c>
      <c r="F18" s="18">
        <v>1</v>
      </c>
      <c r="G18" s="17">
        <f t="shared" si="2"/>
        <v>15</v>
      </c>
      <c r="H18" s="17">
        <f t="shared" si="3"/>
        <v>15</v>
      </c>
      <c r="I18" s="23">
        <f>VLOOKUP(B18,Ordering!$A$1:$J$83,6,FALSE)</f>
        <v>1</v>
      </c>
      <c r="J18" s="23">
        <f>VLOOKUP(B18,Ordering!$A$1:$J$83,10,FALSE)</f>
        <v>20</v>
      </c>
      <c r="K18" s="23">
        <f t="shared" si="6"/>
        <v>15</v>
      </c>
      <c r="L18" s="92">
        <f t="shared" si="7"/>
        <v>20</v>
      </c>
      <c r="N18" s="31">
        <v>8</v>
      </c>
    </row>
    <row r="19" spans="1:14">
      <c r="A19" s="14" t="s">
        <v>47</v>
      </c>
      <c r="B19" s="15" t="s">
        <v>237</v>
      </c>
      <c r="C19" s="15" t="s">
        <v>17</v>
      </c>
      <c r="D19" s="20">
        <f t="shared" si="0"/>
        <v>8</v>
      </c>
      <c r="E19" s="17">
        <f t="shared" si="1"/>
        <v>15</v>
      </c>
      <c r="F19" s="18">
        <v>1</v>
      </c>
      <c r="G19" s="17">
        <f t="shared" si="2"/>
        <v>120</v>
      </c>
      <c r="H19" s="17">
        <f t="shared" si="3"/>
        <v>120</v>
      </c>
      <c r="I19" s="23">
        <f>VLOOKUP(B19,Ordering!$A$1:$J$83,6,FALSE)</f>
        <v>1</v>
      </c>
      <c r="J19" s="23">
        <f>VLOOKUP(B19,Ordering!$A$1:$J$83,10,FALSE)</f>
        <v>10.416666666666666</v>
      </c>
      <c r="K19" s="23">
        <f t="shared" si="6"/>
        <v>120</v>
      </c>
      <c r="L19" s="92">
        <f t="shared" si="7"/>
        <v>10.416666666666666</v>
      </c>
      <c r="N19" s="31">
        <v>64</v>
      </c>
    </row>
    <row r="20" spans="1:14">
      <c r="A20" s="14" t="s">
        <v>47</v>
      </c>
      <c r="B20" s="15" t="s">
        <v>238</v>
      </c>
      <c r="C20" s="15" t="s">
        <v>17</v>
      </c>
      <c r="D20" s="20">
        <f t="shared" si="0"/>
        <v>8</v>
      </c>
      <c r="E20" s="17">
        <f t="shared" si="1"/>
        <v>15</v>
      </c>
      <c r="F20" s="18">
        <v>1</v>
      </c>
      <c r="G20" s="17">
        <f t="shared" si="2"/>
        <v>120</v>
      </c>
      <c r="H20" s="17">
        <f t="shared" si="3"/>
        <v>120</v>
      </c>
      <c r="I20" s="23">
        <f>VLOOKUP(B20,Ordering!$A$1:$J$83,6,FALSE)</f>
        <v>1</v>
      </c>
      <c r="J20" s="23">
        <f>VLOOKUP(B20,Ordering!$A$1:$J$83,10,FALSE)</f>
        <v>6.5883838383838373</v>
      </c>
      <c r="K20" s="23">
        <f t="shared" si="6"/>
        <v>120</v>
      </c>
      <c r="L20" s="92">
        <f t="shared" si="7"/>
        <v>6.5883838383838373</v>
      </c>
      <c r="N20" s="31">
        <v>64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4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9670-7F1B-4A29-A9B6-AEFCE3BA5C55}">
  <sheetPr codeName="Sheet5">
    <tabColor theme="7" tint="-0.249977111117893"/>
    <pageSetUpPr fitToPage="1"/>
  </sheetPr>
  <dimension ref="A1:V21"/>
  <sheetViews>
    <sheetView topLeftCell="F1" zoomScale="70" zoomScaleNormal="70" zoomScaleSheetLayoutView="100" workbookViewId="0">
      <selection activeCell="S14" sqref="S14"/>
    </sheetView>
  </sheetViews>
  <sheetFormatPr defaultRowHeight="14.3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21.9375" customWidth="1"/>
    <col min="19" max="19" width="8.46875" bestFit="1" customWidth="1"/>
  </cols>
  <sheetData>
    <row r="1" spans="1:22">
      <c r="A1" s="38" t="s">
        <v>0</v>
      </c>
      <c r="B1" s="12">
        <v>1</v>
      </c>
      <c r="C1" s="4"/>
      <c r="D1" s="4"/>
      <c r="E1" s="38" t="s">
        <v>1</v>
      </c>
      <c r="F1" s="13">
        <f>S15</f>
        <v>96</v>
      </c>
      <c r="G1" s="4"/>
      <c r="H1" s="38" t="s">
        <v>2</v>
      </c>
      <c r="I1" s="13">
        <f>F1/B1</f>
        <v>96</v>
      </c>
      <c r="J1" s="4"/>
      <c r="K1" s="38"/>
      <c r="U1" s="123" t="s">
        <v>206</v>
      </c>
      <c r="V1" s="121">
        <v>94</v>
      </c>
    </row>
    <row r="2" spans="1:22" ht="14.25" customHeight="1">
      <c r="A2" s="42"/>
      <c r="B2" s="161" t="s">
        <v>45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2" ht="14.25" customHeight="1">
      <c r="A3" s="46"/>
      <c r="B3" s="162" t="s">
        <v>75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2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2" ht="15" customHeight="1" thickTop="1" thickBot="1">
      <c r="A5" s="15" t="s">
        <v>30</v>
      </c>
      <c r="B5" s="15" t="s">
        <v>100</v>
      </c>
      <c r="C5" s="15" t="s">
        <v>15</v>
      </c>
      <c r="D5" s="20">
        <f t="shared" ref="D5:D21" si="0">N5/8</f>
        <v>0.125</v>
      </c>
      <c r="E5" s="17">
        <f t="shared" ref="E5:E21" si="1">$I$1</f>
        <v>96</v>
      </c>
      <c r="F5" s="18">
        <v>1</v>
      </c>
      <c r="G5" s="30">
        <f t="shared" ref="G5:G21" si="2">E5*D5</f>
        <v>12</v>
      </c>
      <c r="H5" s="80">
        <f t="shared" ref="H5:H21" si="3">G5*F5</f>
        <v>12</v>
      </c>
      <c r="I5" s="23">
        <f>VLOOKUP(B5,Ordering!$A$1:$J$83,6,FALSE)</f>
        <v>1</v>
      </c>
      <c r="J5" s="23">
        <f>VLOOKUP(B5,Ordering!$A$1:$J$83,10,FALSE)</f>
        <v>0.43333333333333335</v>
      </c>
      <c r="K5" s="23">
        <f>H5/I5</f>
        <v>12</v>
      </c>
      <c r="L5" s="92">
        <f>I5*J5</f>
        <v>0.43333333333333335</v>
      </c>
      <c r="N5" s="1">
        <v>1</v>
      </c>
    </row>
    <row r="6" spans="1:22" ht="14.75" customHeight="1" thickTop="1">
      <c r="A6" s="15" t="s">
        <v>30</v>
      </c>
      <c r="B6" s="15" t="s">
        <v>101</v>
      </c>
      <c r="C6" s="15" t="s">
        <v>16</v>
      </c>
      <c r="D6" s="20">
        <f t="shared" si="0"/>
        <v>14</v>
      </c>
      <c r="E6" s="17">
        <f t="shared" si="1"/>
        <v>96</v>
      </c>
      <c r="F6" s="18">
        <v>1</v>
      </c>
      <c r="G6" s="17">
        <f t="shared" si="2"/>
        <v>1344</v>
      </c>
      <c r="H6" s="80">
        <f t="shared" si="3"/>
        <v>1344</v>
      </c>
      <c r="I6" s="23">
        <f>VLOOKUP(B6,Ordering!$A$1:$J$83,6,FALSE)</f>
        <v>1</v>
      </c>
      <c r="J6" s="23">
        <f>VLOOKUP(B6,Ordering!$A$1:$J$83,10,FALSE)</f>
        <v>4.2033333333333331</v>
      </c>
      <c r="K6" s="23">
        <f t="shared" ref="K6:K16" si="4">H6/I6</f>
        <v>1344</v>
      </c>
      <c r="L6" s="92">
        <f t="shared" ref="L6:L16" si="5">I6*J6</f>
        <v>4.2033333333333331</v>
      </c>
      <c r="N6" s="31">
        <v>112</v>
      </c>
    </row>
    <row r="7" spans="1:22">
      <c r="A7" s="15" t="s">
        <v>47</v>
      </c>
      <c r="B7" s="15" t="s">
        <v>126</v>
      </c>
      <c r="C7" s="15" t="s">
        <v>16</v>
      </c>
      <c r="D7" s="20">
        <f t="shared" si="0"/>
        <v>3.125</v>
      </c>
      <c r="E7" s="17">
        <f t="shared" si="1"/>
        <v>96</v>
      </c>
      <c r="F7" s="18">
        <v>1</v>
      </c>
      <c r="G7" s="17">
        <f t="shared" si="2"/>
        <v>300</v>
      </c>
      <c r="H7" s="80">
        <f t="shared" si="3"/>
        <v>300</v>
      </c>
      <c r="I7" s="23">
        <f>VLOOKUP(B7,Ordering!$A$1:$J$83,6,FALSE)</f>
        <v>1</v>
      </c>
      <c r="J7" s="23">
        <f>VLOOKUP(B7,Ordering!$A$1:$J$83,10,FALSE)</f>
        <v>5.882352941176471</v>
      </c>
      <c r="K7" s="23">
        <f t="shared" si="4"/>
        <v>300</v>
      </c>
      <c r="L7" s="92">
        <f t="shared" si="5"/>
        <v>5.882352941176471</v>
      </c>
      <c r="N7" s="31">
        <v>25</v>
      </c>
    </row>
    <row r="8" spans="1:22">
      <c r="A8" s="15" t="s">
        <v>47</v>
      </c>
      <c r="B8" s="15" t="s">
        <v>108</v>
      </c>
      <c r="C8" s="15" t="s">
        <v>17</v>
      </c>
      <c r="D8" s="20">
        <f t="shared" si="0"/>
        <v>0.375</v>
      </c>
      <c r="E8" s="17">
        <f t="shared" si="1"/>
        <v>96</v>
      </c>
      <c r="F8" s="18">
        <v>1</v>
      </c>
      <c r="G8" s="17">
        <f t="shared" si="2"/>
        <v>36</v>
      </c>
      <c r="H8" s="80">
        <f t="shared" si="3"/>
        <v>36</v>
      </c>
      <c r="I8" s="23">
        <f>VLOOKUP(B8,Ordering!$A$1:$J$83,6,FALSE)</f>
        <v>1</v>
      </c>
      <c r="J8" s="23">
        <f>VLOOKUP(B8,Ordering!$A$1:$J$83,10,FALSE)</f>
        <v>21.74</v>
      </c>
      <c r="K8" s="23">
        <f t="shared" si="4"/>
        <v>36</v>
      </c>
      <c r="L8" s="92">
        <f t="shared" si="5"/>
        <v>21.74</v>
      </c>
      <c r="N8" s="31">
        <v>3</v>
      </c>
    </row>
    <row r="9" spans="1:22">
      <c r="A9" s="15" t="s">
        <v>47</v>
      </c>
      <c r="B9" s="15" t="s">
        <v>109</v>
      </c>
      <c r="C9" s="15" t="s">
        <v>17</v>
      </c>
      <c r="D9" s="20">
        <f t="shared" si="0"/>
        <v>0.375</v>
      </c>
      <c r="E9" s="17">
        <f t="shared" si="1"/>
        <v>96</v>
      </c>
      <c r="F9" s="18">
        <v>1</v>
      </c>
      <c r="G9" s="17">
        <f t="shared" si="2"/>
        <v>36</v>
      </c>
      <c r="H9" s="80">
        <f t="shared" si="3"/>
        <v>36</v>
      </c>
      <c r="I9" s="23">
        <f>VLOOKUP(B9,Ordering!$A$1:$J$83,6,FALSE)</f>
        <v>1</v>
      </c>
      <c r="J9" s="23">
        <f>VLOOKUP(B9,Ordering!$A$1:$J$83,10,FALSE)</f>
        <v>90</v>
      </c>
      <c r="K9" s="23">
        <f t="shared" si="4"/>
        <v>36</v>
      </c>
      <c r="L9" s="92">
        <f t="shared" si="5"/>
        <v>90</v>
      </c>
      <c r="N9" s="31">
        <v>3</v>
      </c>
    </row>
    <row r="10" spans="1:22">
      <c r="A10" s="14" t="s">
        <v>30</v>
      </c>
      <c r="B10" s="15" t="s">
        <v>107</v>
      </c>
      <c r="C10" s="15" t="s">
        <v>17</v>
      </c>
      <c r="D10" s="20">
        <f t="shared" si="0"/>
        <v>2.75</v>
      </c>
      <c r="E10" s="17">
        <f t="shared" si="1"/>
        <v>96</v>
      </c>
      <c r="F10" s="18">
        <v>1</v>
      </c>
      <c r="G10" s="17">
        <f t="shared" si="2"/>
        <v>264</v>
      </c>
      <c r="H10" s="80">
        <f t="shared" si="3"/>
        <v>264</v>
      </c>
      <c r="I10" s="23">
        <f>VLOOKUP(B10,Ordering!$A$1:$J$83,6,FALSE)</f>
        <v>1</v>
      </c>
      <c r="J10" s="23">
        <f>VLOOKUP(B10,Ordering!$A$1:$J$83,10,FALSE)</f>
        <v>14</v>
      </c>
      <c r="K10" s="23">
        <f t="shared" si="4"/>
        <v>264</v>
      </c>
      <c r="L10" s="92">
        <f t="shared" si="5"/>
        <v>14</v>
      </c>
      <c r="N10" s="31">
        <v>22</v>
      </c>
      <c r="R10" s="163" t="s">
        <v>261</v>
      </c>
      <c r="S10" s="164"/>
    </row>
    <row r="11" spans="1:22">
      <c r="A11" s="14" t="s">
        <v>46</v>
      </c>
      <c r="B11" s="15" t="s">
        <v>247</v>
      </c>
      <c r="C11" s="15" t="s">
        <v>17</v>
      </c>
      <c r="D11" s="20">
        <f t="shared" si="0"/>
        <v>1.5</v>
      </c>
      <c r="E11" s="17">
        <f t="shared" si="1"/>
        <v>96</v>
      </c>
      <c r="F11" s="18">
        <v>1</v>
      </c>
      <c r="G11" s="17">
        <f t="shared" si="2"/>
        <v>144</v>
      </c>
      <c r="H11" s="80">
        <f t="shared" si="3"/>
        <v>144</v>
      </c>
      <c r="I11" s="23">
        <f>VLOOKUP(B11,Ordering!$A$1:$J$83,6,FALSE)</f>
        <v>1</v>
      </c>
      <c r="J11" s="23">
        <f>VLOOKUP(B11,Ordering!$A$1:$J$83,10,FALSE)</f>
        <v>2.7</v>
      </c>
      <c r="K11" s="23">
        <f t="shared" si="4"/>
        <v>144</v>
      </c>
      <c r="L11" s="92">
        <f t="shared" si="5"/>
        <v>2.7</v>
      </c>
      <c r="N11" s="31">
        <v>12</v>
      </c>
      <c r="R11" s="163" t="s">
        <v>18</v>
      </c>
      <c r="S11" s="164"/>
    </row>
    <row r="12" spans="1:22" ht="14.75" customHeight="1">
      <c r="A12" s="14" t="s">
        <v>48</v>
      </c>
      <c r="B12" s="15" t="s">
        <v>111</v>
      </c>
      <c r="C12" s="15" t="s">
        <v>17</v>
      </c>
      <c r="D12" s="20">
        <f t="shared" si="0"/>
        <v>15.625</v>
      </c>
      <c r="E12" s="17">
        <f t="shared" si="1"/>
        <v>96</v>
      </c>
      <c r="F12" s="18">
        <v>1</v>
      </c>
      <c r="G12" s="17">
        <f t="shared" si="2"/>
        <v>1500</v>
      </c>
      <c r="H12" s="80">
        <f t="shared" si="3"/>
        <v>1500</v>
      </c>
      <c r="I12" s="23">
        <f>VLOOKUP(B12,Ordering!$A$1:$J$83,6,FALSE)</f>
        <v>1</v>
      </c>
      <c r="J12" s="23">
        <f>VLOOKUP(B12,Ordering!$A$1:$J$83,10,FALSE)</f>
        <v>1.8</v>
      </c>
      <c r="K12" s="23">
        <f t="shared" si="4"/>
        <v>1500</v>
      </c>
      <c r="L12" s="92">
        <f t="shared" si="5"/>
        <v>1.8</v>
      </c>
      <c r="N12" s="31">
        <v>125</v>
      </c>
      <c r="R12" s="5" t="s">
        <v>19</v>
      </c>
      <c r="S12" s="5" t="s">
        <v>20</v>
      </c>
    </row>
    <row r="13" spans="1:22" ht="14.75" customHeight="1">
      <c r="A13" s="14" t="s">
        <v>48</v>
      </c>
      <c r="B13" s="15" t="s">
        <v>114</v>
      </c>
      <c r="C13" s="15" t="s">
        <v>17</v>
      </c>
      <c r="D13" s="20">
        <f t="shared" si="0"/>
        <v>15.625</v>
      </c>
      <c r="E13" s="17">
        <f t="shared" si="1"/>
        <v>96</v>
      </c>
      <c r="F13" s="18">
        <v>1</v>
      </c>
      <c r="G13" s="17">
        <f t="shared" si="2"/>
        <v>1500</v>
      </c>
      <c r="H13" s="80">
        <f t="shared" si="3"/>
        <v>1500</v>
      </c>
      <c r="I13" s="23">
        <f>VLOOKUP(B13,Ordering!$A$1:$J$83,6,FALSE)</f>
        <v>1</v>
      </c>
      <c r="J13" s="23">
        <f>VLOOKUP(B13,Ordering!$A$1:$J$83,10,FALSE)</f>
        <v>1.7</v>
      </c>
      <c r="K13" s="23">
        <f t="shared" si="4"/>
        <v>1500</v>
      </c>
      <c r="L13" s="92">
        <f t="shared" si="5"/>
        <v>1.7</v>
      </c>
      <c r="N13" s="31">
        <v>125</v>
      </c>
      <c r="R13" s="5" t="s">
        <v>21</v>
      </c>
      <c r="S13" s="47">
        <f>V1</f>
        <v>94</v>
      </c>
    </row>
    <row r="14" spans="1:22" ht="14.75" customHeight="1">
      <c r="A14" s="14" t="s">
        <v>30</v>
      </c>
      <c r="B14" s="15" t="s">
        <v>102</v>
      </c>
      <c r="C14" s="15" t="s">
        <v>17</v>
      </c>
      <c r="D14" s="20">
        <f t="shared" si="0"/>
        <v>100</v>
      </c>
      <c r="E14" s="17">
        <f t="shared" si="1"/>
        <v>96</v>
      </c>
      <c r="F14" s="18">
        <v>1</v>
      </c>
      <c r="G14" s="17">
        <f t="shared" si="2"/>
        <v>9600</v>
      </c>
      <c r="H14" s="80">
        <f t="shared" si="3"/>
        <v>9600</v>
      </c>
      <c r="I14" s="23">
        <f>VLOOKUP(B14,Ordering!$A$1:$J$83,6,FALSE)</f>
        <v>1</v>
      </c>
      <c r="J14" s="23">
        <f>VLOOKUP(B14,Ordering!$A$1:$J$83,10,FALSE)</f>
        <v>17.934782608695652</v>
      </c>
      <c r="K14" s="23">
        <f t="shared" si="4"/>
        <v>9600</v>
      </c>
      <c r="L14" s="92">
        <f t="shared" si="5"/>
        <v>17.934782608695652</v>
      </c>
      <c r="N14" s="31">
        <v>800</v>
      </c>
      <c r="R14" s="5" t="s">
        <v>22</v>
      </c>
      <c r="S14" s="14">
        <v>2</v>
      </c>
    </row>
    <row r="15" spans="1:22">
      <c r="A15" s="14" t="s">
        <v>52</v>
      </c>
      <c r="B15" s="15" t="s">
        <v>131</v>
      </c>
      <c r="C15" s="15" t="s">
        <v>17</v>
      </c>
      <c r="D15" s="20">
        <f t="shared" si="0"/>
        <v>100</v>
      </c>
      <c r="E15" s="17">
        <f t="shared" si="1"/>
        <v>96</v>
      </c>
      <c r="F15" s="18">
        <v>1</v>
      </c>
      <c r="G15" s="17">
        <f t="shared" si="2"/>
        <v>9600</v>
      </c>
      <c r="H15" s="80">
        <f t="shared" si="3"/>
        <v>9600</v>
      </c>
      <c r="I15" s="23">
        <f>VLOOKUP(B15,Ordering!$A$1:$J$83,6,FALSE)</f>
        <v>0.99</v>
      </c>
      <c r="J15" s="23">
        <f>VLOOKUP(B15,Ordering!$A$1:$J$83,10,FALSE)</f>
        <v>13.055555555555555</v>
      </c>
      <c r="K15" s="23">
        <f t="shared" si="4"/>
        <v>9696.9696969696979</v>
      </c>
      <c r="L15" s="92">
        <f t="shared" si="5"/>
        <v>12.924999999999999</v>
      </c>
      <c r="N15" s="31">
        <v>800</v>
      </c>
      <c r="R15" s="5" t="s">
        <v>23</v>
      </c>
      <c r="S15" s="48">
        <f>S13+S14</f>
        <v>96</v>
      </c>
    </row>
    <row r="16" spans="1:22">
      <c r="A16" s="14" t="s">
        <v>51</v>
      </c>
      <c r="B16" s="15" t="s">
        <v>121</v>
      </c>
      <c r="C16" s="15" t="s">
        <v>17</v>
      </c>
      <c r="D16" s="20">
        <f t="shared" si="0"/>
        <v>5</v>
      </c>
      <c r="E16" s="17">
        <f t="shared" si="1"/>
        <v>96</v>
      </c>
      <c r="F16" s="18">
        <v>1</v>
      </c>
      <c r="G16" s="17">
        <f t="shared" si="2"/>
        <v>480</v>
      </c>
      <c r="H16" s="80">
        <f t="shared" si="3"/>
        <v>480</v>
      </c>
      <c r="I16" s="23">
        <f>VLOOKUP(B16,Ordering!$A$1:$J$83,6,FALSE)</f>
        <v>0.69</v>
      </c>
      <c r="J16" s="23">
        <f>VLOOKUP(B16,Ordering!$A$1:$J$83,10,FALSE)</f>
        <v>4</v>
      </c>
      <c r="K16" s="23">
        <f t="shared" si="4"/>
        <v>695.6521739130435</v>
      </c>
      <c r="L16" s="92">
        <f t="shared" si="5"/>
        <v>2.76</v>
      </c>
      <c r="N16" s="31">
        <v>40</v>
      </c>
    </row>
    <row r="17" spans="1:14">
      <c r="A17" s="14" t="s">
        <v>51</v>
      </c>
      <c r="B17" s="15" t="s">
        <v>119</v>
      </c>
      <c r="C17" s="15" t="s">
        <v>17</v>
      </c>
      <c r="D17" s="20">
        <f t="shared" si="0"/>
        <v>0.125</v>
      </c>
      <c r="E17" s="17">
        <f t="shared" si="1"/>
        <v>96</v>
      </c>
      <c r="F17" s="18">
        <v>1</v>
      </c>
      <c r="G17" s="17">
        <f t="shared" si="2"/>
        <v>12</v>
      </c>
      <c r="H17" s="17">
        <f t="shared" si="3"/>
        <v>12</v>
      </c>
      <c r="I17" s="23">
        <f>VLOOKUP(B17,Ordering!$A$1:$J$83,6,FALSE)</f>
        <v>1</v>
      </c>
      <c r="J17" s="23">
        <f>VLOOKUP(B17,Ordering!$A$1:$J$83,10,FALSE)</f>
        <v>31</v>
      </c>
      <c r="K17" s="23">
        <f t="shared" ref="K17:K21" si="6">H17/I17</f>
        <v>12</v>
      </c>
      <c r="L17" s="92">
        <f t="shared" ref="L17:L21" si="7">I17*J17</f>
        <v>31</v>
      </c>
      <c r="N17" s="31">
        <v>1</v>
      </c>
    </row>
    <row r="18" spans="1:14">
      <c r="A18" s="14" t="s">
        <v>51</v>
      </c>
      <c r="B18" s="15" t="s">
        <v>117</v>
      </c>
      <c r="C18" s="15" t="s">
        <v>17</v>
      </c>
      <c r="D18" s="20">
        <f t="shared" si="0"/>
        <v>0.125</v>
      </c>
      <c r="E18" s="17">
        <f t="shared" si="1"/>
        <v>96</v>
      </c>
      <c r="F18" s="18">
        <v>1</v>
      </c>
      <c r="G18" s="17">
        <f t="shared" si="2"/>
        <v>12</v>
      </c>
      <c r="H18" s="17">
        <f t="shared" si="3"/>
        <v>12</v>
      </c>
      <c r="I18" s="23">
        <f>VLOOKUP(B18,Ordering!$A$1:$J$83,6,FALSE)</f>
        <v>1</v>
      </c>
      <c r="J18" s="23">
        <f>VLOOKUP(B18,Ordering!$A$1:$J$83,10,FALSE)</f>
        <v>14</v>
      </c>
      <c r="K18" s="23">
        <f t="shared" si="6"/>
        <v>12</v>
      </c>
      <c r="L18" s="92">
        <f t="shared" si="7"/>
        <v>14</v>
      </c>
      <c r="N18" s="31">
        <v>1</v>
      </c>
    </row>
    <row r="19" spans="1:14">
      <c r="A19" s="14" t="s">
        <v>51</v>
      </c>
      <c r="B19" s="15" t="s">
        <v>118</v>
      </c>
      <c r="C19" s="15" t="s">
        <v>17</v>
      </c>
      <c r="D19" s="20">
        <f t="shared" si="0"/>
        <v>0.125</v>
      </c>
      <c r="E19" s="17">
        <f t="shared" si="1"/>
        <v>96</v>
      </c>
      <c r="F19" s="18">
        <v>1</v>
      </c>
      <c r="G19" s="17">
        <f t="shared" si="2"/>
        <v>12</v>
      </c>
      <c r="H19" s="17">
        <f t="shared" si="3"/>
        <v>12</v>
      </c>
      <c r="I19" s="23">
        <f>VLOOKUP(B19,Ordering!$A$1:$J$83,6,FALSE)</f>
        <v>1</v>
      </c>
      <c r="J19" s="23">
        <f>VLOOKUP(B19,Ordering!$A$1:$J$83,10,FALSE)</f>
        <v>107</v>
      </c>
      <c r="K19" s="23">
        <f t="shared" si="6"/>
        <v>12</v>
      </c>
      <c r="L19" s="92">
        <f t="shared" si="7"/>
        <v>107</v>
      </c>
      <c r="N19" s="31">
        <v>1</v>
      </c>
    </row>
    <row r="20" spans="1:14">
      <c r="A20" s="14" t="s">
        <v>47</v>
      </c>
      <c r="B20" s="15" t="s">
        <v>110</v>
      </c>
      <c r="C20" s="15" t="s">
        <v>17</v>
      </c>
      <c r="D20" s="20">
        <f t="shared" si="0"/>
        <v>0.125</v>
      </c>
      <c r="E20" s="17">
        <f t="shared" si="1"/>
        <v>96</v>
      </c>
      <c r="F20" s="18">
        <v>1</v>
      </c>
      <c r="G20" s="17">
        <f t="shared" si="2"/>
        <v>12</v>
      </c>
      <c r="H20" s="17">
        <f t="shared" si="3"/>
        <v>12</v>
      </c>
      <c r="I20" s="23">
        <f>VLOOKUP(B20,Ordering!$A$1:$J$83,6,FALSE)</f>
        <v>1</v>
      </c>
      <c r="J20" s="23">
        <f>VLOOKUP(B20,Ordering!$A$1:$J$83,10,FALSE)</f>
        <v>0.74</v>
      </c>
      <c r="K20" s="23">
        <f t="shared" si="6"/>
        <v>12</v>
      </c>
      <c r="L20" s="92">
        <f t="shared" si="7"/>
        <v>0.74</v>
      </c>
      <c r="N20" s="31">
        <v>1</v>
      </c>
    </row>
    <row r="21" spans="1:14">
      <c r="A21" s="14" t="s">
        <v>30</v>
      </c>
      <c r="B21" s="15" t="s">
        <v>103</v>
      </c>
      <c r="C21" s="15" t="s">
        <v>17</v>
      </c>
      <c r="D21" s="20">
        <f t="shared" si="0"/>
        <v>0.125</v>
      </c>
      <c r="E21" s="17">
        <f t="shared" si="1"/>
        <v>96</v>
      </c>
      <c r="F21" s="18">
        <v>1</v>
      </c>
      <c r="G21" s="17">
        <f t="shared" si="2"/>
        <v>12</v>
      </c>
      <c r="H21" s="17">
        <f t="shared" si="3"/>
        <v>12</v>
      </c>
      <c r="I21" s="23">
        <f>VLOOKUP(B21,Ordering!$A$1:$J$83,6,FALSE)</f>
        <v>1</v>
      </c>
      <c r="J21" s="23">
        <f>VLOOKUP(B21,Ordering!$A$1:$J$83,10,FALSE)</f>
        <v>47</v>
      </c>
      <c r="K21" s="23">
        <f t="shared" si="6"/>
        <v>12</v>
      </c>
      <c r="L21" s="92">
        <f t="shared" si="7"/>
        <v>47</v>
      </c>
      <c r="N21" s="31">
        <v>1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4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3A34E-8B1C-42B6-9DF5-FEB93E4249F8}">
  <sheetPr codeName="Sheet34">
    <tabColor theme="7" tint="-0.249977111117893"/>
    <pageSetUpPr fitToPage="1"/>
  </sheetPr>
  <dimension ref="A1:V16"/>
  <sheetViews>
    <sheetView topLeftCell="F1" zoomScale="70" zoomScaleNormal="70" zoomScaleSheetLayoutView="100" workbookViewId="0">
      <selection activeCell="S14" sqref="S14"/>
    </sheetView>
  </sheetViews>
  <sheetFormatPr defaultRowHeight="14.3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1" max="11" width="10.64453125" bestFit="1" customWidth="1"/>
    <col min="12" max="12" width="9.05859375" bestFit="1" customWidth="1"/>
    <col min="18" max="18" width="16.05859375" customWidth="1"/>
    <col min="19" max="19" width="8.46875" bestFit="1" customWidth="1"/>
  </cols>
  <sheetData>
    <row r="1" spans="1:22">
      <c r="A1" s="38" t="s">
        <v>0</v>
      </c>
      <c r="B1" s="12">
        <v>1</v>
      </c>
      <c r="C1" s="4"/>
      <c r="D1" s="4"/>
      <c r="E1" s="38" t="s">
        <v>1</v>
      </c>
      <c r="F1" s="13">
        <f>S15</f>
        <v>19</v>
      </c>
      <c r="G1" s="4"/>
      <c r="H1" s="38" t="s">
        <v>2</v>
      </c>
      <c r="I1" s="13">
        <f>F1/B1</f>
        <v>19</v>
      </c>
      <c r="J1" s="4"/>
      <c r="K1" s="38"/>
      <c r="U1" s="123" t="s">
        <v>206</v>
      </c>
      <c r="V1" s="121">
        <v>17</v>
      </c>
    </row>
    <row r="2" spans="1:22" ht="14.25" customHeight="1">
      <c r="A2" s="42"/>
      <c r="B2" s="161" t="s">
        <v>43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2" ht="14.25" customHeight="1">
      <c r="A3" s="46"/>
      <c r="B3" s="162" t="s">
        <v>74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2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2" ht="15" thickTop="1" thickBot="1">
      <c r="A5" s="15" t="s">
        <v>30</v>
      </c>
      <c r="B5" s="14" t="s">
        <v>100</v>
      </c>
      <c r="C5" s="15" t="s">
        <v>15</v>
      </c>
      <c r="D5" s="20">
        <f t="shared" ref="D5:D16" si="0">N5/8</f>
        <v>0.125</v>
      </c>
      <c r="E5" s="17">
        <f t="shared" ref="E5:E16" si="1">$I$1</f>
        <v>19</v>
      </c>
      <c r="F5" s="18">
        <v>1</v>
      </c>
      <c r="G5" s="30">
        <f t="shared" ref="G5:G16" si="2">E5*D5</f>
        <v>2.375</v>
      </c>
      <c r="H5" s="80">
        <f t="shared" ref="H5:H16" si="3">G5*F5</f>
        <v>2.375</v>
      </c>
      <c r="I5" s="15">
        <f>VLOOKUP(B5,Ordering!$A$1:$J$83,6,FALSE)</f>
        <v>1</v>
      </c>
      <c r="J5" s="20">
        <f>VLOOKUP(B5,Ordering!$A$1:$J$83,10,FALSE)</f>
        <v>0.43333333333333335</v>
      </c>
      <c r="K5" s="20">
        <f>H5/I5</f>
        <v>2.375</v>
      </c>
      <c r="L5" s="91">
        <f>I5*J5</f>
        <v>0.43333333333333335</v>
      </c>
      <c r="N5" s="1">
        <v>1</v>
      </c>
    </row>
    <row r="6" spans="1:22" ht="15" customHeight="1" thickTop="1" thickBot="1">
      <c r="A6" s="15" t="s">
        <v>30</v>
      </c>
      <c r="B6" s="14" t="s">
        <v>101</v>
      </c>
      <c r="C6" s="15" t="s">
        <v>16</v>
      </c>
      <c r="D6" s="20">
        <f t="shared" si="0"/>
        <v>14</v>
      </c>
      <c r="E6" s="17">
        <f t="shared" si="1"/>
        <v>19</v>
      </c>
      <c r="F6" s="18">
        <v>1</v>
      </c>
      <c r="G6" s="17">
        <f t="shared" si="2"/>
        <v>266</v>
      </c>
      <c r="H6" s="80">
        <f t="shared" si="3"/>
        <v>266</v>
      </c>
      <c r="I6" s="15">
        <f>VLOOKUP(B6,Ordering!$A$1:$J$83,6,FALSE)</f>
        <v>1</v>
      </c>
      <c r="J6" s="20">
        <f>VLOOKUP(B6,Ordering!$A$1:$J$83,10,FALSE)</f>
        <v>4.2033333333333331</v>
      </c>
      <c r="K6" s="20">
        <f t="shared" ref="K6:K16" si="4">H6/I6</f>
        <v>266</v>
      </c>
      <c r="L6" s="91">
        <f t="shared" ref="L6:L16" si="5">I6*J6</f>
        <v>4.2033333333333331</v>
      </c>
      <c r="N6" s="31">
        <v>112</v>
      </c>
    </row>
    <row r="7" spans="1:22" ht="15" customHeight="1" thickTop="1" thickBot="1">
      <c r="A7" s="15" t="s">
        <v>47</v>
      </c>
      <c r="B7" s="14" t="s">
        <v>126</v>
      </c>
      <c r="C7" s="15" t="s">
        <v>17</v>
      </c>
      <c r="D7" s="20">
        <f t="shared" si="0"/>
        <v>3.125</v>
      </c>
      <c r="E7" s="17">
        <f t="shared" si="1"/>
        <v>19</v>
      </c>
      <c r="F7" s="18">
        <v>1</v>
      </c>
      <c r="G7" s="17">
        <f t="shared" si="2"/>
        <v>59.375</v>
      </c>
      <c r="H7" s="80">
        <f t="shared" si="3"/>
        <v>59.375</v>
      </c>
      <c r="I7" s="15">
        <f>VLOOKUP(B7,Ordering!$A$1:$J$83,6,FALSE)</f>
        <v>1</v>
      </c>
      <c r="J7" s="20">
        <f>VLOOKUP(B7,Ordering!$A$1:$J$83,10,FALSE)</f>
        <v>5.882352941176471</v>
      </c>
      <c r="K7" s="20">
        <f t="shared" si="4"/>
        <v>59.375</v>
      </c>
      <c r="L7" s="91">
        <f t="shared" si="5"/>
        <v>5.882352941176471</v>
      </c>
      <c r="N7" s="1">
        <v>25</v>
      </c>
    </row>
    <row r="8" spans="1:22" ht="14.75" customHeight="1" thickTop="1">
      <c r="A8" s="15" t="s">
        <v>47</v>
      </c>
      <c r="B8" s="14" t="s">
        <v>108</v>
      </c>
      <c r="C8" s="15" t="s">
        <v>17</v>
      </c>
      <c r="D8" s="20">
        <f t="shared" si="0"/>
        <v>0.375</v>
      </c>
      <c r="E8" s="17">
        <f t="shared" si="1"/>
        <v>19</v>
      </c>
      <c r="F8" s="18">
        <v>1</v>
      </c>
      <c r="G8" s="17">
        <f t="shared" si="2"/>
        <v>7.125</v>
      </c>
      <c r="H8" s="80">
        <f t="shared" si="3"/>
        <v>7.125</v>
      </c>
      <c r="I8" s="15">
        <f>VLOOKUP(B8,Ordering!$A$1:$J$83,6,FALSE)</f>
        <v>1</v>
      </c>
      <c r="J8" s="20">
        <f>VLOOKUP(B8,Ordering!$A$1:$J$83,10,FALSE)</f>
        <v>21.74</v>
      </c>
      <c r="K8" s="20">
        <f t="shared" si="4"/>
        <v>7.125</v>
      </c>
      <c r="L8" s="91">
        <f t="shared" si="5"/>
        <v>21.74</v>
      </c>
      <c r="N8" s="31">
        <v>3</v>
      </c>
    </row>
    <row r="9" spans="1:22">
      <c r="A9" s="15" t="s">
        <v>47</v>
      </c>
      <c r="B9" s="14" t="s">
        <v>109</v>
      </c>
      <c r="C9" s="15" t="s">
        <v>17</v>
      </c>
      <c r="D9" s="20">
        <f t="shared" si="0"/>
        <v>0.375</v>
      </c>
      <c r="E9" s="17">
        <f t="shared" si="1"/>
        <v>19</v>
      </c>
      <c r="F9" s="18">
        <v>1</v>
      </c>
      <c r="G9" s="17">
        <f t="shared" si="2"/>
        <v>7.125</v>
      </c>
      <c r="H9" s="80">
        <f t="shared" si="3"/>
        <v>7.125</v>
      </c>
      <c r="I9" s="15">
        <f>VLOOKUP(B9,Ordering!$A$1:$J$83,6,FALSE)</f>
        <v>1</v>
      </c>
      <c r="J9" s="20">
        <f>VLOOKUP(B9,Ordering!$A$1:$J$83,10,FALSE)</f>
        <v>90</v>
      </c>
      <c r="K9" s="20">
        <f t="shared" si="4"/>
        <v>7.125</v>
      </c>
      <c r="L9" s="91">
        <f t="shared" si="5"/>
        <v>90</v>
      </c>
      <c r="N9" s="31">
        <v>3</v>
      </c>
    </row>
    <row r="10" spans="1:22">
      <c r="A10" s="14" t="s">
        <v>30</v>
      </c>
      <c r="B10" s="14" t="s">
        <v>107</v>
      </c>
      <c r="C10" s="15" t="s">
        <v>17</v>
      </c>
      <c r="D10" s="20">
        <f t="shared" si="0"/>
        <v>2.75</v>
      </c>
      <c r="E10" s="17">
        <f t="shared" si="1"/>
        <v>19</v>
      </c>
      <c r="F10" s="18">
        <v>1</v>
      </c>
      <c r="G10" s="17">
        <f t="shared" si="2"/>
        <v>52.25</v>
      </c>
      <c r="H10" s="80">
        <f t="shared" si="3"/>
        <v>52.25</v>
      </c>
      <c r="I10" s="15">
        <f>VLOOKUP(B10,Ordering!$A$1:$J$83,6,FALSE)</f>
        <v>1</v>
      </c>
      <c r="J10" s="20">
        <f>VLOOKUP(B10,Ordering!$A$1:$J$83,10,FALSE)</f>
        <v>14</v>
      </c>
      <c r="K10" s="20">
        <f t="shared" si="4"/>
        <v>52.25</v>
      </c>
      <c r="L10" s="91">
        <f t="shared" si="5"/>
        <v>14</v>
      </c>
      <c r="N10" s="31">
        <v>22</v>
      </c>
      <c r="R10" s="163" t="s">
        <v>76</v>
      </c>
      <c r="S10" s="164"/>
    </row>
    <row r="11" spans="1:22">
      <c r="A11" s="14" t="s">
        <v>46</v>
      </c>
      <c r="B11" s="14" t="s">
        <v>247</v>
      </c>
      <c r="C11" s="15" t="s">
        <v>17</v>
      </c>
      <c r="D11" s="20">
        <f t="shared" si="0"/>
        <v>1.5</v>
      </c>
      <c r="E11" s="17">
        <f t="shared" si="1"/>
        <v>19</v>
      </c>
      <c r="F11" s="18">
        <v>1</v>
      </c>
      <c r="G11" s="17">
        <f t="shared" si="2"/>
        <v>28.5</v>
      </c>
      <c r="H11" s="80">
        <f t="shared" si="3"/>
        <v>28.5</v>
      </c>
      <c r="I11" s="15">
        <f>VLOOKUP(B11,Ordering!$A$1:$J$83,6,FALSE)</f>
        <v>1</v>
      </c>
      <c r="J11" s="20">
        <f>VLOOKUP(B11,Ordering!$A$1:$J$83,10,FALSE)</f>
        <v>2.7</v>
      </c>
      <c r="K11" s="20">
        <f t="shared" si="4"/>
        <v>28.5</v>
      </c>
      <c r="L11" s="91">
        <f t="shared" si="5"/>
        <v>2.7</v>
      </c>
      <c r="N11" s="31">
        <v>12</v>
      </c>
      <c r="R11" s="163" t="s">
        <v>18</v>
      </c>
      <c r="S11" s="164"/>
    </row>
    <row r="12" spans="1:22" ht="14.75" customHeight="1">
      <c r="A12" s="14" t="s">
        <v>48</v>
      </c>
      <c r="B12" s="14" t="s">
        <v>111</v>
      </c>
      <c r="C12" s="15" t="s">
        <v>17</v>
      </c>
      <c r="D12" s="20">
        <f t="shared" si="0"/>
        <v>15.625</v>
      </c>
      <c r="E12" s="17">
        <f t="shared" si="1"/>
        <v>19</v>
      </c>
      <c r="F12" s="18">
        <v>1</v>
      </c>
      <c r="G12" s="17">
        <f t="shared" si="2"/>
        <v>296.875</v>
      </c>
      <c r="H12" s="80">
        <f t="shared" si="3"/>
        <v>296.875</v>
      </c>
      <c r="I12" s="15">
        <f>VLOOKUP(B12,Ordering!$A$1:$J$83,6,FALSE)</f>
        <v>1</v>
      </c>
      <c r="J12" s="20">
        <f>VLOOKUP(B12,Ordering!$A$1:$J$83,10,FALSE)</f>
        <v>1.8</v>
      </c>
      <c r="K12" s="20">
        <f t="shared" si="4"/>
        <v>296.875</v>
      </c>
      <c r="L12" s="91">
        <f t="shared" si="5"/>
        <v>1.8</v>
      </c>
      <c r="N12" s="31">
        <v>125</v>
      </c>
      <c r="R12" s="5" t="s">
        <v>19</v>
      </c>
      <c r="S12" s="5" t="s">
        <v>20</v>
      </c>
    </row>
    <row r="13" spans="1:22" ht="14.75" customHeight="1">
      <c r="A13" s="14" t="s">
        <v>48</v>
      </c>
      <c r="B13" s="14" t="s">
        <v>114</v>
      </c>
      <c r="C13" s="15" t="s">
        <v>17</v>
      </c>
      <c r="D13" s="20">
        <f t="shared" si="0"/>
        <v>15.625</v>
      </c>
      <c r="E13" s="17">
        <f t="shared" si="1"/>
        <v>19</v>
      </c>
      <c r="F13" s="18">
        <v>1</v>
      </c>
      <c r="G13" s="17">
        <f t="shared" si="2"/>
        <v>296.875</v>
      </c>
      <c r="H13" s="80">
        <f t="shared" si="3"/>
        <v>296.875</v>
      </c>
      <c r="I13" s="15">
        <f>VLOOKUP(B13,Ordering!$A$1:$J$83,6,FALSE)</f>
        <v>1</v>
      </c>
      <c r="J13" s="20">
        <f>VLOOKUP(B13,Ordering!$A$1:$J$83,10,FALSE)</f>
        <v>1.7</v>
      </c>
      <c r="K13" s="20">
        <f t="shared" si="4"/>
        <v>296.875</v>
      </c>
      <c r="L13" s="91">
        <f t="shared" si="5"/>
        <v>1.7</v>
      </c>
      <c r="N13" s="31">
        <v>125</v>
      </c>
      <c r="R13" s="5" t="s">
        <v>21</v>
      </c>
      <c r="S13" s="47">
        <f>V1</f>
        <v>17</v>
      </c>
    </row>
    <row r="14" spans="1:22" ht="14.75" customHeight="1">
      <c r="A14" s="14" t="s">
        <v>30</v>
      </c>
      <c r="B14" s="14" t="s">
        <v>102</v>
      </c>
      <c r="C14" s="15" t="s">
        <v>17</v>
      </c>
      <c r="D14" s="20">
        <f t="shared" si="0"/>
        <v>80</v>
      </c>
      <c r="E14" s="17">
        <f t="shared" si="1"/>
        <v>19</v>
      </c>
      <c r="F14" s="18">
        <v>1</v>
      </c>
      <c r="G14" s="17">
        <f t="shared" si="2"/>
        <v>1520</v>
      </c>
      <c r="H14" s="80">
        <f t="shared" si="3"/>
        <v>1520</v>
      </c>
      <c r="I14" s="15">
        <f>VLOOKUP(B14,Ordering!$A$1:$J$83,6,FALSE)</f>
        <v>1</v>
      </c>
      <c r="J14" s="20">
        <f>VLOOKUP(B14,Ordering!$A$1:$J$83,10,FALSE)</f>
        <v>17.934782608695652</v>
      </c>
      <c r="K14" s="20">
        <f t="shared" si="4"/>
        <v>1520</v>
      </c>
      <c r="L14" s="91">
        <f t="shared" si="5"/>
        <v>17.934782608695652</v>
      </c>
      <c r="N14" s="31">
        <v>640</v>
      </c>
      <c r="R14" s="5" t="s">
        <v>22</v>
      </c>
      <c r="S14" s="14">
        <v>2</v>
      </c>
    </row>
    <row r="15" spans="1:22">
      <c r="A15" s="14" t="s">
        <v>51</v>
      </c>
      <c r="B15" s="14" t="s">
        <v>115</v>
      </c>
      <c r="C15" s="15" t="s">
        <v>17</v>
      </c>
      <c r="D15" s="20">
        <f t="shared" si="0"/>
        <v>25</v>
      </c>
      <c r="E15" s="17">
        <f t="shared" si="1"/>
        <v>19</v>
      </c>
      <c r="F15" s="18">
        <v>1</v>
      </c>
      <c r="G15" s="17">
        <f t="shared" si="2"/>
        <v>475</v>
      </c>
      <c r="H15" s="80">
        <f t="shared" si="3"/>
        <v>475</v>
      </c>
      <c r="I15" s="15">
        <f>VLOOKUP(B15,Ordering!$A$1:$J$83,6,FALSE)</f>
        <v>1</v>
      </c>
      <c r="J15" s="20">
        <f>VLOOKUP(B15,Ordering!$A$1:$J$83,10,FALSE)</f>
        <v>7</v>
      </c>
      <c r="K15" s="20">
        <f t="shared" si="4"/>
        <v>475</v>
      </c>
      <c r="L15" s="91">
        <f t="shared" si="5"/>
        <v>7</v>
      </c>
      <c r="N15" s="31">
        <v>200</v>
      </c>
      <c r="R15" s="5" t="s">
        <v>23</v>
      </c>
      <c r="S15" s="48">
        <f>S13+S14</f>
        <v>19</v>
      </c>
    </row>
    <row r="16" spans="1:22">
      <c r="A16" s="14" t="s">
        <v>47</v>
      </c>
      <c r="B16" s="14" t="s">
        <v>125</v>
      </c>
      <c r="C16" s="15" t="s">
        <v>16</v>
      </c>
      <c r="D16" s="20">
        <f t="shared" si="0"/>
        <v>2</v>
      </c>
      <c r="E16" s="17">
        <f t="shared" si="1"/>
        <v>19</v>
      </c>
      <c r="F16" s="18">
        <v>1</v>
      </c>
      <c r="G16" s="17">
        <f t="shared" si="2"/>
        <v>38</v>
      </c>
      <c r="H16" s="80">
        <f t="shared" si="3"/>
        <v>38</v>
      </c>
      <c r="I16" s="15">
        <f>VLOOKUP(B16,Ordering!$A$1:$J$83,6,FALSE)</f>
        <v>1</v>
      </c>
      <c r="J16" s="20">
        <f>VLOOKUP(B16,Ordering!$A$1:$J$83,10,FALSE)</f>
        <v>15.5</v>
      </c>
      <c r="K16" s="20">
        <f t="shared" si="4"/>
        <v>38</v>
      </c>
      <c r="L16" s="91">
        <f t="shared" si="5"/>
        <v>15.5</v>
      </c>
      <c r="N16" s="32">
        <v>16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4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6">
    <tabColor theme="7" tint="-0.249977111117893"/>
    <pageSetUpPr fitToPage="1"/>
  </sheetPr>
  <dimension ref="A1:Y20"/>
  <sheetViews>
    <sheetView zoomScale="55" zoomScaleNormal="55" zoomScaleSheetLayoutView="100" workbookViewId="0">
      <selection activeCell="B12" sqref="B12"/>
    </sheetView>
  </sheetViews>
  <sheetFormatPr defaultRowHeight="14.35"/>
  <cols>
    <col min="1" max="1" width="24.64453125" customWidth="1"/>
    <col min="2" max="2" width="35.8203125" bestFit="1" customWidth="1"/>
    <col min="3" max="3" width="17.41015625" customWidth="1"/>
    <col min="4" max="4" width="14.46875" bestFit="1" customWidth="1"/>
    <col min="5" max="5" width="17.41015625" customWidth="1"/>
    <col min="6" max="6" width="11.46875" bestFit="1" customWidth="1"/>
    <col min="7" max="7" width="20.3515625" hidden="1" customWidth="1"/>
    <col min="8" max="8" width="29.8203125" bestFit="1" customWidth="1"/>
    <col min="9" max="9" width="11.05859375" customWidth="1"/>
    <col min="10" max="10" width="14.41015625" customWidth="1"/>
    <col min="18" max="18" width="14.8203125" customWidth="1"/>
    <col min="19" max="19" width="16.5859375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87</v>
      </c>
      <c r="G1" s="4"/>
      <c r="H1" s="38" t="s">
        <v>2</v>
      </c>
      <c r="I1" s="13">
        <f>F1/B1</f>
        <v>87</v>
      </c>
      <c r="J1" s="4"/>
      <c r="K1" s="4"/>
      <c r="U1" s="123" t="s">
        <v>206</v>
      </c>
      <c r="V1" s="121">
        <v>85</v>
      </c>
    </row>
    <row r="2" spans="1:25" ht="21.5" customHeight="1">
      <c r="A2" s="42"/>
      <c r="B2" s="161" t="s">
        <v>40</v>
      </c>
      <c r="C2" s="161"/>
      <c r="D2" s="161"/>
      <c r="E2" s="161"/>
      <c r="F2" s="161"/>
      <c r="G2" s="161"/>
      <c r="H2" s="161"/>
      <c r="I2" s="41"/>
      <c r="J2" s="43"/>
      <c r="K2" s="40"/>
    </row>
    <row r="3" spans="1:25" ht="19.25" customHeight="1">
      <c r="A3" s="46"/>
      <c r="B3" s="162" t="s">
        <v>60</v>
      </c>
      <c r="C3" s="162"/>
      <c r="D3" s="162"/>
      <c r="E3" s="162"/>
      <c r="F3" s="162"/>
      <c r="G3" s="162"/>
      <c r="H3" s="162"/>
      <c r="I3" s="81"/>
      <c r="J3" s="82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30</v>
      </c>
      <c r="B5" s="15" t="s">
        <v>104</v>
      </c>
      <c r="C5" s="15" t="s">
        <v>17</v>
      </c>
      <c r="D5" s="20">
        <f>N5/70</f>
        <v>14.285714285714286</v>
      </c>
      <c r="E5" s="17">
        <f>$I$1</f>
        <v>87</v>
      </c>
      <c r="F5" s="18">
        <v>1</v>
      </c>
      <c r="G5" s="17">
        <f t="shared" ref="G5:G13" si="0">E5*D5</f>
        <v>1242.8571428571429</v>
      </c>
      <c r="H5" s="80">
        <f t="shared" ref="H5:H13" si="1">G5*F5</f>
        <v>1242.8571428571429</v>
      </c>
      <c r="I5" s="99">
        <f>VLOOKUP(B5,Ordering!$A$1:$J$83,6,FALSE)</f>
        <v>1</v>
      </c>
      <c r="J5" s="99">
        <f>VLOOKUP(B5,Ordering!$A$1:$J$83,10,FALSE)</f>
        <v>30</v>
      </c>
      <c r="K5" s="99">
        <f t="shared" ref="K5:K6" si="2">((H5/(I5))/1000)</f>
        <v>1.2428571428571429</v>
      </c>
      <c r="L5" s="100">
        <f t="shared" ref="L5:L13" si="3">J5*K5</f>
        <v>37.285714285714285</v>
      </c>
      <c r="N5" s="1">
        <v>1000</v>
      </c>
    </row>
    <row r="6" spans="1:25" ht="15" customHeight="1" thickTop="1" thickBot="1">
      <c r="A6" s="15" t="s">
        <v>46</v>
      </c>
      <c r="B6" s="15" t="s">
        <v>123</v>
      </c>
      <c r="C6" s="15" t="s">
        <v>17</v>
      </c>
      <c r="D6" s="20">
        <f t="shared" ref="D6:D13" si="4">N6/70</f>
        <v>10</v>
      </c>
      <c r="E6" s="17">
        <f t="shared" ref="E6:E13" si="5">$I$1</f>
        <v>87</v>
      </c>
      <c r="F6" s="18">
        <v>1</v>
      </c>
      <c r="G6" s="17">
        <f t="shared" si="0"/>
        <v>870</v>
      </c>
      <c r="H6" s="80">
        <f t="shared" si="1"/>
        <v>870</v>
      </c>
      <c r="I6" s="99">
        <f>VLOOKUP(B6,Ordering!$A$1:$J$83,6,FALSE)</f>
        <v>1</v>
      </c>
      <c r="J6" s="99">
        <f>VLOOKUP(B6,Ordering!$A$1:$J$83,10,FALSE)</f>
        <v>6.5</v>
      </c>
      <c r="K6" s="99">
        <f t="shared" si="2"/>
        <v>0.87</v>
      </c>
      <c r="L6" s="100">
        <f t="shared" si="3"/>
        <v>5.6550000000000002</v>
      </c>
      <c r="N6" s="1">
        <v>700</v>
      </c>
    </row>
    <row r="7" spans="1:25" ht="15" customHeight="1" thickTop="1" thickBot="1">
      <c r="A7" s="15" t="s">
        <v>30</v>
      </c>
      <c r="B7" s="15" t="s">
        <v>100</v>
      </c>
      <c r="C7" s="15" t="s">
        <v>15</v>
      </c>
      <c r="D7" s="20">
        <f t="shared" si="4"/>
        <v>0.2</v>
      </c>
      <c r="E7" s="17">
        <f t="shared" si="5"/>
        <v>87</v>
      </c>
      <c r="F7" s="18">
        <v>1</v>
      </c>
      <c r="G7" s="17">
        <f t="shared" si="0"/>
        <v>17.400000000000002</v>
      </c>
      <c r="H7" s="80">
        <f t="shared" si="1"/>
        <v>17.400000000000002</v>
      </c>
      <c r="I7" s="99">
        <f>VLOOKUP(B7,Ordering!$A$1:$J$83,6,FALSE)</f>
        <v>1</v>
      </c>
      <c r="J7" s="99">
        <f>VLOOKUP(B7,Ordering!$A$1:$J$83,10,FALSE)</f>
        <v>0.43333333333333335</v>
      </c>
      <c r="K7" s="99">
        <f t="shared" ref="K7" si="6">H7/I7</f>
        <v>17.400000000000002</v>
      </c>
      <c r="L7" s="100">
        <f t="shared" si="3"/>
        <v>7.5400000000000009</v>
      </c>
      <c r="N7" s="1">
        <v>14</v>
      </c>
    </row>
    <row r="8" spans="1:25" ht="15" customHeight="1" thickTop="1" thickBot="1">
      <c r="A8" s="15" t="s">
        <v>48</v>
      </c>
      <c r="B8" s="15" t="s">
        <v>114</v>
      </c>
      <c r="C8" s="15" t="s">
        <v>17</v>
      </c>
      <c r="D8" s="20">
        <f t="shared" si="4"/>
        <v>14.285714285714286</v>
      </c>
      <c r="E8" s="17">
        <f t="shared" si="5"/>
        <v>87</v>
      </c>
      <c r="F8" s="18">
        <v>1</v>
      </c>
      <c r="G8" s="17">
        <f t="shared" si="0"/>
        <v>1242.8571428571429</v>
      </c>
      <c r="H8" s="80">
        <f t="shared" si="1"/>
        <v>1242.8571428571429</v>
      </c>
      <c r="I8" s="99">
        <f>VLOOKUP(B8,Ordering!$A$1:$J$83,6,FALSE)</f>
        <v>1</v>
      </c>
      <c r="J8" s="99">
        <f>VLOOKUP(B8,Ordering!$A$1:$J$83,10,FALSE)</f>
        <v>1.7</v>
      </c>
      <c r="K8" s="99">
        <f t="shared" ref="K8:K13" si="7">((H8/(I8))/1000)</f>
        <v>1.2428571428571429</v>
      </c>
      <c r="L8" s="100">
        <f t="shared" si="3"/>
        <v>2.112857142857143</v>
      </c>
      <c r="N8" s="1">
        <v>1000</v>
      </c>
      <c r="V8" s="86" t="s">
        <v>193</v>
      </c>
      <c r="W8" s="87">
        <v>1</v>
      </c>
      <c r="X8" s="86" t="s">
        <v>14</v>
      </c>
      <c r="Y8" s="88">
        <f>SUM(L5:L13)/S15</f>
        <v>0.64376663059163053</v>
      </c>
    </row>
    <row r="9" spans="1:25" ht="15" customHeight="1" thickTop="1" thickBot="1">
      <c r="A9" s="15" t="s">
        <v>47</v>
      </c>
      <c r="B9" s="15" t="s">
        <v>235</v>
      </c>
      <c r="C9" s="15" t="s">
        <v>17</v>
      </c>
      <c r="D9" s="20">
        <f t="shared" si="4"/>
        <v>0.7142857142857143</v>
      </c>
      <c r="E9" s="17">
        <f t="shared" si="5"/>
        <v>87</v>
      </c>
      <c r="F9" s="18">
        <v>1</v>
      </c>
      <c r="G9" s="17">
        <f t="shared" si="0"/>
        <v>62.142857142857146</v>
      </c>
      <c r="H9" s="80">
        <f t="shared" si="1"/>
        <v>62.142857142857146</v>
      </c>
      <c r="I9" s="99">
        <f>VLOOKUP(B9,Ordering!$A$1:$J$83,6,FALSE)</f>
        <v>1</v>
      </c>
      <c r="J9" s="99">
        <f>VLOOKUP(B9,Ordering!$A$1:$J$83,10,FALSE)</f>
        <v>7.9</v>
      </c>
      <c r="K9" s="99">
        <f t="shared" si="7"/>
        <v>6.2142857142857146E-2</v>
      </c>
      <c r="L9" s="100">
        <f t="shared" si="3"/>
        <v>0.49092857142857149</v>
      </c>
      <c r="N9" s="1">
        <v>50</v>
      </c>
    </row>
    <row r="10" spans="1:25" ht="15" customHeight="1" thickTop="1" thickBot="1">
      <c r="A10" s="14" t="s">
        <v>47</v>
      </c>
      <c r="B10" s="15" t="s">
        <v>232</v>
      </c>
      <c r="C10" s="15" t="s">
        <v>17</v>
      </c>
      <c r="D10" s="20">
        <f t="shared" si="4"/>
        <v>0.2857142857142857</v>
      </c>
      <c r="E10" s="17">
        <f t="shared" si="5"/>
        <v>87</v>
      </c>
      <c r="F10" s="18">
        <v>1</v>
      </c>
      <c r="G10" s="17">
        <f t="shared" si="0"/>
        <v>24.857142857142854</v>
      </c>
      <c r="H10" s="80">
        <f t="shared" si="1"/>
        <v>24.857142857142854</v>
      </c>
      <c r="I10" s="99">
        <f>VLOOKUP(B10,Ordering!$A$1:$J$83,6,FALSE)</f>
        <v>1</v>
      </c>
      <c r="J10" s="99">
        <f>VLOOKUP(B10,Ordering!$A$1:$J$83,10,FALSE)</f>
        <v>24.305555555555557</v>
      </c>
      <c r="K10" s="99">
        <f t="shared" si="7"/>
        <v>2.4857142857142855E-2</v>
      </c>
      <c r="L10" s="100">
        <f t="shared" si="3"/>
        <v>0.60416666666666663</v>
      </c>
      <c r="N10" s="1">
        <v>20</v>
      </c>
      <c r="R10" s="165" t="s">
        <v>264</v>
      </c>
      <c r="S10" s="165"/>
    </row>
    <row r="11" spans="1:25" ht="15" customHeight="1" thickTop="1" thickBot="1">
      <c r="A11" s="14" t="s">
        <v>50</v>
      </c>
      <c r="B11" s="15" t="s">
        <v>259</v>
      </c>
      <c r="C11" s="15" t="s">
        <v>17</v>
      </c>
      <c r="D11" s="20">
        <f t="shared" si="4"/>
        <v>1.4285714285714286</v>
      </c>
      <c r="E11" s="17">
        <f t="shared" si="5"/>
        <v>87</v>
      </c>
      <c r="F11" s="18">
        <v>1</v>
      </c>
      <c r="G11" s="17">
        <f t="shared" si="0"/>
        <v>124.28571428571429</v>
      </c>
      <c r="H11" s="80">
        <f t="shared" si="1"/>
        <v>124.28571428571429</v>
      </c>
      <c r="I11" s="99">
        <f>VLOOKUP(B11,Ordering!$A$1:$J$83,6,FALSE)</f>
        <v>0.33</v>
      </c>
      <c r="J11" s="99">
        <f>VLOOKUP(B11,Ordering!$A$1:$J$83,10,FALSE)</f>
        <v>4.5</v>
      </c>
      <c r="K11" s="99">
        <f t="shared" si="7"/>
        <v>0.37662337662337658</v>
      </c>
      <c r="L11" s="100">
        <f t="shared" si="3"/>
        <v>1.6948051948051945</v>
      </c>
      <c r="N11" s="1">
        <v>100</v>
      </c>
      <c r="R11" s="5" t="s">
        <v>18</v>
      </c>
      <c r="S11" s="5"/>
    </row>
    <row r="12" spans="1:25" ht="15" customHeight="1" thickTop="1" thickBot="1">
      <c r="A12" s="54" t="s">
        <v>265</v>
      </c>
      <c r="B12" s="15" t="s">
        <v>259</v>
      </c>
      <c r="C12" s="15" t="s">
        <v>17</v>
      </c>
      <c r="D12" s="20">
        <f t="shared" si="4"/>
        <v>0.14285714285714285</v>
      </c>
      <c r="E12" s="17">
        <f t="shared" si="5"/>
        <v>87</v>
      </c>
      <c r="F12" s="18">
        <v>1</v>
      </c>
      <c r="G12" s="17">
        <f t="shared" si="0"/>
        <v>12.428571428571427</v>
      </c>
      <c r="H12" s="80">
        <f t="shared" si="1"/>
        <v>12.428571428571427</v>
      </c>
      <c r="I12" s="101">
        <f>90/1000</f>
        <v>0.09</v>
      </c>
      <c r="J12" s="99">
        <f>VLOOKUP(B12,Ordering!$A$1:$J$83,10,FALSE)</f>
        <v>4.5</v>
      </c>
      <c r="K12" s="99">
        <f t="shared" ref="K12" si="8">((H12/(I12))/1000)</f>
        <v>0.13809523809523808</v>
      </c>
      <c r="L12" s="100">
        <f t="shared" ref="L12" si="9">J12*K12</f>
        <v>0.62142857142857133</v>
      </c>
      <c r="N12" s="1">
        <v>10</v>
      </c>
      <c r="R12" s="5" t="s">
        <v>19</v>
      </c>
      <c r="S12" s="5" t="s">
        <v>20</v>
      </c>
    </row>
    <row r="13" spans="1:25" ht="15" customHeight="1" thickTop="1" thickBot="1">
      <c r="A13" s="14" t="s">
        <v>51</v>
      </c>
      <c r="B13" s="15" t="s">
        <v>234</v>
      </c>
      <c r="C13" s="15" t="s">
        <v>17</v>
      </c>
      <c r="D13" s="29">
        <f t="shared" si="4"/>
        <v>1.4285714285714286E-3</v>
      </c>
      <c r="E13" s="17">
        <f t="shared" si="5"/>
        <v>87</v>
      </c>
      <c r="F13" s="18">
        <v>1</v>
      </c>
      <c r="G13" s="30">
        <f t="shared" si="0"/>
        <v>0.12428571428571429</v>
      </c>
      <c r="H13" s="80">
        <f t="shared" si="1"/>
        <v>0.12428571428571429</v>
      </c>
      <c r="I13" s="99">
        <f>VLOOKUP(B13,Ordering!$A$1:$J$83,6,FALSE)</f>
        <v>1</v>
      </c>
      <c r="J13" s="99">
        <f>VLOOKUP(B13,Ordering!$A$1:$J$83,10,FALSE)</f>
        <v>22.5</v>
      </c>
      <c r="K13" s="99">
        <f t="shared" si="7"/>
        <v>1.2428571428571428E-4</v>
      </c>
      <c r="L13" s="100">
        <f t="shared" si="3"/>
        <v>2.7964285714285712E-3</v>
      </c>
      <c r="N13" s="1">
        <v>0.1</v>
      </c>
      <c r="R13" s="5" t="s">
        <v>21</v>
      </c>
      <c r="S13" s="47">
        <f>V1</f>
        <v>85</v>
      </c>
    </row>
    <row r="14" spans="1:25" ht="15" customHeight="1" thickTop="1">
      <c r="R14" s="5" t="s">
        <v>22</v>
      </c>
      <c r="S14" s="14">
        <v>2</v>
      </c>
    </row>
    <row r="15" spans="1:25">
      <c r="R15" s="5" t="s">
        <v>23</v>
      </c>
      <c r="S15" s="48">
        <f>S13+S14</f>
        <v>87</v>
      </c>
    </row>
    <row r="16" spans="1:25">
      <c r="R16" s="89" t="s">
        <v>14</v>
      </c>
      <c r="S16" s="90">
        <f>SUM(L5:L13)</f>
        <v>56.007696861471857</v>
      </c>
    </row>
    <row r="19" spans="7:12" ht="16.350000000000001">
      <c r="L19" s="45"/>
    </row>
    <row r="20" spans="7:12" ht="16.350000000000001">
      <c r="G20" s="45"/>
    </row>
  </sheetData>
  <mergeCells count="3">
    <mergeCell ref="B3:H3"/>
    <mergeCell ref="B2:H2"/>
    <mergeCell ref="R10:S10"/>
  </mergeCells>
  <printOptions horizontalCentered="1"/>
  <pageMargins left="0.4" right="0.4" top="1" bottom="0.5" header="0.3" footer="0.3"/>
  <pageSetup paperSize="9" scale="3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0">
    <tabColor theme="7" tint="-0.249977111117893"/>
    <pageSetUpPr fitToPage="1"/>
  </sheetPr>
  <dimension ref="A1:Y16"/>
  <sheetViews>
    <sheetView topLeftCell="H1" zoomScale="70" zoomScaleNormal="70" zoomScaleSheetLayoutView="100" workbookViewId="0">
      <selection activeCell="S14" sqref="S14"/>
    </sheetView>
  </sheetViews>
  <sheetFormatPr defaultRowHeight="14.35"/>
  <cols>
    <col min="1" max="1" width="17.64453125" bestFit="1" customWidth="1"/>
    <col min="2" max="2" width="47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hidden="1" customWidth="1"/>
    <col min="8" max="8" width="29.8203125" bestFit="1" customWidth="1"/>
    <col min="9" max="9" width="9.64453125" bestFit="1" customWidth="1"/>
    <col min="10" max="10" width="14.41015625" customWidth="1"/>
    <col min="11" max="11" width="9.64453125" bestFit="1" customWidth="1"/>
    <col min="12" max="12" width="11.8203125" bestFit="1" customWidth="1"/>
    <col min="19" max="19" width="8.468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120</v>
      </c>
      <c r="G1" s="4"/>
      <c r="H1" s="38" t="s">
        <v>2</v>
      </c>
      <c r="I1" s="13">
        <f>F1/B1</f>
        <v>120</v>
      </c>
      <c r="J1" s="4"/>
      <c r="K1" s="38"/>
      <c r="U1" s="123" t="s">
        <v>206</v>
      </c>
      <c r="V1" s="121">
        <v>119</v>
      </c>
    </row>
    <row r="2" spans="1:25" ht="14.25" customHeight="1">
      <c r="A2" s="42"/>
      <c r="B2" s="161" t="s">
        <v>42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61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48</v>
      </c>
      <c r="B5" s="15" t="s">
        <v>253</v>
      </c>
      <c r="C5" s="15" t="s">
        <v>17</v>
      </c>
      <c r="D5" s="20">
        <f>N5/65</f>
        <v>38.46153846153846</v>
      </c>
      <c r="E5" s="17">
        <f>$I$1</f>
        <v>120</v>
      </c>
      <c r="F5" s="18">
        <v>1</v>
      </c>
      <c r="G5" s="17">
        <f>E5*D5</f>
        <v>4615.3846153846152</v>
      </c>
      <c r="H5" s="80">
        <f>G5*F5</f>
        <v>4615.3846153846152</v>
      </c>
      <c r="I5" s="23">
        <f>VLOOKUP(B5,Ordering!$A$1:$J$83,6,FALSE)</f>
        <v>1</v>
      </c>
      <c r="J5" s="23">
        <f>VLOOKUP(B5,Ordering!$A$1:$J$83,10,FALSE)</f>
        <v>25.420026881720432</v>
      </c>
      <c r="K5" s="23">
        <f t="shared" ref="K5" si="0">((H5/(I5))/1000)</f>
        <v>4.615384615384615</v>
      </c>
      <c r="L5" s="92">
        <f t="shared" ref="L5:L9" si="1">J5*K5</f>
        <v>117.32320099255583</v>
      </c>
      <c r="N5" s="1">
        <v>2500</v>
      </c>
    </row>
    <row r="6" spans="1:25" ht="15" customHeight="1" thickTop="1" thickBot="1">
      <c r="A6" s="15" t="s">
        <v>30</v>
      </c>
      <c r="B6" s="15" t="s">
        <v>100</v>
      </c>
      <c r="C6" s="15" t="s">
        <v>15</v>
      </c>
      <c r="D6" s="20">
        <f>N6/65</f>
        <v>7.6923076923076927E-2</v>
      </c>
      <c r="E6" s="17">
        <f>$I$1</f>
        <v>120</v>
      </c>
      <c r="F6" s="18">
        <v>1</v>
      </c>
      <c r="G6" s="17">
        <f>E6*D6</f>
        <v>9.2307692307692317</v>
      </c>
      <c r="H6" s="80">
        <f>G6*F6</f>
        <v>9.2307692307692317</v>
      </c>
      <c r="I6" s="23">
        <f>VLOOKUP(B6,Ordering!$A$1:$J$83,6,FALSE)</f>
        <v>1</v>
      </c>
      <c r="J6" s="23">
        <f>VLOOKUP(B6,Ordering!$A$1:$J$83,10,FALSE)</f>
        <v>0.43333333333333335</v>
      </c>
      <c r="K6" s="23">
        <f t="shared" ref="K6" si="2">H6/I6</f>
        <v>9.2307692307692317</v>
      </c>
      <c r="L6" s="92">
        <f t="shared" si="1"/>
        <v>4.0000000000000009</v>
      </c>
      <c r="N6" s="1">
        <v>5</v>
      </c>
    </row>
    <row r="7" spans="1:25" ht="15" customHeight="1" thickTop="1" thickBot="1">
      <c r="A7" s="15" t="s">
        <v>47</v>
      </c>
      <c r="B7" s="15" t="s">
        <v>126</v>
      </c>
      <c r="C7" s="15" t="s">
        <v>17</v>
      </c>
      <c r="D7" s="20">
        <f>N7/65</f>
        <v>5.5384615384615383</v>
      </c>
      <c r="E7" s="17">
        <f>$I$1</f>
        <v>120</v>
      </c>
      <c r="F7" s="18">
        <v>1</v>
      </c>
      <c r="G7" s="17">
        <f>E7*D7</f>
        <v>664.61538461538464</v>
      </c>
      <c r="H7" s="80">
        <f>G7*F7</f>
        <v>664.61538461538464</v>
      </c>
      <c r="I7" s="23">
        <f>VLOOKUP(B7,Ordering!$A$1:$J$83,6,FALSE)</f>
        <v>1</v>
      </c>
      <c r="J7" s="23">
        <f>VLOOKUP(B7,Ordering!$A$1:$J$83,10,FALSE)</f>
        <v>5.882352941176471</v>
      </c>
      <c r="K7" s="23">
        <f t="shared" ref="K7:K9" si="3">((H7/(I7))/1000)</f>
        <v>0.66461538461538461</v>
      </c>
      <c r="L7" s="92">
        <f t="shared" si="1"/>
        <v>3.9095022624434392</v>
      </c>
      <c r="N7" s="1">
        <v>360</v>
      </c>
    </row>
    <row r="8" spans="1:25" ht="15" customHeight="1" thickTop="1" thickBot="1">
      <c r="A8" s="15" t="s">
        <v>47</v>
      </c>
      <c r="B8" s="15" t="s">
        <v>106</v>
      </c>
      <c r="C8" s="15" t="s">
        <v>16</v>
      </c>
      <c r="D8" s="20">
        <f>N8/65</f>
        <v>3.4615384615384617</v>
      </c>
      <c r="E8" s="17">
        <f>$I$1</f>
        <v>120</v>
      </c>
      <c r="F8" s="18">
        <v>1</v>
      </c>
      <c r="G8" s="17">
        <f>E8*D8</f>
        <v>415.38461538461542</v>
      </c>
      <c r="H8" s="80">
        <f>G8*F8</f>
        <v>415.38461538461542</v>
      </c>
      <c r="I8" s="23">
        <f>VLOOKUP(B8,Ordering!$A$1:$J$83,6,FALSE)</f>
        <v>1</v>
      </c>
      <c r="J8" s="23">
        <f>VLOOKUP(B8,Ordering!$A$1:$J$83,10,FALSE)</f>
        <v>0</v>
      </c>
      <c r="K8" s="23">
        <f t="shared" si="3"/>
        <v>0.41538461538461541</v>
      </c>
      <c r="L8" s="92">
        <f t="shared" si="1"/>
        <v>0</v>
      </c>
      <c r="N8" s="1">
        <v>225</v>
      </c>
      <c r="V8" s="86" t="s">
        <v>193</v>
      </c>
      <c r="W8" s="87">
        <v>1</v>
      </c>
      <c r="X8" s="86" t="s">
        <v>14</v>
      </c>
      <c r="Y8" s="88">
        <f>SUM(L5:L9)/S15</f>
        <v>1.0991614160138827</v>
      </c>
    </row>
    <row r="9" spans="1:25" ht="15" customHeight="1" thickTop="1" thickBot="1">
      <c r="A9" s="15" t="s">
        <v>48</v>
      </c>
      <c r="B9" s="15" t="s">
        <v>258</v>
      </c>
      <c r="C9" s="15" t="s">
        <v>17</v>
      </c>
      <c r="D9" s="20">
        <f>N9/65</f>
        <v>4.615384615384615</v>
      </c>
      <c r="E9" s="17">
        <f>$I$1</f>
        <v>120</v>
      </c>
      <c r="F9" s="18">
        <v>1</v>
      </c>
      <c r="G9" s="17">
        <f>E9*D9</f>
        <v>553.84615384615381</v>
      </c>
      <c r="H9" s="80">
        <f>G9*F9</f>
        <v>553.84615384615381</v>
      </c>
      <c r="I9" s="23">
        <f>VLOOKUP(B9,Ordering!$A$1:$J$83,6,FALSE)</f>
        <v>1</v>
      </c>
      <c r="J9" s="23">
        <f>VLOOKUP(B9,Ordering!$A$1:$J$83,10,FALSE)</f>
        <v>12.037037037037036</v>
      </c>
      <c r="K9" s="23">
        <f t="shared" si="3"/>
        <v>0.55384615384615377</v>
      </c>
      <c r="L9" s="92">
        <f t="shared" si="1"/>
        <v>6.6666666666666652</v>
      </c>
      <c r="N9" s="1">
        <v>300</v>
      </c>
    </row>
    <row r="10" spans="1:25" ht="14.75" customHeight="1" thickTop="1">
      <c r="R10" s="163" t="s">
        <v>62</v>
      </c>
      <c r="S10" s="164"/>
    </row>
    <row r="11" spans="1:25">
      <c r="R11" s="163" t="s">
        <v>18</v>
      </c>
      <c r="S11" s="164"/>
    </row>
    <row r="12" spans="1:25" ht="14.75" customHeight="1">
      <c r="R12" s="5" t="s">
        <v>19</v>
      </c>
      <c r="S12" s="5" t="s">
        <v>20</v>
      </c>
    </row>
    <row r="13" spans="1:25" ht="14.75" customHeight="1">
      <c r="R13" s="5" t="s">
        <v>21</v>
      </c>
      <c r="S13" s="47">
        <f>V1</f>
        <v>119</v>
      </c>
    </row>
    <row r="14" spans="1:25" ht="14.75" customHeight="1">
      <c r="R14" s="5" t="s">
        <v>22</v>
      </c>
      <c r="S14" s="14">
        <v>1</v>
      </c>
    </row>
    <row r="15" spans="1:25" ht="16.350000000000001">
      <c r="K15" s="45"/>
      <c r="R15" s="5" t="s">
        <v>23</v>
      </c>
      <c r="S15" s="48">
        <f>S13+S14</f>
        <v>120</v>
      </c>
    </row>
    <row r="16" spans="1:25">
      <c r="R16" s="89" t="s">
        <v>14</v>
      </c>
      <c r="S16" s="90">
        <f>SUM(L5:L9)</f>
        <v>131.89936992166594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0">
    <tabColor theme="7" tint="-0.249977111117893"/>
    <pageSetUpPr fitToPage="1"/>
  </sheetPr>
  <dimension ref="A1:Y19"/>
  <sheetViews>
    <sheetView topLeftCell="L1" zoomScale="55" zoomScaleNormal="55" zoomScaleSheetLayoutView="100" workbookViewId="0">
      <selection activeCell="S14" sqref="S14"/>
    </sheetView>
  </sheetViews>
  <sheetFormatPr defaultRowHeight="14.3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customWidth="1"/>
    <col min="8" max="8" width="29.8203125" bestFit="1" customWidth="1"/>
    <col min="9" max="9" width="12.234375" customWidth="1"/>
    <col min="10" max="10" width="14.41015625" customWidth="1"/>
    <col min="11" max="11" width="17.46875" bestFit="1" customWidth="1"/>
    <col min="12" max="12" width="11.05859375" bestFit="1" customWidth="1"/>
    <col min="18" max="18" width="15.05859375" customWidth="1"/>
    <col min="19" max="19" width="14.46875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292</v>
      </c>
      <c r="G1" s="4"/>
      <c r="H1" s="38" t="s">
        <v>2</v>
      </c>
      <c r="I1" s="13">
        <f>F1/B1</f>
        <v>292</v>
      </c>
      <c r="J1" s="4"/>
      <c r="K1" s="38"/>
      <c r="U1" s="123" t="s">
        <v>206</v>
      </c>
      <c r="V1" s="121">
        <v>290</v>
      </c>
    </row>
    <row r="2" spans="1:25" ht="14.25" customHeight="1">
      <c r="A2" s="42"/>
      <c r="B2" s="161" t="s">
        <v>35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63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102" t="s">
        <v>192</v>
      </c>
      <c r="J4" s="102" t="s">
        <v>12</v>
      </c>
      <c r="K4" s="102" t="s">
        <v>13</v>
      </c>
      <c r="L4" s="102" t="s">
        <v>14</v>
      </c>
    </row>
    <row r="5" spans="1:25" ht="15" customHeight="1" thickTop="1" thickBot="1">
      <c r="A5" s="15" t="s">
        <v>30</v>
      </c>
      <c r="B5" s="15" t="s">
        <v>100</v>
      </c>
      <c r="C5" s="22" t="s">
        <v>15</v>
      </c>
      <c r="D5" s="20">
        <f t="shared" ref="D5:D18" si="0">N5/54</f>
        <v>0.29629629629629628</v>
      </c>
      <c r="E5" s="17">
        <f t="shared" ref="E5:E18" si="1">$I$1</f>
        <v>292</v>
      </c>
      <c r="F5" s="18">
        <v>1</v>
      </c>
      <c r="G5" s="17">
        <f t="shared" ref="G5:G18" si="2">E5*D5</f>
        <v>86.518518518518519</v>
      </c>
      <c r="H5" s="80">
        <f t="shared" ref="H5:H18" si="3">G5*F5</f>
        <v>86.518518518518519</v>
      </c>
      <c r="I5" s="20">
        <f>VLOOKUP(B5,Ordering!$A$1:$J$83,6,FALSE)</f>
        <v>1</v>
      </c>
      <c r="J5" s="20">
        <f>VLOOKUP(B5,Ordering!$A$1:$J$83,10,FALSE)</f>
        <v>0.43333333333333335</v>
      </c>
      <c r="K5" s="20">
        <f>H5/I5</f>
        <v>86.518518518518519</v>
      </c>
      <c r="L5" s="91">
        <f t="shared" ref="L5:L18" si="4">J5*K5</f>
        <v>37.491358024691358</v>
      </c>
      <c r="N5" s="1">
        <v>16</v>
      </c>
    </row>
    <row r="6" spans="1:25" ht="15" customHeight="1" thickTop="1" thickBot="1">
      <c r="A6" s="15" t="s">
        <v>51</v>
      </c>
      <c r="B6" s="15" t="s">
        <v>234</v>
      </c>
      <c r="C6" s="22" t="s">
        <v>17</v>
      </c>
      <c r="D6" s="20">
        <f t="shared" si="0"/>
        <v>3.7037037037037038E-3</v>
      </c>
      <c r="E6" s="17">
        <f t="shared" si="1"/>
        <v>292</v>
      </c>
      <c r="F6" s="18">
        <v>1</v>
      </c>
      <c r="G6" s="17">
        <f t="shared" si="2"/>
        <v>1.0814814814814815</v>
      </c>
      <c r="H6" s="80">
        <f t="shared" si="3"/>
        <v>1.0814814814814815</v>
      </c>
      <c r="I6" s="20">
        <f>VLOOKUP(B6,Ordering!$A$1:$J$83,6,FALSE)</f>
        <v>1</v>
      </c>
      <c r="J6" s="20">
        <f>VLOOKUP(B6,Ordering!$A$1:$J$83,10,FALSE)</f>
        <v>22.5</v>
      </c>
      <c r="K6" s="20">
        <f t="shared" ref="K6:K18" si="5">((H6/(I6))/1000)</f>
        <v>1.0814814814814814E-3</v>
      </c>
      <c r="L6" s="91">
        <f t="shared" si="4"/>
        <v>2.4333333333333332E-2</v>
      </c>
      <c r="N6" s="1">
        <v>0.2</v>
      </c>
    </row>
    <row r="7" spans="1:25" ht="15" customHeight="1" thickTop="1" thickBot="1">
      <c r="A7" s="15" t="s">
        <v>46</v>
      </c>
      <c r="B7" s="15" t="s">
        <v>247</v>
      </c>
      <c r="C7" s="22" t="s">
        <v>17</v>
      </c>
      <c r="D7" s="20">
        <f t="shared" si="0"/>
        <v>9.2592592592592595</v>
      </c>
      <c r="E7" s="17">
        <f t="shared" si="1"/>
        <v>292</v>
      </c>
      <c r="F7" s="18">
        <v>1</v>
      </c>
      <c r="G7" s="17">
        <f t="shared" si="2"/>
        <v>2703.7037037037039</v>
      </c>
      <c r="H7" s="80">
        <f t="shared" si="3"/>
        <v>2703.7037037037039</v>
      </c>
      <c r="I7" s="20">
        <f>VLOOKUP(B7,Ordering!$A$1:$J$83,6,FALSE)</f>
        <v>1</v>
      </c>
      <c r="J7" s="20">
        <f>VLOOKUP(B7,Ordering!$A$1:$J$83,10,FALSE)</f>
        <v>2.7</v>
      </c>
      <c r="K7" s="20">
        <f t="shared" si="5"/>
        <v>2.7037037037037037</v>
      </c>
      <c r="L7" s="91">
        <f t="shared" si="4"/>
        <v>7.3000000000000007</v>
      </c>
      <c r="N7" s="1">
        <v>500</v>
      </c>
    </row>
    <row r="8" spans="1:25" ht="15" customHeight="1" thickTop="1" thickBot="1">
      <c r="A8" s="15" t="s">
        <v>30</v>
      </c>
      <c r="B8" s="15" t="s">
        <v>101</v>
      </c>
      <c r="C8" s="22" t="s">
        <v>16</v>
      </c>
      <c r="D8" s="20">
        <f t="shared" si="0"/>
        <v>1.8518518518518519</v>
      </c>
      <c r="E8" s="17">
        <f t="shared" si="1"/>
        <v>292</v>
      </c>
      <c r="F8" s="18">
        <v>1</v>
      </c>
      <c r="G8" s="17">
        <f t="shared" si="2"/>
        <v>540.74074074074076</v>
      </c>
      <c r="H8" s="80">
        <f t="shared" si="3"/>
        <v>540.74074074074076</v>
      </c>
      <c r="I8" s="20">
        <f>VLOOKUP(B8,Ordering!$A$1:$J$83,6,FALSE)</f>
        <v>1</v>
      </c>
      <c r="J8" s="20">
        <f>VLOOKUP(B8,Ordering!$A$1:$J$83,10,FALSE)</f>
        <v>4.2033333333333331</v>
      </c>
      <c r="K8" s="20">
        <f t="shared" si="5"/>
        <v>0.54074074074074074</v>
      </c>
      <c r="L8" s="91">
        <f t="shared" si="4"/>
        <v>2.2729135802469136</v>
      </c>
      <c r="N8" s="1">
        <v>100</v>
      </c>
      <c r="V8" s="86" t="s">
        <v>193</v>
      </c>
      <c r="W8" s="87">
        <v>1</v>
      </c>
      <c r="X8" s="86" t="s">
        <v>14</v>
      </c>
      <c r="Y8" s="103">
        <f>SUM(L5:L18)/S15</f>
        <v>1.3475420924459811</v>
      </c>
    </row>
    <row r="9" spans="1:25" ht="15" customHeight="1" thickTop="1" thickBot="1">
      <c r="A9" s="15" t="s">
        <v>51</v>
      </c>
      <c r="B9" s="15" t="s">
        <v>234</v>
      </c>
      <c r="C9" s="22" t="s">
        <v>17</v>
      </c>
      <c r="D9" s="20">
        <f t="shared" si="0"/>
        <v>3.7037037037037035E-2</v>
      </c>
      <c r="E9" s="17">
        <f t="shared" si="1"/>
        <v>292</v>
      </c>
      <c r="F9" s="18">
        <v>1</v>
      </c>
      <c r="G9" s="17">
        <f t="shared" si="2"/>
        <v>10.814814814814815</v>
      </c>
      <c r="H9" s="80">
        <f t="shared" si="3"/>
        <v>10.814814814814815</v>
      </c>
      <c r="I9" s="20">
        <f>VLOOKUP(B9,Ordering!$A$1:$J$83,6,FALSE)</f>
        <v>1</v>
      </c>
      <c r="J9" s="20">
        <f>VLOOKUP(B9,Ordering!$A$1:$J$83,10,FALSE)</f>
        <v>22.5</v>
      </c>
      <c r="K9" s="20">
        <f t="shared" si="5"/>
        <v>1.0814814814814815E-2</v>
      </c>
      <c r="L9" s="91">
        <f t="shared" si="4"/>
        <v>0.24333333333333335</v>
      </c>
      <c r="N9" s="1">
        <v>2</v>
      </c>
    </row>
    <row r="10" spans="1:25" ht="15" customHeight="1" thickTop="1" thickBot="1">
      <c r="A10" s="15" t="s">
        <v>47</v>
      </c>
      <c r="B10" s="15" t="s">
        <v>232</v>
      </c>
      <c r="C10" s="15" t="s">
        <v>17</v>
      </c>
      <c r="D10" s="20">
        <f t="shared" si="0"/>
        <v>0.37037037037037035</v>
      </c>
      <c r="E10" s="17">
        <f t="shared" si="1"/>
        <v>292</v>
      </c>
      <c r="F10" s="18">
        <v>1</v>
      </c>
      <c r="G10" s="17">
        <f t="shared" si="2"/>
        <v>108.14814814814814</v>
      </c>
      <c r="H10" s="80">
        <f t="shared" si="3"/>
        <v>108.14814814814814</v>
      </c>
      <c r="I10" s="20">
        <f>VLOOKUP(B10,Ordering!$A$1:$J$83,6,FALSE)</f>
        <v>1</v>
      </c>
      <c r="J10" s="20">
        <f>VLOOKUP(B10,Ordering!$A$1:$J$83,10,FALSE)</f>
        <v>24.305555555555557</v>
      </c>
      <c r="K10" s="20">
        <f t="shared" si="5"/>
        <v>0.10814814814814813</v>
      </c>
      <c r="L10" s="91">
        <f t="shared" si="4"/>
        <v>2.6286008230452671</v>
      </c>
      <c r="N10" s="1">
        <v>20</v>
      </c>
      <c r="R10" s="163" t="s">
        <v>64</v>
      </c>
      <c r="S10" s="164"/>
    </row>
    <row r="11" spans="1:25" ht="15" customHeight="1" thickTop="1" thickBot="1">
      <c r="A11" s="15" t="s">
        <v>47</v>
      </c>
      <c r="B11" s="15" t="s">
        <v>110</v>
      </c>
      <c r="C11" s="22" t="s">
        <v>17</v>
      </c>
      <c r="D11" s="20">
        <f t="shared" si="0"/>
        <v>1.8518518518518517E-2</v>
      </c>
      <c r="E11" s="17">
        <f t="shared" si="1"/>
        <v>292</v>
      </c>
      <c r="F11" s="18">
        <v>1</v>
      </c>
      <c r="G11" s="17">
        <f t="shared" si="2"/>
        <v>5.4074074074074074</v>
      </c>
      <c r="H11" s="80">
        <f t="shared" si="3"/>
        <v>5.4074074074074074</v>
      </c>
      <c r="I11" s="20">
        <f>VLOOKUP(B11,Ordering!$A$1:$J$83,6,FALSE)</f>
        <v>1</v>
      </c>
      <c r="J11" s="20">
        <f>VLOOKUP(B11,Ordering!$A$1:$J$83,10,FALSE)</f>
        <v>0.74</v>
      </c>
      <c r="K11" s="20">
        <f t="shared" si="5"/>
        <v>5.4074074074074076E-3</v>
      </c>
      <c r="L11" s="91">
        <f t="shared" si="4"/>
        <v>4.0014814814814817E-3</v>
      </c>
      <c r="N11" s="1">
        <v>1</v>
      </c>
      <c r="R11" s="163" t="s">
        <v>18</v>
      </c>
      <c r="S11" s="164"/>
    </row>
    <row r="12" spans="1:25" ht="15" customHeight="1" thickTop="1" thickBot="1">
      <c r="A12" s="15" t="s">
        <v>51</v>
      </c>
      <c r="B12" s="15" t="s">
        <v>236</v>
      </c>
      <c r="C12" s="22" t="s">
        <v>17</v>
      </c>
      <c r="D12" s="20">
        <f t="shared" si="0"/>
        <v>3.7037037037037035E-2</v>
      </c>
      <c r="E12" s="17">
        <f t="shared" si="1"/>
        <v>292</v>
      </c>
      <c r="F12" s="18">
        <v>1</v>
      </c>
      <c r="G12" s="17">
        <f t="shared" si="2"/>
        <v>10.814814814814815</v>
      </c>
      <c r="H12" s="80">
        <f t="shared" si="3"/>
        <v>10.814814814814815</v>
      </c>
      <c r="I12" s="20">
        <f>VLOOKUP(B12,Ordering!$A$1:$J$83,6,FALSE)</f>
        <v>1</v>
      </c>
      <c r="J12" s="20">
        <f>VLOOKUP(B12,Ordering!$A$1:$J$83,10,FALSE)</f>
        <v>9333.3333333333339</v>
      </c>
      <c r="K12" s="20">
        <f t="shared" si="5"/>
        <v>1.0814814814814815E-2</v>
      </c>
      <c r="L12" s="91">
        <f t="shared" si="4"/>
        <v>100.93827160493828</v>
      </c>
      <c r="N12" s="1">
        <v>2</v>
      </c>
      <c r="R12" s="5" t="s">
        <v>19</v>
      </c>
      <c r="S12" s="5" t="s">
        <v>20</v>
      </c>
    </row>
    <row r="13" spans="1:25" ht="15" customHeight="1" thickTop="1" thickBot="1">
      <c r="A13" s="15" t="s">
        <v>48</v>
      </c>
      <c r="B13" s="15" t="s">
        <v>114</v>
      </c>
      <c r="C13" s="22" t="s">
        <v>17</v>
      </c>
      <c r="D13" s="20">
        <f t="shared" si="0"/>
        <v>8.7222222222222214</v>
      </c>
      <c r="E13" s="17">
        <f t="shared" si="1"/>
        <v>292</v>
      </c>
      <c r="F13" s="18">
        <v>1</v>
      </c>
      <c r="G13" s="17">
        <f t="shared" si="2"/>
        <v>2546.8888888888887</v>
      </c>
      <c r="H13" s="80">
        <f t="shared" si="3"/>
        <v>2546.8888888888887</v>
      </c>
      <c r="I13" s="20">
        <f>VLOOKUP(B13,Ordering!$A$1:$J$83,6,FALSE)</f>
        <v>1</v>
      </c>
      <c r="J13" s="20">
        <f>VLOOKUP(B13,Ordering!$A$1:$J$83,10,FALSE)</f>
        <v>1.7</v>
      </c>
      <c r="K13" s="20">
        <f t="shared" si="5"/>
        <v>2.5468888888888888</v>
      </c>
      <c r="L13" s="91">
        <f t="shared" si="4"/>
        <v>4.3297111111111111</v>
      </c>
      <c r="N13" s="1">
        <v>471</v>
      </c>
      <c r="R13" s="5" t="s">
        <v>21</v>
      </c>
      <c r="S13" s="47">
        <f>V1</f>
        <v>290</v>
      </c>
    </row>
    <row r="14" spans="1:25" ht="15" customHeight="1" thickTop="1" thickBot="1">
      <c r="A14" s="15" t="s">
        <v>46</v>
      </c>
      <c r="B14" s="15" t="s">
        <v>246</v>
      </c>
      <c r="C14" s="22" t="s">
        <v>16</v>
      </c>
      <c r="D14" s="20">
        <f t="shared" si="0"/>
        <v>37.037037037037038</v>
      </c>
      <c r="E14" s="17">
        <f t="shared" si="1"/>
        <v>292</v>
      </c>
      <c r="F14" s="18">
        <v>1</v>
      </c>
      <c r="G14" s="17">
        <f t="shared" si="2"/>
        <v>10814.814814814816</v>
      </c>
      <c r="H14" s="80">
        <f t="shared" si="3"/>
        <v>10814.814814814816</v>
      </c>
      <c r="I14" s="20">
        <f>VLOOKUP(B14,Ordering!$A$1:$J$83,6,FALSE)</f>
        <v>1</v>
      </c>
      <c r="J14" s="20">
        <f>VLOOKUP(B14,Ordering!$A$1:$J$83,10,FALSE)</f>
        <v>11.824324324324323</v>
      </c>
      <c r="K14" s="20">
        <f t="shared" si="5"/>
        <v>10.814814814814815</v>
      </c>
      <c r="L14" s="91">
        <f t="shared" si="4"/>
        <v>127.87787787787786</v>
      </c>
      <c r="N14" s="1">
        <v>2000</v>
      </c>
      <c r="R14" s="5" t="s">
        <v>22</v>
      </c>
      <c r="S14" s="14">
        <v>2</v>
      </c>
    </row>
    <row r="15" spans="1:25" ht="15" customHeight="1" thickTop="1" thickBot="1">
      <c r="A15" s="15" t="s">
        <v>30</v>
      </c>
      <c r="B15" s="15" t="s">
        <v>226</v>
      </c>
      <c r="C15" s="22" t="s">
        <v>16</v>
      </c>
      <c r="D15" s="20">
        <f t="shared" si="0"/>
        <v>37.037037037037038</v>
      </c>
      <c r="E15" s="17">
        <f t="shared" si="1"/>
        <v>292</v>
      </c>
      <c r="F15" s="18">
        <v>1</v>
      </c>
      <c r="G15" s="17">
        <f t="shared" si="2"/>
        <v>10814.814814814816</v>
      </c>
      <c r="H15" s="80">
        <f t="shared" si="3"/>
        <v>10814.814814814816</v>
      </c>
      <c r="I15" s="20">
        <f>VLOOKUP(B15,Ordering!$A$1:$J$83,6,FALSE)</f>
        <v>1</v>
      </c>
      <c r="J15" s="20">
        <f>VLOOKUP(B15,Ordering!$A$1:$J$83,10,FALSE)</f>
        <v>6.0606060606060606</v>
      </c>
      <c r="K15" s="20">
        <f t="shared" si="5"/>
        <v>10.814814814814815</v>
      </c>
      <c r="L15" s="91">
        <f t="shared" si="4"/>
        <v>65.544332210998874</v>
      </c>
      <c r="N15" s="1">
        <v>2000</v>
      </c>
      <c r="R15" s="5" t="s">
        <v>23</v>
      </c>
      <c r="S15" s="48">
        <f>S13+S14</f>
        <v>292</v>
      </c>
    </row>
    <row r="16" spans="1:25" ht="15" customHeight="1" thickTop="1" thickBot="1">
      <c r="A16" s="15" t="s">
        <v>51</v>
      </c>
      <c r="B16" s="15" t="s">
        <v>234</v>
      </c>
      <c r="C16" s="22" t="s">
        <v>17</v>
      </c>
      <c r="D16" s="20">
        <f t="shared" si="0"/>
        <v>9.2592592592592587E-2</v>
      </c>
      <c r="E16" s="17">
        <f t="shared" si="1"/>
        <v>292</v>
      </c>
      <c r="F16" s="18">
        <v>1</v>
      </c>
      <c r="G16" s="17">
        <f t="shared" si="2"/>
        <v>27.037037037037035</v>
      </c>
      <c r="H16" s="80">
        <f t="shared" si="3"/>
        <v>27.037037037037035</v>
      </c>
      <c r="I16" s="20">
        <f>VLOOKUP(B16,Ordering!$A$1:$J$83,6,FALSE)</f>
        <v>1</v>
      </c>
      <c r="J16" s="20">
        <f>VLOOKUP(B16,Ordering!$A$1:$J$83,10,FALSE)</f>
        <v>22.5</v>
      </c>
      <c r="K16" s="20">
        <f t="shared" si="5"/>
        <v>2.7037037037037033E-2</v>
      </c>
      <c r="L16" s="91">
        <f t="shared" si="4"/>
        <v>0.60833333333333328</v>
      </c>
      <c r="N16" s="1">
        <v>5</v>
      </c>
      <c r="R16" s="89" t="s">
        <v>14</v>
      </c>
      <c r="S16" s="90">
        <f>SUM(L5:L18)</f>
        <v>393.4822909942265</v>
      </c>
    </row>
    <row r="17" spans="1:14" ht="15" customHeight="1" thickTop="1" thickBot="1">
      <c r="A17" s="15" t="s">
        <v>51</v>
      </c>
      <c r="B17" s="15" t="s">
        <v>231</v>
      </c>
      <c r="C17" s="22" t="s">
        <v>17</v>
      </c>
      <c r="D17" s="20">
        <f t="shared" si="0"/>
        <v>3.7037037037037035E-2</v>
      </c>
      <c r="E17" s="17">
        <f t="shared" si="1"/>
        <v>292</v>
      </c>
      <c r="F17" s="18">
        <v>1</v>
      </c>
      <c r="G17" s="17">
        <f t="shared" si="2"/>
        <v>10.814814814814815</v>
      </c>
      <c r="H17" s="17">
        <f t="shared" si="3"/>
        <v>10.814814814814815</v>
      </c>
      <c r="I17" s="20">
        <f>VLOOKUP(B17,Ordering!$A$1:$J$83,6,FALSE)</f>
        <v>1</v>
      </c>
      <c r="J17" s="20">
        <f>VLOOKUP(B17,Ordering!$A$1:$J$83,10,FALSE)</f>
        <v>26.263888888888889</v>
      </c>
      <c r="K17" s="20">
        <f t="shared" si="5"/>
        <v>1.0814814814814815E-2</v>
      </c>
      <c r="L17" s="91">
        <f t="shared" si="4"/>
        <v>0.28403909465020577</v>
      </c>
      <c r="N17" s="1">
        <v>2</v>
      </c>
    </row>
    <row r="18" spans="1:14" ht="15" customHeight="1" thickTop="1">
      <c r="A18" s="15" t="s">
        <v>30</v>
      </c>
      <c r="B18" s="15" t="s">
        <v>227</v>
      </c>
      <c r="C18" s="22" t="s">
        <v>17</v>
      </c>
      <c r="D18" s="20">
        <f t="shared" si="0"/>
        <v>13.888888888888889</v>
      </c>
      <c r="E18" s="17">
        <f t="shared" si="1"/>
        <v>292</v>
      </c>
      <c r="F18" s="18">
        <v>1</v>
      </c>
      <c r="G18" s="17">
        <f t="shared" si="2"/>
        <v>4055.5555555555557</v>
      </c>
      <c r="H18" s="17">
        <f t="shared" si="3"/>
        <v>4055.5555555555557</v>
      </c>
      <c r="I18" s="20">
        <f>VLOOKUP(B18,Ordering!$A$1:$J$83,6,FALSE)</f>
        <v>1</v>
      </c>
      <c r="J18" s="20">
        <f>VLOOKUP(B18,Ordering!$A$1:$J$83,10,FALSE)</f>
        <v>10.833333333333334</v>
      </c>
      <c r="K18" s="20">
        <f t="shared" si="5"/>
        <v>4.0555555555555554</v>
      </c>
      <c r="L18" s="91">
        <f t="shared" si="4"/>
        <v>43.935185185185183</v>
      </c>
      <c r="N18" s="27">
        <v>750</v>
      </c>
    </row>
    <row r="19" spans="1:14" ht="14.75" customHeight="1"/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38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C524C-061C-422D-B3EA-4DB216043741}">
  <sheetPr codeName="Sheet8">
    <tabColor rgb="FFBF9000"/>
    <pageSetUpPr fitToPage="1"/>
  </sheetPr>
  <dimension ref="A1:X19"/>
  <sheetViews>
    <sheetView zoomScaleNormal="100" workbookViewId="0">
      <selection activeCell="B2" sqref="B2:H3"/>
    </sheetView>
  </sheetViews>
  <sheetFormatPr defaultColWidth="7.9375" defaultRowHeight="14.35"/>
  <cols>
    <col min="1" max="1" width="23.3515625" style="132" customWidth="1"/>
    <col min="2" max="2" width="33.3515625" style="132" customWidth="1"/>
    <col min="3" max="3" width="16" style="132" customWidth="1"/>
    <col min="4" max="4" width="13.234375" style="132" customWidth="1"/>
    <col min="5" max="5" width="13.17578125" style="132" customWidth="1"/>
    <col min="6" max="6" width="10.46875" style="132" customWidth="1"/>
    <col min="7" max="7" width="7.9375" style="132"/>
    <col min="8" max="8" width="27.3515625" style="132" customWidth="1"/>
    <col min="9" max="9" width="7.9375" style="132"/>
    <col min="10" max="10" width="13.17578125" style="132" customWidth="1"/>
    <col min="11" max="11" width="17.46875" style="132" bestFit="1" customWidth="1"/>
    <col min="12" max="12" width="11.41015625" style="132" customWidth="1"/>
    <col min="13" max="17" width="7.9375" style="132"/>
    <col min="18" max="18" width="13.8203125" style="132" customWidth="1"/>
    <col min="19" max="19" width="13.234375" style="132" customWidth="1"/>
    <col min="20" max="16384" width="7.9375" style="132"/>
  </cols>
  <sheetData>
    <row r="1" spans="1:24">
      <c r="A1" s="128" t="s">
        <v>0</v>
      </c>
      <c r="B1" s="129">
        <v>1</v>
      </c>
      <c r="C1" s="130"/>
      <c r="D1" s="130"/>
      <c r="E1" s="128" t="s">
        <v>1</v>
      </c>
      <c r="F1" s="131">
        <f>S15</f>
        <v>11</v>
      </c>
      <c r="G1" s="130"/>
      <c r="H1" s="128" t="s">
        <v>2</v>
      </c>
      <c r="I1" s="131">
        <f>F1/B1</f>
        <v>11</v>
      </c>
      <c r="J1" s="130"/>
      <c r="K1" s="128"/>
      <c r="U1" s="123" t="s">
        <v>206</v>
      </c>
      <c r="V1" s="121">
        <v>9</v>
      </c>
      <c r="W1"/>
      <c r="X1"/>
    </row>
    <row r="2" spans="1:24" ht="14.25" customHeight="1">
      <c r="A2" s="133"/>
      <c r="B2" s="166" t="s">
        <v>290</v>
      </c>
      <c r="C2" s="166"/>
      <c r="D2" s="166"/>
      <c r="E2" s="166"/>
      <c r="F2" s="166"/>
      <c r="G2" s="166"/>
      <c r="H2" s="166"/>
      <c r="I2" s="134"/>
      <c r="J2" s="135"/>
      <c r="K2" s="133"/>
      <c r="U2"/>
      <c r="V2"/>
      <c r="W2"/>
      <c r="X2"/>
    </row>
    <row r="3" spans="1:24" ht="14.25" customHeight="1">
      <c r="A3" s="136"/>
      <c r="B3" s="167" t="s">
        <v>291</v>
      </c>
      <c r="C3" s="167"/>
      <c r="D3" s="167"/>
      <c r="E3" s="167"/>
      <c r="F3" s="167"/>
      <c r="G3" s="167"/>
      <c r="H3" s="167"/>
      <c r="I3" s="137"/>
      <c r="J3" s="138"/>
      <c r="K3" s="136"/>
      <c r="U3"/>
      <c r="V3"/>
      <c r="W3"/>
      <c r="X3"/>
    </row>
    <row r="4" spans="1:24" ht="39.75" customHeight="1" thickBot="1">
      <c r="A4" s="139" t="s">
        <v>4</v>
      </c>
      <c r="B4" s="139" t="s">
        <v>5</v>
      </c>
      <c r="C4" s="139" t="s">
        <v>6</v>
      </c>
      <c r="D4" s="139" t="s">
        <v>7</v>
      </c>
      <c r="E4" s="139" t="s">
        <v>8</v>
      </c>
      <c r="F4" s="139" t="s">
        <v>9</v>
      </c>
      <c r="G4" s="139" t="s">
        <v>10</v>
      </c>
      <c r="H4" s="13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  <c r="U4"/>
      <c r="V4"/>
      <c r="W4"/>
      <c r="X4"/>
    </row>
    <row r="5" spans="1:24" ht="15" customHeight="1" thickTop="1" thickBot="1">
      <c r="A5" s="140" t="s">
        <v>269</v>
      </c>
      <c r="B5" s="140" t="s">
        <v>286</v>
      </c>
      <c r="C5" s="141" t="s">
        <v>16</v>
      </c>
      <c r="D5" s="142">
        <f t="shared" ref="D5:D16" si="0">N5/75</f>
        <v>1.6666666666666667</v>
      </c>
      <c r="E5" s="143">
        <f t="shared" ref="E5:E16" si="1">$I$1</f>
        <v>11</v>
      </c>
      <c r="F5" s="144">
        <v>1</v>
      </c>
      <c r="G5" s="143">
        <f t="shared" ref="G5:G16" si="2">E5*D5</f>
        <v>18.333333333333336</v>
      </c>
      <c r="H5" s="143">
        <f t="shared" ref="H5:H16" si="3">G5*F5</f>
        <v>18.333333333333336</v>
      </c>
      <c r="I5" s="23">
        <f>VLOOKUP(B5,Ordering!$A$1:$J$83,6,FALSE)</f>
        <v>1</v>
      </c>
      <c r="J5" s="23">
        <f>VLOOKUP(B5,Ordering!$A$1:$J$83,10,FALSE)</f>
        <v>4.2033333333333331</v>
      </c>
      <c r="K5" s="152">
        <f>((H5/(I5))/1000)</f>
        <v>1.8333333333333337E-2</v>
      </c>
      <c r="L5" s="92">
        <f t="shared" ref="L5" si="4">J5*K5</f>
        <v>7.7061111111111122E-2</v>
      </c>
      <c r="N5" s="145">
        <v>125</v>
      </c>
      <c r="U5"/>
      <c r="V5"/>
      <c r="W5"/>
      <c r="X5"/>
    </row>
    <row r="6" spans="1:24" ht="15" customHeight="1" thickTop="1" thickBot="1">
      <c r="A6" s="140" t="s">
        <v>273</v>
      </c>
      <c r="B6" s="140" t="s">
        <v>287</v>
      </c>
      <c r="C6" s="141" t="s">
        <v>16</v>
      </c>
      <c r="D6" s="142">
        <f t="shared" si="0"/>
        <v>1.6666666666666667</v>
      </c>
      <c r="E6" s="143">
        <f t="shared" si="1"/>
        <v>11</v>
      </c>
      <c r="F6" s="144">
        <v>1</v>
      </c>
      <c r="G6" s="143">
        <f t="shared" si="2"/>
        <v>18.333333333333336</v>
      </c>
      <c r="H6" s="143">
        <f t="shared" si="3"/>
        <v>18.333333333333336</v>
      </c>
      <c r="I6" s="23">
        <f>VLOOKUP(B6,Ordering!$A$1:$J$83,6,FALSE)</f>
        <v>1</v>
      </c>
      <c r="J6" s="23">
        <f>VLOOKUP(B6,Ordering!$A$1:$J$83,10,FALSE)</f>
        <v>0</v>
      </c>
      <c r="K6" s="152">
        <f t="shared" ref="K6:K8" si="5">((H6/(I6))/1000)</f>
        <v>1.8333333333333337E-2</v>
      </c>
      <c r="L6" s="91">
        <f t="shared" ref="L6:L16" si="6">J6*K6</f>
        <v>0</v>
      </c>
      <c r="N6" s="145">
        <v>125</v>
      </c>
      <c r="U6"/>
      <c r="V6"/>
      <c r="W6"/>
      <c r="X6"/>
    </row>
    <row r="7" spans="1:24" ht="15" customHeight="1" thickTop="1" thickBot="1">
      <c r="A7" s="140" t="s">
        <v>269</v>
      </c>
      <c r="B7" s="140" t="s">
        <v>283</v>
      </c>
      <c r="C7" s="141" t="s">
        <v>17</v>
      </c>
      <c r="D7" s="142">
        <f t="shared" si="0"/>
        <v>1.3333333333333333</v>
      </c>
      <c r="E7" s="143">
        <f t="shared" si="1"/>
        <v>11</v>
      </c>
      <c r="F7" s="144">
        <v>1</v>
      </c>
      <c r="G7" s="143">
        <f t="shared" si="2"/>
        <v>14.666666666666666</v>
      </c>
      <c r="H7" s="143">
        <f t="shared" si="3"/>
        <v>14.666666666666666</v>
      </c>
      <c r="I7" s="23">
        <f>VLOOKUP(B7,Ordering!$A$1:$J$83,6,FALSE)</f>
        <v>1</v>
      </c>
      <c r="J7" s="23">
        <f>VLOOKUP(B7,Ordering!$A$1:$J$83,10,FALSE)</f>
        <v>30</v>
      </c>
      <c r="K7" s="152">
        <f t="shared" si="5"/>
        <v>1.4666666666666666E-2</v>
      </c>
      <c r="L7" s="92">
        <f t="shared" si="6"/>
        <v>0.44</v>
      </c>
      <c r="N7" s="145">
        <v>100</v>
      </c>
      <c r="U7"/>
      <c r="V7"/>
      <c r="W7"/>
      <c r="X7"/>
    </row>
    <row r="8" spans="1:24" ht="15" customHeight="1" thickTop="1" thickBot="1">
      <c r="A8" s="140" t="s">
        <v>271</v>
      </c>
      <c r="B8" s="146" t="s">
        <v>247</v>
      </c>
      <c r="C8" s="141" t="s">
        <v>17</v>
      </c>
      <c r="D8" s="142">
        <f t="shared" si="0"/>
        <v>0.10666666666666667</v>
      </c>
      <c r="E8" s="143">
        <f t="shared" si="1"/>
        <v>11</v>
      </c>
      <c r="F8" s="144">
        <v>1</v>
      </c>
      <c r="G8" s="143">
        <f t="shared" si="2"/>
        <v>1.1733333333333333</v>
      </c>
      <c r="H8" s="143">
        <f t="shared" si="3"/>
        <v>1.1733333333333333</v>
      </c>
      <c r="I8" s="23">
        <f>VLOOKUP(B8,Ordering!$A$1:$J$83,6,FALSE)</f>
        <v>1</v>
      </c>
      <c r="J8" s="23">
        <f>VLOOKUP(B8,Ordering!$A$1:$J$83,10,FALSE)</f>
        <v>2.7</v>
      </c>
      <c r="K8" s="152">
        <f t="shared" si="5"/>
        <v>1.1733333333333333E-3</v>
      </c>
      <c r="L8" s="92">
        <f t="shared" si="6"/>
        <v>3.1680000000000002E-3</v>
      </c>
      <c r="N8" s="145">
        <v>8</v>
      </c>
      <c r="U8" s="86" t="s">
        <v>193</v>
      </c>
      <c r="V8" s="87">
        <v>1</v>
      </c>
      <c r="W8" s="86" t="s">
        <v>14</v>
      </c>
      <c r="X8" s="104">
        <f>S16/S15</f>
        <v>0.25480466666666668</v>
      </c>
    </row>
    <row r="9" spans="1:24" ht="15" customHeight="1" thickTop="1" thickBot="1">
      <c r="A9" s="140" t="s">
        <v>269</v>
      </c>
      <c r="B9" s="140" t="s">
        <v>270</v>
      </c>
      <c r="C9" s="141" t="s">
        <v>15</v>
      </c>
      <c r="D9" s="142">
        <f t="shared" si="0"/>
        <v>6.6666666666666666E-2</v>
      </c>
      <c r="E9" s="143">
        <f t="shared" si="1"/>
        <v>11</v>
      </c>
      <c r="F9" s="144">
        <v>1</v>
      </c>
      <c r="G9" s="143">
        <f t="shared" si="2"/>
        <v>0.73333333333333328</v>
      </c>
      <c r="H9" s="143">
        <f t="shared" si="3"/>
        <v>0.73333333333333328</v>
      </c>
      <c r="I9" s="23">
        <f>VLOOKUP(B9,Ordering!$A$1:$J$83,6,FALSE)</f>
        <v>1</v>
      </c>
      <c r="J9" s="23">
        <f>VLOOKUP(B9,Ordering!$A$1:$J$83,10,FALSE)</f>
        <v>0.43333333333333335</v>
      </c>
      <c r="K9" s="23">
        <f t="shared" ref="K9" si="7">H9/I9</f>
        <v>0.73333333333333328</v>
      </c>
      <c r="L9" s="92">
        <f t="shared" si="6"/>
        <v>0.31777777777777777</v>
      </c>
      <c r="N9" s="145">
        <v>5</v>
      </c>
    </row>
    <row r="10" spans="1:24" ht="15" customHeight="1" thickTop="1" thickBot="1">
      <c r="A10" s="140" t="s">
        <v>275</v>
      </c>
      <c r="B10" s="140" t="s">
        <v>276</v>
      </c>
      <c r="C10" s="140" t="s">
        <v>17</v>
      </c>
      <c r="D10" s="142">
        <f t="shared" si="0"/>
        <v>2</v>
      </c>
      <c r="E10" s="143">
        <f t="shared" si="1"/>
        <v>11</v>
      </c>
      <c r="F10" s="144">
        <v>1</v>
      </c>
      <c r="G10" s="143">
        <f t="shared" si="2"/>
        <v>22</v>
      </c>
      <c r="H10" s="143">
        <f t="shared" si="3"/>
        <v>22</v>
      </c>
      <c r="I10" s="23">
        <f>VLOOKUP(B10,Ordering!$A$1:$J$83,6,FALSE)</f>
        <v>1</v>
      </c>
      <c r="J10" s="23">
        <f>VLOOKUP(B10,Ordering!$A$1:$J$83,10,FALSE)</f>
        <v>1.7</v>
      </c>
      <c r="K10" s="152">
        <f>((H10/(I10))/1000)</f>
        <v>2.1999999999999999E-2</v>
      </c>
      <c r="L10" s="92">
        <f t="shared" si="6"/>
        <v>3.7399999999999996E-2</v>
      </c>
      <c r="N10" s="145">
        <v>150</v>
      </c>
      <c r="R10" s="168" t="s">
        <v>292</v>
      </c>
      <c r="S10" s="168"/>
    </row>
    <row r="11" spans="1:24" ht="15" customHeight="1" thickTop="1" thickBot="1">
      <c r="A11" s="140" t="s">
        <v>271</v>
      </c>
      <c r="B11" s="146" t="s">
        <v>248</v>
      </c>
      <c r="C11" s="141" t="s">
        <v>17</v>
      </c>
      <c r="D11" s="142">
        <f t="shared" si="0"/>
        <v>1.3333333333333333</v>
      </c>
      <c r="E11" s="143">
        <f t="shared" si="1"/>
        <v>11</v>
      </c>
      <c r="F11" s="144">
        <v>1</v>
      </c>
      <c r="G11" s="143">
        <f t="shared" si="2"/>
        <v>14.666666666666666</v>
      </c>
      <c r="H11" s="143">
        <f t="shared" si="3"/>
        <v>14.666666666666666</v>
      </c>
      <c r="I11" s="23">
        <f>VLOOKUP(B11,Ordering!$A$1:$J$83,6,FALSE)</f>
        <v>1</v>
      </c>
      <c r="J11" s="23">
        <f>VLOOKUP(B11,Ordering!$A$1:$J$83,10,FALSE)</f>
        <v>3.3333333333333335</v>
      </c>
      <c r="K11" s="152">
        <f t="shared" ref="K11:K16" si="8">((H11/(I11))/1000)</f>
        <v>1.4666666666666666E-2</v>
      </c>
      <c r="L11" s="92">
        <f t="shared" si="6"/>
        <v>4.8888888888888891E-2</v>
      </c>
      <c r="N11" s="145">
        <v>100</v>
      </c>
      <c r="R11" s="168" t="s">
        <v>18</v>
      </c>
      <c r="S11" s="168"/>
    </row>
    <row r="12" spans="1:24" ht="15" customHeight="1" thickTop="1" thickBot="1">
      <c r="A12" s="140" t="s">
        <v>275</v>
      </c>
      <c r="B12" s="140" t="s">
        <v>276</v>
      </c>
      <c r="C12" s="141" t="s">
        <v>17</v>
      </c>
      <c r="D12" s="142">
        <f t="shared" si="0"/>
        <v>1.3333333333333333</v>
      </c>
      <c r="E12" s="143">
        <f t="shared" si="1"/>
        <v>11</v>
      </c>
      <c r="F12" s="144">
        <v>1</v>
      </c>
      <c r="G12" s="143">
        <f t="shared" si="2"/>
        <v>14.666666666666666</v>
      </c>
      <c r="H12" s="143">
        <f t="shared" si="3"/>
        <v>14.666666666666666</v>
      </c>
      <c r="I12" s="23">
        <f>VLOOKUP(B12,Ordering!$A$1:$J$83,6,FALSE)</f>
        <v>1</v>
      </c>
      <c r="J12" s="23">
        <f>VLOOKUP(B12,Ordering!$A$1:$J$83,10,FALSE)</f>
        <v>1.7</v>
      </c>
      <c r="K12" s="152">
        <f t="shared" si="8"/>
        <v>1.4666666666666666E-2</v>
      </c>
      <c r="L12" s="92">
        <f t="shared" si="6"/>
        <v>2.4933333333333332E-2</v>
      </c>
      <c r="N12" s="145">
        <v>100</v>
      </c>
      <c r="R12" s="147" t="s">
        <v>19</v>
      </c>
      <c r="S12" s="147" t="s">
        <v>20</v>
      </c>
    </row>
    <row r="13" spans="1:24" ht="15" customHeight="1" thickTop="1" thickBot="1">
      <c r="A13" s="140" t="s">
        <v>269</v>
      </c>
      <c r="B13" s="140" t="s">
        <v>283</v>
      </c>
      <c r="C13" s="141" t="s">
        <v>17</v>
      </c>
      <c r="D13" s="142">
        <f t="shared" si="0"/>
        <v>1.3333333333333333</v>
      </c>
      <c r="E13" s="143">
        <f t="shared" si="1"/>
        <v>11</v>
      </c>
      <c r="F13" s="144">
        <v>1</v>
      </c>
      <c r="G13" s="143">
        <f t="shared" si="2"/>
        <v>14.666666666666666</v>
      </c>
      <c r="H13" s="143">
        <f t="shared" si="3"/>
        <v>14.666666666666666</v>
      </c>
      <c r="I13" s="23">
        <f>VLOOKUP(B13,Ordering!$A$1:$J$83,6,FALSE)</f>
        <v>1</v>
      </c>
      <c r="J13" s="23">
        <f>VLOOKUP(B13,Ordering!$A$1:$J$83,10,FALSE)</f>
        <v>30</v>
      </c>
      <c r="K13" s="152">
        <f t="shared" si="8"/>
        <v>1.4666666666666666E-2</v>
      </c>
      <c r="L13" s="92">
        <f t="shared" si="6"/>
        <v>0.44</v>
      </c>
      <c r="N13" s="145">
        <v>100</v>
      </c>
      <c r="R13" s="147" t="s">
        <v>21</v>
      </c>
      <c r="S13" s="148">
        <f>V1</f>
        <v>9</v>
      </c>
    </row>
    <row r="14" spans="1:24" ht="15" customHeight="1" thickTop="1" thickBot="1">
      <c r="A14" s="140" t="s">
        <v>269</v>
      </c>
      <c r="B14" s="146" t="s">
        <v>227</v>
      </c>
      <c r="C14" s="141" t="s">
        <v>17</v>
      </c>
      <c r="D14" s="142">
        <f t="shared" si="0"/>
        <v>3.3333333333333335</v>
      </c>
      <c r="E14" s="143">
        <f t="shared" si="1"/>
        <v>11</v>
      </c>
      <c r="F14" s="144">
        <v>1</v>
      </c>
      <c r="G14" s="143">
        <f t="shared" si="2"/>
        <v>36.666666666666671</v>
      </c>
      <c r="H14" s="143">
        <f t="shared" si="3"/>
        <v>36.666666666666671</v>
      </c>
      <c r="I14" s="23">
        <f>VLOOKUP(B14,Ordering!$A$1:$J$83,6,FALSE)</f>
        <v>1</v>
      </c>
      <c r="J14" s="23">
        <f>VLOOKUP(B14,Ordering!$A$1:$J$83,10,FALSE)</f>
        <v>10.833333333333334</v>
      </c>
      <c r="K14" s="152">
        <f t="shared" si="8"/>
        <v>3.6666666666666674E-2</v>
      </c>
      <c r="L14" s="92">
        <f t="shared" si="6"/>
        <v>0.39722222222222231</v>
      </c>
      <c r="N14" s="145">
        <v>250</v>
      </c>
      <c r="R14" s="147" t="s">
        <v>22</v>
      </c>
      <c r="S14" s="149">
        <v>2</v>
      </c>
    </row>
    <row r="15" spans="1:24" ht="15" customHeight="1" thickTop="1" thickBot="1">
      <c r="A15" s="140" t="s">
        <v>269</v>
      </c>
      <c r="B15" s="146" t="s">
        <v>229</v>
      </c>
      <c r="C15" s="141" t="s">
        <v>17</v>
      </c>
      <c r="D15" s="142">
        <f t="shared" si="0"/>
        <v>4</v>
      </c>
      <c r="E15" s="143">
        <f t="shared" si="1"/>
        <v>11</v>
      </c>
      <c r="F15" s="144">
        <v>1</v>
      </c>
      <c r="G15" s="143">
        <f t="shared" si="2"/>
        <v>44</v>
      </c>
      <c r="H15" s="143">
        <f t="shared" si="3"/>
        <v>44</v>
      </c>
      <c r="I15" s="23">
        <f>VLOOKUP(B15,Ordering!$A$1:$J$83,6,FALSE)</f>
        <v>1</v>
      </c>
      <c r="J15" s="23">
        <f>VLOOKUP(B15,Ordering!$A$1:$J$83,10,FALSE)</f>
        <v>20</v>
      </c>
      <c r="K15" s="152">
        <f t="shared" si="8"/>
        <v>4.3999999999999997E-2</v>
      </c>
      <c r="L15" s="92">
        <f t="shared" si="6"/>
        <v>0.87999999999999989</v>
      </c>
      <c r="N15" s="145">
        <v>300</v>
      </c>
      <c r="R15" s="147" t="s">
        <v>23</v>
      </c>
      <c r="S15" s="150">
        <f>S13+S14</f>
        <v>11</v>
      </c>
    </row>
    <row r="16" spans="1:24" ht="15" customHeight="1" thickTop="1" thickBot="1">
      <c r="A16" s="140" t="s">
        <v>279</v>
      </c>
      <c r="B16" s="146" t="s">
        <v>233</v>
      </c>
      <c r="C16" s="141" t="s">
        <v>17</v>
      </c>
      <c r="D16" s="142">
        <f t="shared" si="0"/>
        <v>0.13333333333333333</v>
      </c>
      <c r="E16" s="143">
        <f t="shared" si="1"/>
        <v>11</v>
      </c>
      <c r="F16" s="144">
        <v>1</v>
      </c>
      <c r="G16" s="143">
        <f t="shared" si="2"/>
        <v>1.4666666666666666</v>
      </c>
      <c r="H16" s="143">
        <f t="shared" si="3"/>
        <v>1.4666666666666666</v>
      </c>
      <c r="I16" s="23">
        <f>VLOOKUP(B16,Ordering!$A$1:$J$83,6,FALSE)</f>
        <v>1</v>
      </c>
      <c r="J16" s="23">
        <f>VLOOKUP(B16,Ordering!$A$1:$J$83,10,FALSE)</f>
        <v>93</v>
      </c>
      <c r="K16" s="152">
        <f t="shared" si="8"/>
        <v>1.4666666666666665E-3</v>
      </c>
      <c r="L16" s="92">
        <f t="shared" si="6"/>
        <v>0.13639999999999999</v>
      </c>
      <c r="N16" s="145">
        <v>10</v>
      </c>
      <c r="R16" s="89" t="s">
        <v>14</v>
      </c>
      <c r="S16" s="90">
        <f>SUM(L5:L16)</f>
        <v>2.8028513333333334</v>
      </c>
    </row>
    <row r="17" ht="15" customHeight="1" thickTop="1"/>
    <row r="18" ht="15" customHeight="1"/>
    <row r="19" ht="14.25" customHeight="1"/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511811023622047"/>
  <pageSetup paperSize="9" scale="42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992F7-7743-4A1E-BC2C-6BD350726536}">
  <sheetPr codeName="Sheet40">
    <tabColor theme="7" tint="-0.249977111117893"/>
    <pageSetUpPr fitToPage="1"/>
  </sheetPr>
  <dimension ref="A1:X16"/>
  <sheetViews>
    <sheetView topLeftCell="C1" zoomScale="55" zoomScaleNormal="55" zoomScaleSheetLayoutView="100" workbookViewId="0">
      <selection activeCell="S14" sqref="S14"/>
    </sheetView>
  </sheetViews>
  <sheetFormatPr defaultRowHeight="14.35"/>
  <cols>
    <col min="1" max="1" width="23.05859375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2" max="12" width="20.9375" bestFit="1" customWidth="1"/>
    <col min="18" max="18" width="19.05859375" customWidth="1"/>
    <col min="19" max="19" width="15.937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41</v>
      </c>
      <c r="G1" s="4"/>
      <c r="H1" s="38" t="s">
        <v>2</v>
      </c>
      <c r="I1" s="13">
        <f>F1/B1</f>
        <v>41</v>
      </c>
      <c r="J1" s="4"/>
      <c r="K1" s="38"/>
      <c r="U1" s="123" t="s">
        <v>206</v>
      </c>
      <c r="V1" s="121">
        <v>36</v>
      </c>
    </row>
    <row r="2" spans="1:24" ht="14.25" customHeight="1">
      <c r="A2" s="42"/>
      <c r="B2" s="161"/>
      <c r="C2" s="161"/>
      <c r="D2" s="161"/>
      <c r="E2" s="161"/>
      <c r="F2" s="161"/>
      <c r="G2" s="161"/>
      <c r="H2" s="161"/>
      <c r="I2" s="41"/>
      <c r="J2" s="43"/>
      <c r="K2" s="42"/>
    </row>
    <row r="3" spans="1:24" ht="14.25" customHeight="1">
      <c r="A3" s="46"/>
      <c r="B3" s="162" t="s">
        <v>188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4" ht="39.7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4" ht="15" customHeight="1">
      <c r="A5" s="14"/>
      <c r="B5" s="15" t="s">
        <v>190</v>
      </c>
      <c r="C5" s="14" t="s">
        <v>17</v>
      </c>
      <c r="D5" s="20">
        <v>6.5</v>
      </c>
      <c r="E5" s="17">
        <f t="shared" ref="E5:E7" si="0">$I$1</f>
        <v>41</v>
      </c>
      <c r="F5" s="18">
        <v>1</v>
      </c>
      <c r="G5" s="17">
        <f t="shared" ref="G5:G7" si="1">E5*D5</f>
        <v>266.5</v>
      </c>
      <c r="H5" s="80">
        <f t="shared" ref="H5:H7" si="2">G5*F5</f>
        <v>266.5</v>
      </c>
      <c r="I5" s="14">
        <f>VLOOKUP(B5,Ordering!$A$1:$J$83,6,FALSE)</f>
        <v>1</v>
      </c>
      <c r="J5" s="92">
        <f>VLOOKUP(B5,Ordering!$A$1:$J$83,10,FALSE)</f>
        <v>40</v>
      </c>
      <c r="K5" s="23">
        <f t="shared" ref="K5:K7" si="3">((H5/(I5))/1000)</f>
        <v>0.26650000000000001</v>
      </c>
      <c r="L5" s="92">
        <f t="shared" ref="L5:L7" si="4">J5*K5</f>
        <v>10.66</v>
      </c>
    </row>
    <row r="6" spans="1:24" ht="15" customHeight="1">
      <c r="A6" s="14"/>
      <c r="B6" s="15" t="s">
        <v>200</v>
      </c>
      <c r="C6" s="14" t="s">
        <v>17</v>
      </c>
      <c r="D6" s="20">
        <v>12.4</v>
      </c>
      <c r="E6" s="17">
        <f t="shared" si="0"/>
        <v>41</v>
      </c>
      <c r="F6" s="18">
        <v>1</v>
      </c>
      <c r="G6" s="17">
        <f t="shared" si="1"/>
        <v>508.40000000000003</v>
      </c>
      <c r="H6" s="111">
        <f t="shared" si="2"/>
        <v>508.40000000000003</v>
      </c>
      <c r="I6" s="106">
        <f>VLOOKUP(B6,Ordering!$A$1:$J$83,6,FALSE)</f>
        <v>1</v>
      </c>
      <c r="J6" s="106">
        <f>VLOOKUP(B6,Ordering!$A$1:$J$83,10,FALSE)</f>
        <v>51</v>
      </c>
      <c r="K6" s="96">
        <f t="shared" si="3"/>
        <v>0.50840000000000007</v>
      </c>
      <c r="L6" s="95">
        <f t="shared" si="4"/>
        <v>25.928400000000003</v>
      </c>
    </row>
    <row r="7" spans="1:24" ht="15" customHeight="1">
      <c r="A7" s="14"/>
      <c r="B7" s="15" t="s">
        <v>241</v>
      </c>
      <c r="C7" s="14" t="s">
        <v>17</v>
      </c>
      <c r="D7" s="20">
        <v>5</v>
      </c>
      <c r="E7" s="17">
        <f t="shared" si="0"/>
        <v>41</v>
      </c>
      <c r="F7" s="18">
        <v>1</v>
      </c>
      <c r="G7" s="17">
        <f t="shared" si="1"/>
        <v>205</v>
      </c>
      <c r="H7" s="111">
        <f t="shared" si="2"/>
        <v>205</v>
      </c>
      <c r="I7" s="106">
        <f>VLOOKUP(B7,Ordering!$A$1:$J$83,6,FALSE)</f>
        <v>1</v>
      </c>
      <c r="J7" s="106">
        <f>VLOOKUP(B7,Ordering!$A$1:$J$83,10,FALSE)</f>
        <v>41</v>
      </c>
      <c r="K7" s="96">
        <f t="shared" si="3"/>
        <v>0.20499999999999999</v>
      </c>
      <c r="L7" s="95">
        <f t="shared" si="4"/>
        <v>8.4049999999999994</v>
      </c>
    </row>
    <row r="8" spans="1:24" ht="15" customHeight="1">
      <c r="U8" s="86" t="s">
        <v>193</v>
      </c>
      <c r="V8" s="87">
        <v>1</v>
      </c>
      <c r="W8" s="86" t="s">
        <v>14</v>
      </c>
      <c r="X8" s="88">
        <f>SUM(L5:L7)/S15</f>
        <v>1.0974000000000002</v>
      </c>
    </row>
    <row r="9" spans="1:24" ht="15" customHeight="1"/>
    <row r="10" spans="1:24" ht="15" customHeight="1">
      <c r="R10" s="163" t="s">
        <v>188</v>
      </c>
      <c r="S10" s="164"/>
    </row>
    <row r="11" spans="1:24" ht="15" customHeight="1">
      <c r="R11" s="163" t="s">
        <v>189</v>
      </c>
      <c r="S11" s="164"/>
    </row>
    <row r="12" spans="1:24" ht="15" customHeight="1">
      <c r="R12" s="5" t="s">
        <v>19</v>
      </c>
      <c r="S12" s="5" t="s">
        <v>20</v>
      </c>
    </row>
    <row r="13" spans="1:24" ht="15" customHeight="1">
      <c r="R13" s="5" t="s">
        <v>21</v>
      </c>
      <c r="S13" s="47">
        <f>V1</f>
        <v>36</v>
      </c>
    </row>
    <row r="14" spans="1:24" ht="14.75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41</v>
      </c>
    </row>
    <row r="16" spans="1:24">
      <c r="R16" s="89" t="s">
        <v>14</v>
      </c>
      <c r="S16" s="90">
        <f>SUM(L5:L7)</f>
        <v>44.993400000000008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38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4">
    <tabColor theme="6" tint="-0.249977111117893"/>
    <pageSetUpPr fitToPage="1"/>
  </sheetPr>
  <dimension ref="A1:Y16"/>
  <sheetViews>
    <sheetView topLeftCell="C1" zoomScale="55" zoomScaleNormal="55" zoomScaleSheetLayoutView="100" workbookViewId="0">
      <selection activeCell="S14" sqref="S14"/>
    </sheetView>
  </sheetViews>
  <sheetFormatPr defaultRowHeight="14.3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8.5859375" customWidth="1"/>
    <col min="19" max="19" width="10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453</v>
      </c>
      <c r="G1" s="4"/>
      <c r="H1" s="38" t="s">
        <v>2</v>
      </c>
      <c r="I1" s="13">
        <f>F1/B1</f>
        <v>453</v>
      </c>
      <c r="J1" s="4"/>
      <c r="K1" s="38"/>
      <c r="U1" s="123" t="s">
        <v>206</v>
      </c>
      <c r="V1" s="121">
        <v>448</v>
      </c>
    </row>
    <row r="2" spans="1:25" ht="14.25" customHeight="1">
      <c r="A2" s="42"/>
      <c r="B2" s="161"/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93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27</v>
      </c>
      <c r="B5" s="15" t="s">
        <v>242</v>
      </c>
      <c r="C5" s="26" t="s">
        <v>17</v>
      </c>
      <c r="D5" s="20">
        <f>N5/96</f>
        <v>12.5</v>
      </c>
      <c r="E5" s="17">
        <f>$I$1</f>
        <v>453</v>
      </c>
      <c r="F5" s="18">
        <v>1</v>
      </c>
      <c r="G5" s="17">
        <f>E5*D5</f>
        <v>5662.5</v>
      </c>
      <c r="H5" s="80">
        <f>G5*F5</f>
        <v>5662.5</v>
      </c>
      <c r="I5" s="15">
        <f>VLOOKUP(B5,Ordering!$A$1:$J$83,6,FALSE)</f>
        <v>1</v>
      </c>
      <c r="J5" s="15">
        <f>VLOOKUP(B5,Ordering!$A$1:$J$83,10,FALSE)</f>
        <v>9.1666666666666679</v>
      </c>
      <c r="K5" s="23">
        <f t="shared" ref="K5:K9" si="0">((H5/(I5))/1000)</f>
        <v>5.6624999999999996</v>
      </c>
      <c r="L5" s="92">
        <f t="shared" ref="L5:L9" si="1">J5*K5</f>
        <v>51.90625</v>
      </c>
      <c r="N5" s="1">
        <v>1200</v>
      </c>
    </row>
    <row r="6" spans="1:25" ht="15" customHeight="1" thickTop="1" thickBot="1">
      <c r="A6" s="15" t="s">
        <v>30</v>
      </c>
      <c r="B6" s="15" t="s">
        <v>104</v>
      </c>
      <c r="C6" s="26" t="s">
        <v>17</v>
      </c>
      <c r="D6" s="20">
        <f>N6/96</f>
        <v>2.0833333333333335</v>
      </c>
      <c r="E6" s="17">
        <f>$I$1</f>
        <v>453</v>
      </c>
      <c r="F6" s="18">
        <v>1</v>
      </c>
      <c r="G6" s="17">
        <f>E6*D6</f>
        <v>943.75000000000011</v>
      </c>
      <c r="H6" s="80">
        <f>G6*F6</f>
        <v>943.75000000000011</v>
      </c>
      <c r="I6" s="15">
        <f>VLOOKUP(B6,Ordering!$A$1:$J$83,6,FALSE)</f>
        <v>1</v>
      </c>
      <c r="J6" s="15">
        <f>VLOOKUP(B6,Ordering!$A$1:$J$83,10,FALSE)</f>
        <v>30</v>
      </c>
      <c r="K6" s="23">
        <f t="shared" si="0"/>
        <v>0.94375000000000009</v>
      </c>
      <c r="L6" s="92">
        <f t="shared" si="1"/>
        <v>28.312500000000004</v>
      </c>
      <c r="N6" s="1">
        <v>200</v>
      </c>
    </row>
    <row r="7" spans="1:25" ht="15" customHeight="1" thickTop="1" thickBot="1">
      <c r="A7" s="15" t="s">
        <v>30</v>
      </c>
      <c r="B7" s="15" t="s">
        <v>105</v>
      </c>
      <c r="C7" s="26" t="s">
        <v>17</v>
      </c>
      <c r="D7" s="20">
        <f>N7/96</f>
        <v>15.625</v>
      </c>
      <c r="E7" s="17">
        <f>$I$1</f>
        <v>453</v>
      </c>
      <c r="F7" s="18">
        <v>1</v>
      </c>
      <c r="G7" s="17">
        <f>E7*D7</f>
        <v>7078.125</v>
      </c>
      <c r="H7" s="80">
        <f>G7*F7</f>
        <v>7078.125</v>
      </c>
      <c r="I7" s="15">
        <f>VLOOKUP(B7,Ordering!$A$1:$J$83,6,FALSE)</f>
        <v>1</v>
      </c>
      <c r="J7" s="15">
        <f>VLOOKUP(B7,Ordering!$A$1:$J$83,10,FALSE)</f>
        <v>13.545454545454545</v>
      </c>
      <c r="K7" s="23">
        <f t="shared" si="0"/>
        <v>7.078125</v>
      </c>
      <c r="L7" s="92">
        <f t="shared" si="1"/>
        <v>95.876420454545453</v>
      </c>
      <c r="N7" s="1">
        <v>1500</v>
      </c>
    </row>
    <row r="8" spans="1:25" ht="15" customHeight="1" thickTop="1" thickBot="1">
      <c r="A8" s="15" t="s">
        <v>30</v>
      </c>
      <c r="B8" s="15" t="s">
        <v>228</v>
      </c>
      <c r="C8" s="26" t="s">
        <v>17</v>
      </c>
      <c r="D8" s="20">
        <f>N8/96</f>
        <v>4.166666666666667</v>
      </c>
      <c r="E8" s="17">
        <f>$I$1</f>
        <v>453</v>
      </c>
      <c r="F8" s="18">
        <v>1</v>
      </c>
      <c r="G8" s="17">
        <f>E8*D8</f>
        <v>1887.5000000000002</v>
      </c>
      <c r="H8" s="80">
        <f>G8*F8</f>
        <v>1887.5000000000002</v>
      </c>
      <c r="I8" s="15">
        <f>VLOOKUP(B8,Ordering!$A$1:$J$83,6,FALSE)</f>
        <v>1</v>
      </c>
      <c r="J8" s="15">
        <f>VLOOKUP(B8,Ordering!$A$1:$J$83,10,FALSE)</f>
        <v>14.2</v>
      </c>
      <c r="K8" s="23">
        <f t="shared" si="0"/>
        <v>1.8875000000000002</v>
      </c>
      <c r="L8" s="92">
        <f t="shared" si="1"/>
        <v>26.802500000000002</v>
      </c>
      <c r="N8" s="1">
        <v>400</v>
      </c>
      <c r="V8" s="86" t="s">
        <v>193</v>
      </c>
      <c r="W8" s="87">
        <v>1</v>
      </c>
      <c r="X8" s="86" t="s">
        <v>14</v>
      </c>
      <c r="Y8" s="88">
        <f>SUM(L5:L9)/S15</f>
        <v>0.61065814393939388</v>
      </c>
    </row>
    <row r="9" spans="1:25" ht="15" customHeight="1" thickTop="1" thickBot="1">
      <c r="A9" s="15" t="s">
        <v>48</v>
      </c>
      <c r="B9" s="15" t="s">
        <v>256</v>
      </c>
      <c r="C9" s="26" t="s">
        <v>17</v>
      </c>
      <c r="D9" s="20">
        <f>N9/96</f>
        <v>5.208333333333333</v>
      </c>
      <c r="E9" s="17">
        <f>$I$1</f>
        <v>453</v>
      </c>
      <c r="F9" s="18">
        <v>1</v>
      </c>
      <c r="G9" s="17">
        <f>E9*D9</f>
        <v>2359.375</v>
      </c>
      <c r="H9" s="80">
        <f>G9*F9</f>
        <v>2359.375</v>
      </c>
      <c r="I9" s="15">
        <f>VLOOKUP(B9,Ordering!$A$1:$J$83,6,FALSE)</f>
        <v>1</v>
      </c>
      <c r="J9" s="15">
        <f>VLOOKUP(B9,Ordering!$A$1:$J$83,10,FALSE)</f>
        <v>31.25</v>
      </c>
      <c r="K9" s="23">
        <f t="shared" si="0"/>
        <v>2.359375</v>
      </c>
      <c r="L9" s="92">
        <f t="shared" si="1"/>
        <v>73.73046875</v>
      </c>
      <c r="N9" s="1">
        <v>500</v>
      </c>
    </row>
    <row r="10" spans="1:25" ht="14.75" customHeight="1" thickTop="1">
      <c r="R10" s="163" t="s">
        <v>93</v>
      </c>
      <c r="S10" s="164"/>
    </row>
    <row r="11" spans="1:25">
      <c r="R11" s="163" t="s">
        <v>18</v>
      </c>
      <c r="S11" s="164"/>
    </row>
    <row r="12" spans="1:25" ht="14.75" customHeight="1">
      <c r="R12" s="5" t="s">
        <v>19</v>
      </c>
      <c r="S12" s="5" t="s">
        <v>20</v>
      </c>
    </row>
    <row r="13" spans="1:25" ht="14.75" customHeight="1">
      <c r="R13" s="5" t="s">
        <v>21</v>
      </c>
      <c r="S13" s="47">
        <f>V1</f>
        <v>448</v>
      </c>
    </row>
    <row r="14" spans="1:25" ht="14.75" customHeight="1">
      <c r="R14" s="5" t="s">
        <v>22</v>
      </c>
      <c r="S14" s="14">
        <v>5</v>
      </c>
    </row>
    <row r="15" spans="1:25">
      <c r="R15" s="5" t="s">
        <v>23</v>
      </c>
      <c r="S15" s="48">
        <f>S13+S14</f>
        <v>453</v>
      </c>
    </row>
    <row r="16" spans="1:25">
      <c r="R16" s="89" t="s">
        <v>14</v>
      </c>
      <c r="S16" s="90">
        <f>SUM(L5:L9)</f>
        <v>276.62813920454545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6625E-A7E0-4279-8E54-3BCD48F7F091}">
  <sheetPr codeName="Sheet4">
    <tabColor theme="6" tint="-0.249977111117893"/>
    <pageSetUpPr fitToPage="1"/>
  </sheetPr>
  <dimension ref="A1:X20"/>
  <sheetViews>
    <sheetView topLeftCell="H1" zoomScale="85" zoomScaleNormal="85" workbookViewId="0">
      <selection activeCell="S14" sqref="S14"/>
    </sheetView>
  </sheetViews>
  <sheetFormatPr defaultColWidth="7.9375" defaultRowHeight="14.35"/>
  <cols>
    <col min="1" max="1" width="38.9375" style="132" customWidth="1"/>
    <col min="2" max="2" width="33.3515625" style="132" customWidth="1"/>
    <col min="3" max="3" width="16" style="132" customWidth="1"/>
    <col min="4" max="4" width="13.234375" style="132" customWidth="1"/>
    <col min="5" max="5" width="13.17578125" style="132" customWidth="1"/>
    <col min="6" max="6" width="10.46875" style="132" customWidth="1"/>
    <col min="7" max="7" width="7.9375" style="132"/>
    <col min="8" max="8" width="27.3515625" style="132" customWidth="1"/>
    <col min="9" max="9" width="11.46875" style="132" customWidth="1"/>
    <col min="10" max="10" width="13.17578125" style="132" customWidth="1"/>
    <col min="11" max="11" width="19.8203125" style="132" customWidth="1"/>
    <col min="12" max="17" width="7.9375" style="132"/>
    <col min="18" max="18" width="13.8203125" style="132" customWidth="1"/>
    <col min="19" max="19" width="13.234375" style="132" customWidth="1"/>
    <col min="20" max="16384" width="7.9375" style="132"/>
  </cols>
  <sheetData>
    <row r="1" spans="1:24">
      <c r="A1" s="128" t="s">
        <v>0</v>
      </c>
      <c r="B1" s="129">
        <v>1</v>
      </c>
      <c r="C1" s="130"/>
      <c r="D1" s="130"/>
      <c r="E1" s="128" t="s">
        <v>1</v>
      </c>
      <c r="F1" s="131">
        <f>S15</f>
        <v>80</v>
      </c>
      <c r="G1" s="130"/>
      <c r="H1" s="128" t="s">
        <v>2</v>
      </c>
      <c r="I1" s="131">
        <f>F1/B1</f>
        <v>80</v>
      </c>
      <c r="J1" s="130"/>
      <c r="K1" s="128"/>
      <c r="U1" s="123" t="s">
        <v>206</v>
      </c>
      <c r="V1" s="121">
        <v>78</v>
      </c>
      <c r="W1"/>
      <c r="X1"/>
    </row>
    <row r="2" spans="1:24" ht="14.25" customHeight="1">
      <c r="A2" s="133"/>
      <c r="B2" s="166" t="s">
        <v>267</v>
      </c>
      <c r="C2" s="166"/>
      <c r="D2" s="166"/>
      <c r="E2" s="166"/>
      <c r="F2" s="166"/>
      <c r="G2" s="166"/>
      <c r="H2" s="166"/>
      <c r="I2" s="134"/>
      <c r="J2" s="135"/>
      <c r="K2" s="133"/>
      <c r="U2"/>
      <c r="V2"/>
      <c r="W2"/>
      <c r="X2"/>
    </row>
    <row r="3" spans="1:24" ht="14.25" customHeight="1">
      <c r="A3" s="136"/>
      <c r="B3" s="167" t="s">
        <v>268</v>
      </c>
      <c r="C3" s="167"/>
      <c r="D3" s="167"/>
      <c r="E3" s="167"/>
      <c r="F3" s="167"/>
      <c r="G3" s="167"/>
      <c r="H3" s="167"/>
      <c r="I3" s="137"/>
      <c r="J3" s="138"/>
      <c r="K3" s="136"/>
      <c r="U3"/>
      <c r="V3"/>
      <c r="W3"/>
      <c r="X3"/>
    </row>
    <row r="4" spans="1:24" ht="39.75" customHeight="1" thickBot="1">
      <c r="A4" s="139" t="s">
        <v>4</v>
      </c>
      <c r="B4" s="139" t="s">
        <v>5</v>
      </c>
      <c r="C4" s="139" t="s">
        <v>6</v>
      </c>
      <c r="D4" s="139" t="s">
        <v>7</v>
      </c>
      <c r="E4" s="139" t="s">
        <v>8</v>
      </c>
      <c r="F4" s="139" t="s">
        <v>9</v>
      </c>
      <c r="G4" s="139" t="s">
        <v>10</v>
      </c>
      <c r="H4" s="13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  <c r="U4"/>
      <c r="V4"/>
      <c r="W4"/>
      <c r="X4"/>
    </row>
    <row r="5" spans="1:24" ht="15" customHeight="1" thickTop="1" thickBot="1">
      <c r="A5" s="140" t="s">
        <v>269</v>
      </c>
      <c r="B5" s="140" t="s">
        <v>270</v>
      </c>
      <c r="C5" s="141" t="s">
        <v>15</v>
      </c>
      <c r="D5" s="142">
        <f t="shared" ref="D5:D20" si="0">N5/54</f>
        <v>0.14814814814814814</v>
      </c>
      <c r="E5" s="143">
        <f t="shared" ref="E5:E20" si="1">$I$1</f>
        <v>80</v>
      </c>
      <c r="F5" s="144">
        <v>1</v>
      </c>
      <c r="G5" s="143">
        <f t="shared" ref="G5:G20" si="2">E5*D5</f>
        <v>11.851851851851851</v>
      </c>
      <c r="H5" s="143">
        <f t="shared" ref="H5:H20" si="3">G5*F5</f>
        <v>11.851851851851851</v>
      </c>
      <c r="I5" s="23">
        <f>VLOOKUP(B5,Ordering!$A$1:$J$83,6,FALSE)</f>
        <v>1</v>
      </c>
      <c r="J5" s="23">
        <f>VLOOKUP(B5,Ordering!$A$1:$J$83,10,FALSE)</f>
        <v>0.43333333333333335</v>
      </c>
      <c r="K5" s="23">
        <f>H5/I5</f>
        <v>11.851851851851851</v>
      </c>
      <c r="L5" s="92">
        <f t="shared" ref="L5" si="4">J5*K5</f>
        <v>5.1358024691358022</v>
      </c>
      <c r="N5" s="145">
        <v>8</v>
      </c>
      <c r="U5"/>
      <c r="V5"/>
      <c r="W5"/>
      <c r="X5"/>
    </row>
    <row r="6" spans="1:24" ht="15" customHeight="1" thickTop="1" thickBot="1">
      <c r="A6" s="140" t="s">
        <v>271</v>
      </c>
      <c r="B6" s="140" t="s">
        <v>272</v>
      </c>
      <c r="C6" s="141" t="s">
        <v>17</v>
      </c>
      <c r="D6" s="142">
        <f t="shared" si="0"/>
        <v>9.2592592592592595</v>
      </c>
      <c r="E6" s="143">
        <f t="shared" si="1"/>
        <v>80</v>
      </c>
      <c r="F6" s="144">
        <v>1</v>
      </c>
      <c r="G6" s="143">
        <f t="shared" si="2"/>
        <v>740.74074074074076</v>
      </c>
      <c r="H6" s="143">
        <f t="shared" si="3"/>
        <v>740.74074074074076</v>
      </c>
      <c r="I6" s="23">
        <f>VLOOKUP(B6,Ordering!$A$1:$J$83,6,FALSE)</f>
        <v>1</v>
      </c>
      <c r="J6" s="23">
        <f>VLOOKUP(B6,Ordering!$A$1:$J$83,10,FALSE)</f>
        <v>6.5</v>
      </c>
      <c r="K6" s="23">
        <f t="shared" ref="K6:K20" si="5">(H6/I6)/1000</f>
        <v>0.74074074074074081</v>
      </c>
      <c r="L6" s="92">
        <f t="shared" ref="L6:L20" si="6">J6*K6</f>
        <v>4.8148148148148149</v>
      </c>
      <c r="N6" s="145">
        <v>500</v>
      </c>
      <c r="U6"/>
      <c r="V6"/>
      <c r="W6"/>
      <c r="X6"/>
    </row>
    <row r="7" spans="1:24" ht="15" customHeight="1" thickTop="1" thickBot="1">
      <c r="A7" s="140" t="s">
        <v>273</v>
      </c>
      <c r="B7" s="140" t="s">
        <v>274</v>
      </c>
      <c r="C7" s="141" t="s">
        <v>17</v>
      </c>
      <c r="D7" s="142">
        <f t="shared" si="0"/>
        <v>6.666666666666667</v>
      </c>
      <c r="E7" s="143">
        <f t="shared" si="1"/>
        <v>80</v>
      </c>
      <c r="F7" s="144">
        <v>1</v>
      </c>
      <c r="G7" s="143">
        <f t="shared" si="2"/>
        <v>533.33333333333337</v>
      </c>
      <c r="H7" s="143">
        <f t="shared" si="3"/>
        <v>533.33333333333337</v>
      </c>
      <c r="I7" s="23">
        <f>VLOOKUP(B7,Ordering!$A$1:$J$83,6,FALSE)</f>
        <v>1</v>
      </c>
      <c r="J7" s="23">
        <f>VLOOKUP(B7,Ordering!$A$1:$J$83,10,FALSE)</f>
        <v>5.882352941176471</v>
      </c>
      <c r="K7" s="23">
        <f t="shared" si="5"/>
        <v>0.53333333333333333</v>
      </c>
      <c r="L7" s="92">
        <f t="shared" si="6"/>
        <v>3.1372549019607847</v>
      </c>
      <c r="N7" s="145">
        <v>360</v>
      </c>
      <c r="U7"/>
      <c r="V7"/>
      <c r="W7"/>
      <c r="X7"/>
    </row>
    <row r="8" spans="1:24" ht="15" customHeight="1" thickTop="1" thickBot="1">
      <c r="A8" s="140" t="s">
        <v>275</v>
      </c>
      <c r="B8" s="140" t="s">
        <v>276</v>
      </c>
      <c r="C8" s="141" t="s">
        <v>17</v>
      </c>
      <c r="D8" s="142">
        <f t="shared" si="0"/>
        <v>5.9259259259259256</v>
      </c>
      <c r="E8" s="143">
        <f t="shared" si="1"/>
        <v>80</v>
      </c>
      <c r="F8" s="144">
        <v>1</v>
      </c>
      <c r="G8" s="143">
        <f t="shared" si="2"/>
        <v>474.07407407407402</v>
      </c>
      <c r="H8" s="143">
        <f t="shared" si="3"/>
        <v>474.07407407407402</v>
      </c>
      <c r="I8" s="23">
        <f>VLOOKUP(B8,Ordering!$A$1:$J$83,6,FALSE)</f>
        <v>1</v>
      </c>
      <c r="J8" s="23">
        <f>VLOOKUP(B8,Ordering!$A$1:$J$83,10,FALSE)</f>
        <v>1.7</v>
      </c>
      <c r="K8" s="23">
        <f t="shared" si="5"/>
        <v>0.47407407407407404</v>
      </c>
      <c r="L8" s="92">
        <f t="shared" si="6"/>
        <v>0.80592592592592582</v>
      </c>
      <c r="N8" s="145">
        <v>320</v>
      </c>
      <c r="U8" s="86" t="s">
        <v>193</v>
      </c>
      <c r="V8" s="87">
        <v>1</v>
      </c>
      <c r="W8" s="86" t="s">
        <v>14</v>
      </c>
      <c r="X8" s="88">
        <f>S16/S15</f>
        <v>1.2399082580237484</v>
      </c>
    </row>
    <row r="9" spans="1:24" ht="15" customHeight="1" thickTop="1" thickBot="1">
      <c r="A9" s="140" t="s">
        <v>273</v>
      </c>
      <c r="B9" s="140" t="s">
        <v>295</v>
      </c>
      <c r="C9" s="141" t="s">
        <v>17</v>
      </c>
      <c r="D9" s="142">
        <f t="shared" si="0"/>
        <v>0.18518518518518517</v>
      </c>
      <c r="E9" s="143">
        <f t="shared" si="1"/>
        <v>80</v>
      </c>
      <c r="F9" s="144">
        <v>1</v>
      </c>
      <c r="G9" s="143">
        <f t="shared" si="2"/>
        <v>14.814814814814813</v>
      </c>
      <c r="H9" s="143">
        <f t="shared" si="3"/>
        <v>14.814814814814813</v>
      </c>
      <c r="I9" s="23">
        <f>VLOOKUP(B9,Ordering!$A$1:$J$83,6,FALSE)</f>
        <v>1</v>
      </c>
      <c r="J9" s="23">
        <f>VLOOKUP(B9,Ordering!$A$1:$J$83,10,FALSE)</f>
        <v>5</v>
      </c>
      <c r="K9" s="152">
        <f t="shared" si="5"/>
        <v>1.4814814814814814E-2</v>
      </c>
      <c r="L9" s="92">
        <f t="shared" si="6"/>
        <v>7.407407407407407E-2</v>
      </c>
      <c r="N9" s="145">
        <v>10</v>
      </c>
    </row>
    <row r="10" spans="1:24" ht="15" customHeight="1" thickTop="1" thickBot="1">
      <c r="A10" s="140" t="s">
        <v>273</v>
      </c>
      <c r="B10" s="146" t="s">
        <v>235</v>
      </c>
      <c r="C10" s="140" t="s">
        <v>17</v>
      </c>
      <c r="D10" s="142">
        <f t="shared" si="0"/>
        <v>0.55555555555555558</v>
      </c>
      <c r="E10" s="143">
        <f t="shared" si="1"/>
        <v>80</v>
      </c>
      <c r="F10" s="144">
        <v>1</v>
      </c>
      <c r="G10" s="143">
        <f t="shared" si="2"/>
        <v>44.444444444444443</v>
      </c>
      <c r="H10" s="143">
        <f t="shared" si="3"/>
        <v>44.444444444444443</v>
      </c>
      <c r="I10" s="23">
        <f>VLOOKUP(B10,Ordering!$A$1:$J$83,6,FALSE)</f>
        <v>1</v>
      </c>
      <c r="J10" s="23">
        <f>VLOOKUP(B10,Ordering!$A$1:$J$83,10,FALSE)</f>
        <v>7.9</v>
      </c>
      <c r="K10" s="152">
        <f t="shared" si="5"/>
        <v>4.4444444444444446E-2</v>
      </c>
      <c r="L10" s="92">
        <f t="shared" si="6"/>
        <v>0.35111111111111115</v>
      </c>
      <c r="N10" s="145">
        <v>30</v>
      </c>
      <c r="R10" s="168" t="s">
        <v>277</v>
      </c>
      <c r="S10" s="168"/>
    </row>
    <row r="11" spans="1:24" ht="15" customHeight="1" thickTop="1" thickBot="1">
      <c r="A11" s="140" t="s">
        <v>273</v>
      </c>
      <c r="B11" s="140" t="s">
        <v>278</v>
      </c>
      <c r="C11" s="141" t="s">
        <v>17</v>
      </c>
      <c r="D11" s="142">
        <f t="shared" si="0"/>
        <v>0.1111111111111111</v>
      </c>
      <c r="E11" s="143">
        <f t="shared" si="1"/>
        <v>80</v>
      </c>
      <c r="F11" s="144">
        <v>1</v>
      </c>
      <c r="G11" s="143">
        <f t="shared" si="2"/>
        <v>8.8888888888888893</v>
      </c>
      <c r="H11" s="143">
        <f t="shared" si="3"/>
        <v>8.8888888888888893</v>
      </c>
      <c r="I11" s="23">
        <f>VLOOKUP(B11,Ordering!$A$1:$J$83,6,FALSE)</f>
        <v>1</v>
      </c>
      <c r="J11" s="23">
        <f>VLOOKUP(B11,Ordering!$A$1:$J$83,10,FALSE)</f>
        <v>0.74</v>
      </c>
      <c r="K11" s="152">
        <f t="shared" si="5"/>
        <v>8.8888888888888889E-3</v>
      </c>
      <c r="L11" s="92">
        <f t="shared" si="6"/>
        <v>6.5777777777777779E-3</v>
      </c>
      <c r="N11" s="145">
        <v>6</v>
      </c>
      <c r="R11" s="168" t="s">
        <v>18</v>
      </c>
      <c r="S11" s="168"/>
    </row>
    <row r="12" spans="1:24" ht="15" customHeight="1" thickTop="1" thickBot="1">
      <c r="A12" s="140" t="s">
        <v>279</v>
      </c>
      <c r="B12" s="140" t="s">
        <v>280</v>
      </c>
      <c r="C12" s="141" t="s">
        <v>17</v>
      </c>
      <c r="D12" s="142">
        <f t="shared" si="0"/>
        <v>0.18518518518518517</v>
      </c>
      <c r="E12" s="143">
        <f t="shared" si="1"/>
        <v>80</v>
      </c>
      <c r="F12" s="144">
        <v>1</v>
      </c>
      <c r="G12" s="143">
        <f t="shared" si="2"/>
        <v>14.814814814814813</v>
      </c>
      <c r="H12" s="143">
        <f t="shared" si="3"/>
        <v>14.814814814814813</v>
      </c>
      <c r="I12" s="23">
        <f>VLOOKUP(B12,Ordering!$A$1:$J$83,6,FALSE)</f>
        <v>1</v>
      </c>
      <c r="J12" s="23">
        <f>VLOOKUP(B12,Ordering!$A$1:$J$83,10,FALSE)</f>
        <v>14</v>
      </c>
      <c r="K12" s="152">
        <f t="shared" si="5"/>
        <v>1.4814814814814814E-2</v>
      </c>
      <c r="L12" s="92">
        <f t="shared" si="6"/>
        <v>0.2074074074074074</v>
      </c>
      <c r="N12" s="145">
        <v>10</v>
      </c>
      <c r="R12" s="147" t="s">
        <v>19</v>
      </c>
      <c r="S12" s="147" t="s">
        <v>20</v>
      </c>
    </row>
    <row r="13" spans="1:24" ht="15" customHeight="1" thickTop="1" thickBot="1">
      <c r="A13" s="140" t="s">
        <v>273</v>
      </c>
      <c r="B13" s="146" t="s">
        <v>232</v>
      </c>
      <c r="C13" s="141" t="s">
        <v>17</v>
      </c>
      <c r="D13" s="142">
        <f t="shared" si="0"/>
        <v>1.1111111111111112</v>
      </c>
      <c r="E13" s="143">
        <f t="shared" si="1"/>
        <v>80</v>
      </c>
      <c r="F13" s="144">
        <v>1</v>
      </c>
      <c r="G13" s="143">
        <f t="shared" si="2"/>
        <v>88.888888888888886</v>
      </c>
      <c r="H13" s="143">
        <f t="shared" si="3"/>
        <v>88.888888888888886</v>
      </c>
      <c r="I13" s="23">
        <f>VLOOKUP(B13,Ordering!$A$1:$J$83,6,FALSE)</f>
        <v>1</v>
      </c>
      <c r="J13" s="23">
        <f>VLOOKUP(B13,Ordering!$A$1:$J$83,10,FALSE)</f>
        <v>24.305555555555557</v>
      </c>
      <c r="K13" s="152">
        <f t="shared" si="5"/>
        <v>8.8888888888888892E-2</v>
      </c>
      <c r="L13" s="92">
        <f t="shared" si="6"/>
        <v>2.1604938271604941</v>
      </c>
      <c r="N13" s="145">
        <v>60</v>
      </c>
      <c r="R13" s="147" t="s">
        <v>21</v>
      </c>
      <c r="S13" s="148">
        <f>V1</f>
        <v>78</v>
      </c>
    </row>
    <row r="14" spans="1:24" ht="15" customHeight="1" thickTop="1" thickBot="1">
      <c r="A14" s="140" t="s">
        <v>281</v>
      </c>
      <c r="B14" s="140" t="s">
        <v>282</v>
      </c>
      <c r="C14" s="141" t="s">
        <v>17</v>
      </c>
      <c r="D14" s="142">
        <f t="shared" si="0"/>
        <v>7.4074074074074074</v>
      </c>
      <c r="E14" s="143">
        <f t="shared" si="1"/>
        <v>80</v>
      </c>
      <c r="F14" s="144">
        <v>1</v>
      </c>
      <c r="G14" s="143">
        <f t="shared" si="2"/>
        <v>592.59259259259261</v>
      </c>
      <c r="H14" s="143">
        <f t="shared" si="3"/>
        <v>592.59259259259261</v>
      </c>
      <c r="I14" s="23">
        <f>VLOOKUP(B14,Ordering!$A$1:$J$83,6,FALSE)</f>
        <v>0.84</v>
      </c>
      <c r="J14" s="23">
        <f>VLOOKUP(B14,Ordering!$A$1:$J$83,10,FALSE)</f>
        <v>2.6</v>
      </c>
      <c r="K14" s="152">
        <f t="shared" si="5"/>
        <v>0.70546737213403887</v>
      </c>
      <c r="L14" s="92">
        <f t="shared" si="6"/>
        <v>1.8342151675485012</v>
      </c>
      <c r="N14" s="145">
        <v>400</v>
      </c>
      <c r="R14" s="147" t="s">
        <v>22</v>
      </c>
      <c r="S14" s="149">
        <v>2</v>
      </c>
    </row>
    <row r="15" spans="1:24" ht="15" customHeight="1" thickTop="1" thickBot="1">
      <c r="A15" s="140" t="s">
        <v>279</v>
      </c>
      <c r="B15" s="146" t="s">
        <v>294</v>
      </c>
      <c r="C15" s="141" t="s">
        <v>17</v>
      </c>
      <c r="D15" s="142">
        <f t="shared" si="0"/>
        <v>3.7037037037037037</v>
      </c>
      <c r="E15" s="143">
        <f t="shared" si="1"/>
        <v>80</v>
      </c>
      <c r="F15" s="144">
        <v>1</v>
      </c>
      <c r="G15" s="143">
        <f t="shared" si="2"/>
        <v>296.2962962962963</v>
      </c>
      <c r="H15" s="143">
        <f t="shared" si="3"/>
        <v>296.2962962962963</v>
      </c>
      <c r="I15" s="23">
        <f>VLOOKUP(B15,Ordering!$A$1:$J$83,6,FALSE)</f>
        <v>1</v>
      </c>
      <c r="J15" s="23">
        <f>VLOOKUP(B15,Ordering!$A$1:$J$83,10,FALSE)</f>
        <v>70</v>
      </c>
      <c r="K15" s="152">
        <f t="shared" si="5"/>
        <v>0.29629629629629628</v>
      </c>
      <c r="L15" s="92">
        <f t="shared" si="6"/>
        <v>20.74074074074074</v>
      </c>
      <c r="N15" s="145">
        <v>200</v>
      </c>
      <c r="R15" s="147" t="s">
        <v>23</v>
      </c>
      <c r="S15" s="150">
        <f>S13+S14</f>
        <v>80</v>
      </c>
    </row>
    <row r="16" spans="1:24" ht="15" customHeight="1" thickTop="1" thickBot="1">
      <c r="A16" s="140" t="s">
        <v>269</v>
      </c>
      <c r="B16" s="146" t="s">
        <v>225</v>
      </c>
      <c r="C16" s="141" t="s">
        <v>17</v>
      </c>
      <c r="D16" s="142">
        <f t="shared" si="0"/>
        <v>13.888888888888889</v>
      </c>
      <c r="E16" s="143">
        <f t="shared" si="1"/>
        <v>80</v>
      </c>
      <c r="F16" s="144">
        <v>1</v>
      </c>
      <c r="G16" s="143">
        <f t="shared" si="2"/>
        <v>1111.1111111111111</v>
      </c>
      <c r="H16" s="143">
        <f t="shared" si="3"/>
        <v>1111.1111111111111</v>
      </c>
      <c r="I16" s="23">
        <f>VLOOKUP(B16,Ordering!$A$1:$J$83,6,FALSE)</f>
        <v>1</v>
      </c>
      <c r="J16" s="23">
        <f>VLOOKUP(B16,Ordering!$A$1:$J$83,10,FALSE)</f>
        <v>34.848484848484851</v>
      </c>
      <c r="K16" s="152">
        <f t="shared" si="5"/>
        <v>1.1111111111111112</v>
      </c>
      <c r="L16" s="92">
        <f t="shared" si="6"/>
        <v>38.720538720538727</v>
      </c>
      <c r="N16" s="145">
        <v>750</v>
      </c>
      <c r="R16" s="89" t="s">
        <v>14</v>
      </c>
      <c r="S16" s="90">
        <f>SUM(L5:L20)</f>
        <v>99.192660641899877</v>
      </c>
    </row>
    <row r="17" spans="1:14" ht="15" customHeight="1" thickTop="1" thickBot="1">
      <c r="A17" s="140" t="s">
        <v>271</v>
      </c>
      <c r="B17" s="146" t="s">
        <v>248</v>
      </c>
      <c r="C17" s="141" t="s">
        <v>17</v>
      </c>
      <c r="D17" s="142">
        <f t="shared" si="0"/>
        <v>2.7777777777777777</v>
      </c>
      <c r="E17" s="143">
        <f t="shared" si="1"/>
        <v>80</v>
      </c>
      <c r="F17" s="144">
        <v>1</v>
      </c>
      <c r="G17" s="143">
        <f t="shared" si="2"/>
        <v>222.22222222222223</v>
      </c>
      <c r="H17" s="143">
        <f t="shared" si="3"/>
        <v>222.22222222222223</v>
      </c>
      <c r="I17" s="23">
        <f>VLOOKUP(B17,Ordering!$A$1:$J$83,6,FALSE)</f>
        <v>1</v>
      </c>
      <c r="J17" s="23">
        <f>VLOOKUP(B17,Ordering!$A$1:$J$83,10,FALSE)</f>
        <v>3.3333333333333335</v>
      </c>
      <c r="K17" s="152">
        <f t="shared" si="5"/>
        <v>0.22222222222222224</v>
      </c>
      <c r="L17" s="92">
        <f t="shared" si="6"/>
        <v>0.74074074074074081</v>
      </c>
      <c r="N17" s="145">
        <v>150</v>
      </c>
    </row>
    <row r="18" spans="1:14" ht="15" customHeight="1" thickTop="1">
      <c r="A18" s="140" t="s">
        <v>269</v>
      </c>
      <c r="B18" s="140" t="s">
        <v>283</v>
      </c>
      <c r="C18" s="141" t="s">
        <v>17</v>
      </c>
      <c r="D18" s="142">
        <f t="shared" si="0"/>
        <v>3.7037037037037037</v>
      </c>
      <c r="E18" s="143">
        <f t="shared" si="1"/>
        <v>80</v>
      </c>
      <c r="F18" s="144">
        <v>1</v>
      </c>
      <c r="G18" s="143">
        <f t="shared" si="2"/>
        <v>296.2962962962963</v>
      </c>
      <c r="H18" s="143">
        <f t="shared" si="3"/>
        <v>296.2962962962963</v>
      </c>
      <c r="I18" s="23">
        <f>VLOOKUP(B18,Ordering!$A$1:$J$83,6,FALSE)</f>
        <v>1</v>
      </c>
      <c r="J18" s="23">
        <f>VLOOKUP(B18,Ordering!$A$1:$J$83,10,FALSE)</f>
        <v>30</v>
      </c>
      <c r="K18" s="152">
        <f t="shared" si="5"/>
        <v>0.29629629629629628</v>
      </c>
      <c r="L18" s="92">
        <f t="shared" si="6"/>
        <v>8.8888888888888893</v>
      </c>
      <c r="N18" s="151">
        <v>200</v>
      </c>
    </row>
    <row r="19" spans="1:14" ht="15" customHeight="1">
      <c r="A19" s="140" t="s">
        <v>269</v>
      </c>
      <c r="B19" s="146" t="s">
        <v>227</v>
      </c>
      <c r="C19" s="141" t="s">
        <v>17</v>
      </c>
      <c r="D19" s="142">
        <f t="shared" si="0"/>
        <v>1.3888888888888888</v>
      </c>
      <c r="E19" s="143">
        <f t="shared" si="1"/>
        <v>80</v>
      </c>
      <c r="F19" s="144">
        <v>1</v>
      </c>
      <c r="G19" s="143">
        <f t="shared" si="2"/>
        <v>111.11111111111111</v>
      </c>
      <c r="H19" s="143">
        <f t="shared" si="3"/>
        <v>111.11111111111111</v>
      </c>
      <c r="I19" s="23">
        <f>VLOOKUP(B19,Ordering!$A$1:$J$83,6,FALSE)</f>
        <v>1</v>
      </c>
      <c r="J19" s="23">
        <f>VLOOKUP(B19,Ordering!$A$1:$J$83,10,FALSE)</f>
        <v>10.833333333333334</v>
      </c>
      <c r="K19" s="152">
        <f t="shared" si="5"/>
        <v>0.11111111111111112</v>
      </c>
      <c r="L19" s="92">
        <f t="shared" si="6"/>
        <v>1.2037037037037039</v>
      </c>
      <c r="N19" s="151">
        <v>75</v>
      </c>
    </row>
    <row r="20" spans="1:14" ht="15" customHeight="1">
      <c r="A20" s="140" t="s">
        <v>279</v>
      </c>
      <c r="B20" s="146" t="s">
        <v>294</v>
      </c>
      <c r="C20" s="141" t="s">
        <v>17</v>
      </c>
      <c r="D20" s="142">
        <f t="shared" si="0"/>
        <v>1.8518518518518519</v>
      </c>
      <c r="E20" s="143">
        <f t="shared" si="1"/>
        <v>80</v>
      </c>
      <c r="F20" s="144">
        <v>1</v>
      </c>
      <c r="G20" s="143">
        <f t="shared" si="2"/>
        <v>148.14814814814815</v>
      </c>
      <c r="H20" s="143">
        <f t="shared" si="3"/>
        <v>148.14814814814815</v>
      </c>
      <c r="I20" s="23">
        <f>VLOOKUP(B20,Ordering!$A$1:$J$83,6,FALSE)</f>
        <v>1</v>
      </c>
      <c r="J20" s="23">
        <f>VLOOKUP(B20,Ordering!$A$1:$J$83,10,FALSE)</f>
        <v>70</v>
      </c>
      <c r="K20" s="152">
        <f t="shared" si="5"/>
        <v>0.14814814814814814</v>
      </c>
      <c r="L20" s="92">
        <f t="shared" si="6"/>
        <v>10.37037037037037</v>
      </c>
      <c r="N20" s="151">
        <v>100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511811023622047"/>
  <pageSetup paperSize="9" scale="4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8">
    <tabColor theme="6" tint="-0.249977111117893"/>
    <pageSetUpPr fitToPage="1"/>
  </sheetPr>
  <dimension ref="A1:X16"/>
  <sheetViews>
    <sheetView zoomScale="70" zoomScaleNormal="70" zoomScaleSheetLayoutView="100" workbookViewId="0">
      <selection activeCell="S14" sqref="S14"/>
    </sheetView>
  </sheetViews>
  <sheetFormatPr defaultRowHeight="14.3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9.05859375" customWidth="1"/>
    <col min="19" max="19" width="15.937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83</v>
      </c>
      <c r="G1" s="4"/>
      <c r="H1" s="38" t="s">
        <v>2</v>
      </c>
      <c r="I1" s="13">
        <f>F1/B1</f>
        <v>83</v>
      </c>
      <c r="J1" s="4"/>
      <c r="K1" s="38"/>
      <c r="U1" s="123" t="s">
        <v>206</v>
      </c>
      <c r="V1" s="121">
        <v>78</v>
      </c>
    </row>
    <row r="2" spans="1:24" ht="14.25" customHeight="1">
      <c r="A2" s="42"/>
      <c r="B2" s="161"/>
      <c r="C2" s="161"/>
      <c r="D2" s="161"/>
      <c r="E2" s="161"/>
      <c r="F2" s="161"/>
      <c r="G2" s="161"/>
      <c r="H2" s="161"/>
      <c r="I2" s="41"/>
      <c r="J2" s="43"/>
      <c r="K2" s="42"/>
    </row>
    <row r="3" spans="1:24" ht="14.25" customHeight="1">
      <c r="A3" s="46"/>
      <c r="B3" s="162" t="s">
        <v>92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4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4" ht="15" customHeight="1" thickTop="1" thickBot="1">
      <c r="A5" s="15" t="s">
        <v>30</v>
      </c>
      <c r="B5" s="15" t="s">
        <v>104</v>
      </c>
      <c r="C5" s="14" t="s">
        <v>17</v>
      </c>
      <c r="D5" s="20">
        <f t="shared" ref="D5:D12" si="0">N5/70</f>
        <v>14.285714285714286</v>
      </c>
      <c r="E5" s="17">
        <f t="shared" ref="E5:E12" si="1">$I$1</f>
        <v>83</v>
      </c>
      <c r="F5" s="18">
        <v>1</v>
      </c>
      <c r="G5" s="17">
        <f t="shared" ref="G5:G12" si="2">E5*D5</f>
        <v>1185.7142857142858</v>
      </c>
      <c r="H5" s="98">
        <f t="shared" ref="H5:H12" si="3">G5*F5</f>
        <v>1185.7142857142858</v>
      </c>
      <c r="I5" s="99">
        <f>VLOOKUP(B5,Ordering!$A$1:$J$83,6,FALSE)</f>
        <v>1</v>
      </c>
      <c r="J5" s="99">
        <f>VLOOKUP(B5,Ordering!$A$1:$J$83,10,FALSE)</f>
        <v>30</v>
      </c>
      <c r="K5" s="99">
        <f t="shared" ref="K5:K6" si="4">((H5/(I5))/1000)</f>
        <v>1.1857142857142857</v>
      </c>
      <c r="L5" s="100">
        <f t="shared" ref="L5:L12" si="5">J5*K5</f>
        <v>35.571428571428569</v>
      </c>
      <c r="N5" s="1">
        <v>1000</v>
      </c>
    </row>
    <row r="6" spans="1:24" ht="15" customHeight="1" thickTop="1" thickBot="1">
      <c r="A6" s="15" t="s">
        <v>46</v>
      </c>
      <c r="B6" s="15" t="s">
        <v>123</v>
      </c>
      <c r="C6" s="14" t="s">
        <v>17</v>
      </c>
      <c r="D6" s="20">
        <f t="shared" si="0"/>
        <v>10</v>
      </c>
      <c r="E6" s="17">
        <f t="shared" si="1"/>
        <v>83</v>
      </c>
      <c r="F6" s="18">
        <v>1</v>
      </c>
      <c r="G6" s="17">
        <f t="shared" si="2"/>
        <v>830</v>
      </c>
      <c r="H6" s="98">
        <f t="shared" si="3"/>
        <v>830</v>
      </c>
      <c r="I6" s="99">
        <f>VLOOKUP(B6,Ordering!$A$1:$J$83,6,FALSE)</f>
        <v>1</v>
      </c>
      <c r="J6" s="99">
        <f>VLOOKUP(B6,Ordering!$A$1:$J$83,10,FALSE)</f>
        <v>6.5</v>
      </c>
      <c r="K6" s="99">
        <f t="shared" si="4"/>
        <v>0.83</v>
      </c>
      <c r="L6" s="100">
        <f t="shared" si="5"/>
        <v>5.3949999999999996</v>
      </c>
      <c r="N6" s="1">
        <v>700</v>
      </c>
    </row>
    <row r="7" spans="1:24" ht="15" customHeight="1" thickTop="1" thickBot="1">
      <c r="A7" s="15" t="s">
        <v>30</v>
      </c>
      <c r="B7" s="15" t="s">
        <v>100</v>
      </c>
      <c r="C7" s="14" t="s">
        <v>15</v>
      </c>
      <c r="D7" s="20">
        <f t="shared" si="0"/>
        <v>0.2</v>
      </c>
      <c r="E7" s="17">
        <f t="shared" si="1"/>
        <v>83</v>
      </c>
      <c r="F7" s="18">
        <v>1</v>
      </c>
      <c r="G7" s="17">
        <f t="shared" si="2"/>
        <v>16.600000000000001</v>
      </c>
      <c r="H7" s="98">
        <f t="shared" si="3"/>
        <v>16.600000000000001</v>
      </c>
      <c r="I7" s="99">
        <f>VLOOKUP(B7,Ordering!$A$1:$J$83,6,FALSE)</f>
        <v>1</v>
      </c>
      <c r="J7" s="99">
        <f>VLOOKUP(B7,Ordering!$A$1:$J$83,10,FALSE)</f>
        <v>0.43333333333333335</v>
      </c>
      <c r="K7" s="99">
        <f t="shared" ref="K7" si="6">H7/I7</f>
        <v>16.600000000000001</v>
      </c>
      <c r="L7" s="100">
        <f t="shared" si="5"/>
        <v>7.1933333333333342</v>
      </c>
      <c r="N7" s="1">
        <v>14</v>
      </c>
    </row>
    <row r="8" spans="1:24" ht="15" customHeight="1" thickTop="1" thickBot="1">
      <c r="A8" s="15" t="s">
        <v>48</v>
      </c>
      <c r="B8" s="15" t="s">
        <v>114</v>
      </c>
      <c r="C8" s="14" t="s">
        <v>17</v>
      </c>
      <c r="D8" s="20">
        <f t="shared" si="0"/>
        <v>14.285714285714286</v>
      </c>
      <c r="E8" s="17">
        <f t="shared" si="1"/>
        <v>83</v>
      </c>
      <c r="F8" s="18">
        <v>1</v>
      </c>
      <c r="G8" s="17">
        <f t="shared" si="2"/>
        <v>1185.7142857142858</v>
      </c>
      <c r="H8" s="98">
        <f t="shared" si="3"/>
        <v>1185.7142857142858</v>
      </c>
      <c r="I8" s="99">
        <f>VLOOKUP(B8,Ordering!$A$1:$J$83,6,FALSE)</f>
        <v>1</v>
      </c>
      <c r="J8" s="99">
        <f>VLOOKUP(B8,Ordering!$A$1:$J$83,10,FALSE)</f>
        <v>1.7</v>
      </c>
      <c r="K8" s="99">
        <f t="shared" ref="K8:K12" si="7">((H8/(I8))/1000)</f>
        <v>1.1857142857142857</v>
      </c>
      <c r="L8" s="100">
        <f t="shared" si="5"/>
        <v>2.0157142857142856</v>
      </c>
      <c r="N8" s="1">
        <v>1000</v>
      </c>
      <c r="U8" s="86" t="s">
        <v>193</v>
      </c>
      <c r="V8" s="87">
        <v>1</v>
      </c>
      <c r="W8" s="86" t="s">
        <v>14</v>
      </c>
      <c r="X8" s="88">
        <f>SUM(L5:L12)/S15</f>
        <v>0.83301587301587288</v>
      </c>
    </row>
    <row r="9" spans="1:24" ht="15" customHeight="1" thickTop="1" thickBot="1">
      <c r="A9" s="15" t="s">
        <v>49</v>
      </c>
      <c r="B9" s="15" t="s">
        <v>243</v>
      </c>
      <c r="C9" s="14" t="s">
        <v>17</v>
      </c>
      <c r="D9" s="20">
        <f t="shared" si="0"/>
        <v>1.4285714285714286</v>
      </c>
      <c r="E9" s="17">
        <f t="shared" si="1"/>
        <v>83</v>
      </c>
      <c r="F9" s="18">
        <v>1</v>
      </c>
      <c r="G9" s="17">
        <f t="shared" si="2"/>
        <v>118.57142857142857</v>
      </c>
      <c r="H9" s="98">
        <f t="shared" si="3"/>
        <v>118.57142857142857</v>
      </c>
      <c r="I9" s="99">
        <f>VLOOKUP(B9,Ordering!$A$1:$J$83,6,FALSE)</f>
        <v>1</v>
      </c>
      <c r="J9" s="99">
        <f>VLOOKUP(B9,Ordering!$A$1:$J$83,10,FALSE)</f>
        <v>34.133333333333333</v>
      </c>
      <c r="K9" s="99">
        <f t="shared" si="7"/>
        <v>0.11857142857142856</v>
      </c>
      <c r="L9" s="100">
        <f t="shared" si="5"/>
        <v>4.0472380952380949</v>
      </c>
      <c r="N9" s="1">
        <v>100</v>
      </c>
    </row>
    <row r="10" spans="1:24" ht="15" customHeight="1" thickTop="1" thickBot="1">
      <c r="A10" s="14" t="s">
        <v>47</v>
      </c>
      <c r="B10" s="15" t="s">
        <v>235</v>
      </c>
      <c r="C10" s="14" t="s">
        <v>17</v>
      </c>
      <c r="D10" s="20">
        <f t="shared" si="0"/>
        <v>0.7142857142857143</v>
      </c>
      <c r="E10" s="17">
        <f t="shared" si="1"/>
        <v>83</v>
      </c>
      <c r="F10" s="18">
        <v>1</v>
      </c>
      <c r="G10" s="17">
        <f t="shared" si="2"/>
        <v>59.285714285714285</v>
      </c>
      <c r="H10" s="98">
        <f t="shared" si="3"/>
        <v>59.285714285714285</v>
      </c>
      <c r="I10" s="99">
        <f>VLOOKUP(B10,Ordering!$A$1:$J$83,6,FALSE)</f>
        <v>1</v>
      </c>
      <c r="J10" s="99">
        <f>VLOOKUP(B10,Ordering!$A$1:$J$83,10,FALSE)</f>
        <v>7.9</v>
      </c>
      <c r="K10" s="99">
        <f t="shared" si="7"/>
        <v>5.9285714285714282E-2</v>
      </c>
      <c r="L10" s="100">
        <f t="shared" si="5"/>
        <v>0.46835714285714286</v>
      </c>
      <c r="N10" s="1">
        <v>50</v>
      </c>
      <c r="R10" s="163" t="s">
        <v>92</v>
      </c>
      <c r="S10" s="164"/>
    </row>
    <row r="11" spans="1:24" ht="15" customHeight="1" thickTop="1" thickBot="1">
      <c r="A11" s="14" t="s">
        <v>47</v>
      </c>
      <c r="B11" s="15" t="s">
        <v>232</v>
      </c>
      <c r="C11" s="14" t="s">
        <v>17</v>
      </c>
      <c r="D11" s="20">
        <f t="shared" si="0"/>
        <v>0.2857142857142857</v>
      </c>
      <c r="E11" s="17">
        <f t="shared" si="1"/>
        <v>83</v>
      </c>
      <c r="F11" s="18">
        <v>1</v>
      </c>
      <c r="G11" s="17">
        <f t="shared" si="2"/>
        <v>23.714285714285712</v>
      </c>
      <c r="H11" s="98">
        <f t="shared" si="3"/>
        <v>23.714285714285712</v>
      </c>
      <c r="I11" s="99">
        <f>VLOOKUP(B11,Ordering!$A$1:$J$83,6,FALSE)</f>
        <v>1</v>
      </c>
      <c r="J11" s="99">
        <f>VLOOKUP(B11,Ordering!$A$1:$J$83,10,FALSE)</f>
        <v>24.305555555555557</v>
      </c>
      <c r="K11" s="99">
        <f t="shared" si="7"/>
        <v>2.3714285714285712E-2</v>
      </c>
      <c r="L11" s="100">
        <f t="shared" si="5"/>
        <v>0.57638888888888884</v>
      </c>
      <c r="N11" s="1">
        <v>20</v>
      </c>
      <c r="R11" s="163" t="s">
        <v>18</v>
      </c>
      <c r="S11" s="164"/>
    </row>
    <row r="12" spans="1:24" ht="15" customHeight="1" thickTop="1" thickBot="1">
      <c r="A12" s="14" t="s">
        <v>51</v>
      </c>
      <c r="B12" s="15" t="s">
        <v>240</v>
      </c>
      <c r="C12" s="14" t="s">
        <v>17</v>
      </c>
      <c r="D12" s="20">
        <f t="shared" si="0"/>
        <v>4.2857142857142856</v>
      </c>
      <c r="E12" s="17">
        <f t="shared" si="1"/>
        <v>83</v>
      </c>
      <c r="F12" s="18">
        <v>1</v>
      </c>
      <c r="G12" s="17">
        <f t="shared" si="2"/>
        <v>355.71428571428572</v>
      </c>
      <c r="H12" s="98">
        <f t="shared" si="3"/>
        <v>355.71428571428572</v>
      </c>
      <c r="I12" s="99">
        <f>VLOOKUP(B12,Ordering!$A$1:$J$83,6,FALSE)</f>
        <v>1</v>
      </c>
      <c r="J12" s="99">
        <f>VLOOKUP(B12,Ordering!$A$1:$J$83,10,FALSE)</f>
        <v>39</v>
      </c>
      <c r="K12" s="99">
        <f t="shared" si="7"/>
        <v>0.35571428571428571</v>
      </c>
      <c r="L12" s="100">
        <f t="shared" si="5"/>
        <v>13.872857142857143</v>
      </c>
      <c r="N12" s="1">
        <v>300</v>
      </c>
      <c r="R12" s="5" t="s">
        <v>19</v>
      </c>
      <c r="S12" s="5" t="s">
        <v>20</v>
      </c>
    </row>
    <row r="13" spans="1:24" ht="15" customHeight="1" thickTop="1">
      <c r="R13" s="5" t="s">
        <v>21</v>
      </c>
      <c r="S13" s="47">
        <f>V1</f>
        <v>78</v>
      </c>
    </row>
    <row r="14" spans="1:24" ht="14.75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83</v>
      </c>
    </row>
    <row r="16" spans="1:24">
      <c r="R16" s="89" t="s">
        <v>14</v>
      </c>
      <c r="S16" s="90">
        <f>SUM(L5:L12)</f>
        <v>69.140317460317448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D2532-0B27-4D49-B93A-9C86412D1B7C}">
  <sheetPr codeName="Sheet35">
    <tabColor theme="6" tint="-0.249977111117893"/>
    <pageSetUpPr fitToPage="1"/>
  </sheetPr>
  <dimension ref="A1:X16"/>
  <sheetViews>
    <sheetView topLeftCell="D1" zoomScale="55" zoomScaleNormal="55" zoomScaleSheetLayoutView="100" workbookViewId="0">
      <selection activeCell="S14" sqref="S14"/>
    </sheetView>
  </sheetViews>
  <sheetFormatPr defaultRowHeight="14.35"/>
  <cols>
    <col min="1" max="1" width="23.05859375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2" max="12" width="20.9375" bestFit="1" customWidth="1"/>
    <col min="13" max="17" width="3.46875" customWidth="1"/>
    <col min="18" max="18" width="19.05859375" customWidth="1"/>
    <col min="19" max="19" width="15.937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53</v>
      </c>
      <c r="G1" s="4"/>
      <c r="H1" s="38" t="s">
        <v>2</v>
      </c>
      <c r="I1" s="13">
        <f>F1/B1</f>
        <v>53</v>
      </c>
      <c r="J1" s="4"/>
      <c r="K1" s="38"/>
      <c r="U1" s="123" t="s">
        <v>206</v>
      </c>
      <c r="V1" s="121">
        <v>48</v>
      </c>
    </row>
    <row r="2" spans="1:24" ht="14.25" customHeight="1">
      <c r="A2" s="42"/>
      <c r="B2" s="161"/>
      <c r="C2" s="161"/>
      <c r="D2" s="161"/>
      <c r="E2" s="161"/>
      <c r="F2" s="161"/>
      <c r="G2" s="161"/>
      <c r="H2" s="161"/>
      <c r="I2" s="41"/>
      <c r="J2" s="43"/>
      <c r="K2" s="42"/>
    </row>
    <row r="3" spans="1:24" ht="14.25" customHeight="1">
      <c r="A3" s="46"/>
      <c r="B3" s="162" t="s">
        <v>188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4" ht="39.7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4" ht="15" customHeight="1">
      <c r="A5" s="14"/>
      <c r="B5" s="15" t="s">
        <v>190</v>
      </c>
      <c r="C5" s="14" t="s">
        <v>17</v>
      </c>
      <c r="D5" s="20">
        <v>6.5</v>
      </c>
      <c r="E5" s="17">
        <f t="shared" ref="E5:E7" si="0">$I$1</f>
        <v>53</v>
      </c>
      <c r="F5" s="18">
        <v>1</v>
      </c>
      <c r="G5" s="17">
        <f t="shared" ref="G5:G7" si="1">E5*D5</f>
        <v>344.5</v>
      </c>
      <c r="H5" s="80">
        <f t="shared" ref="H5:H7" si="2">G5*F5</f>
        <v>344.5</v>
      </c>
      <c r="I5" s="14">
        <f>VLOOKUP(B5,Ordering!$A$1:$J$83,6,FALSE)</f>
        <v>1</v>
      </c>
      <c r="J5" s="92">
        <f>VLOOKUP(B5,Ordering!$A$1:$J$83,10,FALSE)</f>
        <v>40</v>
      </c>
      <c r="K5" s="23">
        <f t="shared" ref="K5:K7" si="3">((H5/(I5))/1000)</f>
        <v>0.34449999999999997</v>
      </c>
      <c r="L5" s="92">
        <f t="shared" ref="L5:L7" si="4">J5*K5</f>
        <v>13.78</v>
      </c>
    </row>
    <row r="6" spans="1:24" ht="15" customHeight="1">
      <c r="A6" s="14"/>
      <c r="B6" s="15" t="s">
        <v>200</v>
      </c>
      <c r="C6" s="14" t="s">
        <v>17</v>
      </c>
      <c r="D6" s="20">
        <v>12.4</v>
      </c>
      <c r="E6" s="17">
        <f t="shared" si="0"/>
        <v>53</v>
      </c>
      <c r="F6" s="18">
        <v>1</v>
      </c>
      <c r="G6" s="17">
        <f t="shared" si="1"/>
        <v>657.2</v>
      </c>
      <c r="H6" s="80">
        <f t="shared" si="2"/>
        <v>657.2</v>
      </c>
      <c r="I6" s="14">
        <f>VLOOKUP(B6,Ordering!$A$1:$J$83,6,FALSE)</f>
        <v>1</v>
      </c>
      <c r="J6" s="92">
        <f>VLOOKUP(B6,Ordering!$A$1:$J$83,10,FALSE)</f>
        <v>51</v>
      </c>
      <c r="K6" s="23">
        <f t="shared" si="3"/>
        <v>0.65720000000000001</v>
      </c>
      <c r="L6" s="92">
        <f t="shared" si="4"/>
        <v>33.517200000000003</v>
      </c>
    </row>
    <row r="7" spans="1:24" ht="15" customHeight="1">
      <c r="A7" s="14"/>
      <c r="B7" s="15" t="s">
        <v>241</v>
      </c>
      <c r="C7" s="14" t="s">
        <v>17</v>
      </c>
      <c r="D7" s="20">
        <v>5</v>
      </c>
      <c r="E7" s="17">
        <f t="shared" si="0"/>
        <v>53</v>
      </c>
      <c r="F7" s="18">
        <v>1</v>
      </c>
      <c r="G7" s="17">
        <f t="shared" si="1"/>
        <v>265</v>
      </c>
      <c r="H7" s="80">
        <f t="shared" si="2"/>
        <v>265</v>
      </c>
      <c r="I7" s="14">
        <f>VLOOKUP(B7,Ordering!$A$1:$J$83,6,FALSE)</f>
        <v>1</v>
      </c>
      <c r="J7" s="92">
        <f>VLOOKUP(B7,Ordering!$A$1:$J$83,10,FALSE)</f>
        <v>41</v>
      </c>
      <c r="K7" s="23">
        <f t="shared" si="3"/>
        <v>0.26500000000000001</v>
      </c>
      <c r="L7" s="92">
        <f t="shared" si="4"/>
        <v>10.865</v>
      </c>
    </row>
    <row r="8" spans="1:24" ht="15" customHeight="1">
      <c r="U8" s="86" t="s">
        <v>193</v>
      </c>
      <c r="V8" s="87">
        <v>1</v>
      </c>
      <c r="W8" s="86" t="s">
        <v>14</v>
      </c>
      <c r="X8" s="88">
        <f>SUM(L5:L7)/S15</f>
        <v>1.0974000000000002</v>
      </c>
    </row>
    <row r="9" spans="1:24" ht="15" customHeight="1"/>
    <row r="10" spans="1:24" ht="15" customHeight="1">
      <c r="R10" s="163" t="s">
        <v>188</v>
      </c>
      <c r="S10" s="164"/>
    </row>
    <row r="11" spans="1:24" ht="15" customHeight="1">
      <c r="R11" s="163" t="s">
        <v>189</v>
      </c>
      <c r="S11" s="164"/>
    </row>
    <row r="12" spans="1:24" ht="15" customHeight="1">
      <c r="R12" s="5" t="s">
        <v>19</v>
      </c>
      <c r="S12" s="5" t="s">
        <v>20</v>
      </c>
    </row>
    <row r="13" spans="1:24" ht="15" customHeight="1">
      <c r="R13" s="5" t="s">
        <v>21</v>
      </c>
      <c r="S13" s="47">
        <f>V1</f>
        <v>48</v>
      </c>
    </row>
    <row r="14" spans="1:24" ht="14.75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53</v>
      </c>
    </row>
    <row r="16" spans="1:24">
      <c r="R16" s="89" t="s">
        <v>14</v>
      </c>
      <c r="S16" s="90">
        <f>SUM(L5:L7)</f>
        <v>58.162200000000006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2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9">
    <tabColor theme="5" tint="-0.249977111117893"/>
    <pageSetUpPr fitToPage="1"/>
  </sheetPr>
  <dimension ref="A1:Y16"/>
  <sheetViews>
    <sheetView topLeftCell="D1" zoomScale="70" zoomScaleNormal="70" zoomScaleSheetLayoutView="100" workbookViewId="0">
      <selection activeCell="S14" sqref="S14"/>
    </sheetView>
  </sheetViews>
  <sheetFormatPr defaultRowHeight="14.35"/>
  <cols>
    <col min="1" max="1" width="17.64453125" bestFit="1" customWidth="1"/>
    <col min="2" max="2" width="31.4687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9" max="9" width="10.05859375" bestFit="1" customWidth="1"/>
    <col min="10" max="10" width="14.41015625" customWidth="1"/>
    <col min="11" max="11" width="11.05859375" bestFit="1" customWidth="1"/>
    <col min="12" max="12" width="12.05859375" bestFit="1" customWidth="1"/>
    <col min="18" max="18" width="19.3515625" customWidth="1"/>
    <col min="19" max="19" width="8.468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359</v>
      </c>
      <c r="G1" s="4"/>
      <c r="H1" s="38" t="s">
        <v>2</v>
      </c>
      <c r="I1" s="13">
        <f>F1/B1</f>
        <v>359</v>
      </c>
      <c r="J1" s="4"/>
      <c r="K1" s="38"/>
      <c r="U1" s="123" t="s">
        <v>206</v>
      </c>
      <c r="V1" s="121">
        <v>357</v>
      </c>
    </row>
    <row r="2" spans="1:25" ht="14.25" customHeight="1">
      <c r="A2" s="42"/>
      <c r="B2" s="161" t="s">
        <v>34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65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30</v>
      </c>
      <c r="B5" s="15" t="s">
        <v>105</v>
      </c>
      <c r="C5" s="22" t="s">
        <v>17</v>
      </c>
      <c r="D5" s="20">
        <f t="shared" ref="D5:D12" si="0">N5/250</f>
        <v>22</v>
      </c>
      <c r="E5" s="17">
        <f t="shared" ref="E5:E12" si="1">$I$1</f>
        <v>359</v>
      </c>
      <c r="F5" s="18">
        <v>1</v>
      </c>
      <c r="G5" s="17">
        <f t="shared" ref="G5:G12" si="2">E5*D5</f>
        <v>7898</v>
      </c>
      <c r="H5" s="80">
        <f t="shared" ref="H5:H12" si="3">G5*F5</f>
        <v>7898</v>
      </c>
      <c r="I5" s="20">
        <f>VLOOKUP(B5,Ordering!$A$1:$J$83,6,FALSE)</f>
        <v>1</v>
      </c>
      <c r="J5" s="20">
        <f>VLOOKUP(B5,Ordering!$A$1:$J$83,10,FALSE)</f>
        <v>13.545454545454545</v>
      </c>
      <c r="K5" s="20">
        <f t="shared" ref="K5:K12" si="4">((H5/(I5))/1000)</f>
        <v>7.8979999999999997</v>
      </c>
      <c r="L5" s="91">
        <f t="shared" ref="L5:L12" si="5">J5*K5</f>
        <v>106.98199999999999</v>
      </c>
      <c r="N5" s="1">
        <v>5500</v>
      </c>
    </row>
    <row r="6" spans="1:25" ht="15" customHeight="1" thickTop="1" thickBot="1">
      <c r="A6" s="15" t="s">
        <v>30</v>
      </c>
      <c r="B6" s="15" t="s">
        <v>225</v>
      </c>
      <c r="C6" s="22" t="s">
        <v>17</v>
      </c>
      <c r="D6" s="20">
        <f t="shared" si="0"/>
        <v>6</v>
      </c>
      <c r="E6" s="17">
        <f t="shared" si="1"/>
        <v>359</v>
      </c>
      <c r="F6" s="18">
        <v>1</v>
      </c>
      <c r="G6" s="17">
        <f t="shared" si="2"/>
        <v>2154</v>
      </c>
      <c r="H6" s="80">
        <f t="shared" si="3"/>
        <v>2154</v>
      </c>
      <c r="I6" s="20">
        <f>VLOOKUP(B6,Ordering!$A$1:$J$83,6,FALSE)</f>
        <v>1</v>
      </c>
      <c r="J6" s="20">
        <f>VLOOKUP(B6,Ordering!$A$1:$J$83,10,FALSE)</f>
        <v>34.848484848484851</v>
      </c>
      <c r="K6" s="20">
        <f t="shared" si="4"/>
        <v>2.1539999999999999</v>
      </c>
      <c r="L6" s="91">
        <f t="shared" si="5"/>
        <v>75.063636363636363</v>
      </c>
      <c r="N6" s="1">
        <v>1500</v>
      </c>
    </row>
    <row r="7" spans="1:25" ht="15" customHeight="1" thickTop="1" thickBot="1">
      <c r="A7" s="15" t="s">
        <v>30</v>
      </c>
      <c r="B7" s="15" t="s">
        <v>228</v>
      </c>
      <c r="C7" s="22" t="s">
        <v>17</v>
      </c>
      <c r="D7" s="20">
        <f t="shared" si="0"/>
        <v>2</v>
      </c>
      <c r="E7" s="17">
        <f t="shared" si="1"/>
        <v>359</v>
      </c>
      <c r="F7" s="18">
        <v>1</v>
      </c>
      <c r="G7" s="17">
        <f t="shared" si="2"/>
        <v>718</v>
      </c>
      <c r="H7" s="80">
        <f t="shared" si="3"/>
        <v>718</v>
      </c>
      <c r="I7" s="20">
        <f>VLOOKUP(B7,Ordering!$A$1:$J$83,6,FALSE)</f>
        <v>1</v>
      </c>
      <c r="J7" s="20">
        <f>VLOOKUP(B7,Ordering!$A$1:$J$83,10,FALSE)</f>
        <v>14.2</v>
      </c>
      <c r="K7" s="20">
        <f t="shared" si="4"/>
        <v>0.71799999999999997</v>
      </c>
      <c r="L7" s="91">
        <f t="shared" si="5"/>
        <v>10.195599999999999</v>
      </c>
      <c r="N7" s="1">
        <v>500</v>
      </c>
    </row>
    <row r="8" spans="1:25" ht="15" customHeight="1" thickTop="1" thickBot="1">
      <c r="A8" s="15" t="s">
        <v>30</v>
      </c>
      <c r="B8" s="15" t="s">
        <v>227</v>
      </c>
      <c r="C8" s="22" t="s">
        <v>16</v>
      </c>
      <c r="D8" s="20">
        <f t="shared" si="0"/>
        <v>8</v>
      </c>
      <c r="E8" s="17">
        <f t="shared" si="1"/>
        <v>359</v>
      </c>
      <c r="F8" s="18">
        <v>1</v>
      </c>
      <c r="G8" s="17">
        <f t="shared" si="2"/>
        <v>2872</v>
      </c>
      <c r="H8" s="80">
        <f t="shared" si="3"/>
        <v>2872</v>
      </c>
      <c r="I8" s="20">
        <f>VLOOKUP(B8,Ordering!$A$1:$J$83,6,FALSE)</f>
        <v>1</v>
      </c>
      <c r="J8" s="20">
        <f>VLOOKUP(B8,Ordering!$A$1:$J$83,10,FALSE)</f>
        <v>10.833333333333334</v>
      </c>
      <c r="K8" s="20">
        <f t="shared" si="4"/>
        <v>2.8719999999999999</v>
      </c>
      <c r="L8" s="91">
        <f t="shared" si="5"/>
        <v>31.113333333333333</v>
      </c>
      <c r="N8" s="1">
        <v>2000</v>
      </c>
      <c r="V8" s="86" t="s">
        <v>193</v>
      </c>
      <c r="W8" s="87">
        <v>1</v>
      </c>
      <c r="X8" s="86" t="s">
        <v>14</v>
      </c>
      <c r="Y8" s="104">
        <f>SUM(L5:L12)/S15</f>
        <v>1.1867331526806528</v>
      </c>
    </row>
    <row r="9" spans="1:25" ht="15" customHeight="1" thickTop="1" thickBot="1">
      <c r="A9" s="15" t="s">
        <v>50</v>
      </c>
      <c r="B9" s="15" t="s">
        <v>251</v>
      </c>
      <c r="C9" s="22" t="s">
        <v>17</v>
      </c>
      <c r="D9" s="20">
        <f t="shared" si="0"/>
        <v>12</v>
      </c>
      <c r="E9" s="17">
        <f t="shared" si="1"/>
        <v>359</v>
      </c>
      <c r="F9" s="18">
        <v>1</v>
      </c>
      <c r="G9" s="17">
        <f t="shared" si="2"/>
        <v>4308</v>
      </c>
      <c r="H9" s="80">
        <f t="shared" si="3"/>
        <v>4308</v>
      </c>
      <c r="I9" s="20">
        <f>VLOOKUP(B9,Ordering!$A$1:$J$83,6,FALSE)</f>
        <v>1</v>
      </c>
      <c r="J9" s="20">
        <f>VLOOKUP(B9,Ordering!$A$1:$J$83,10,FALSE)</f>
        <v>8.8043750000000003</v>
      </c>
      <c r="K9" s="20">
        <f t="shared" si="4"/>
        <v>4.3079999999999998</v>
      </c>
      <c r="L9" s="91">
        <f t="shared" si="5"/>
        <v>37.929247500000002</v>
      </c>
      <c r="N9" s="1">
        <v>3000</v>
      </c>
    </row>
    <row r="10" spans="1:25" ht="15" customHeight="1" thickTop="1" thickBot="1">
      <c r="A10" s="15" t="s">
        <v>50</v>
      </c>
      <c r="B10" s="15" t="s">
        <v>260</v>
      </c>
      <c r="C10" s="22" t="s">
        <v>17</v>
      </c>
      <c r="D10" s="20">
        <f t="shared" si="0"/>
        <v>16</v>
      </c>
      <c r="E10" s="17">
        <f t="shared" si="1"/>
        <v>359</v>
      </c>
      <c r="F10" s="18">
        <v>1</v>
      </c>
      <c r="G10" s="17">
        <f t="shared" si="2"/>
        <v>5744</v>
      </c>
      <c r="H10" s="80">
        <f t="shared" si="3"/>
        <v>5744</v>
      </c>
      <c r="I10" s="20">
        <f>VLOOKUP(B10,Ordering!$A$1:$J$83,6,FALSE)</f>
        <v>0.52</v>
      </c>
      <c r="J10" s="20">
        <f>VLOOKUP(B10,Ordering!$A$1:$J$83,10,FALSE)</f>
        <v>9</v>
      </c>
      <c r="K10" s="20">
        <f t="shared" si="4"/>
        <v>11.046153846153846</v>
      </c>
      <c r="L10" s="91">
        <f t="shared" si="5"/>
        <v>99.41538461538461</v>
      </c>
      <c r="N10" s="1">
        <v>4000</v>
      </c>
      <c r="R10" s="163" t="s">
        <v>66</v>
      </c>
      <c r="S10" s="164"/>
    </row>
    <row r="11" spans="1:25" ht="15" customHeight="1" thickTop="1" thickBot="1">
      <c r="A11" s="15" t="s">
        <v>27</v>
      </c>
      <c r="B11" s="15" t="s">
        <v>242</v>
      </c>
      <c r="C11" s="22" t="s">
        <v>17</v>
      </c>
      <c r="D11" s="20">
        <v>12</v>
      </c>
      <c r="E11" s="17">
        <f t="shared" si="1"/>
        <v>359</v>
      </c>
      <c r="F11" s="18">
        <v>1</v>
      </c>
      <c r="G11" s="17">
        <f t="shared" si="2"/>
        <v>4308</v>
      </c>
      <c r="H11" s="80">
        <f t="shared" si="3"/>
        <v>4308</v>
      </c>
      <c r="I11" s="20">
        <f>VLOOKUP(B11,Ordering!$A$1:$J$83,6,FALSE)</f>
        <v>1</v>
      </c>
      <c r="J11" s="20">
        <f>VLOOKUP(B11,Ordering!$A$1:$J$83,10,FALSE)</f>
        <v>9.1666666666666679</v>
      </c>
      <c r="K11" s="20">
        <f t="shared" si="4"/>
        <v>4.3079999999999998</v>
      </c>
      <c r="L11" s="91">
        <f t="shared" si="5"/>
        <v>39.49</v>
      </c>
      <c r="N11" s="1">
        <v>350</v>
      </c>
      <c r="R11" s="163" t="s">
        <v>18</v>
      </c>
      <c r="S11" s="164"/>
    </row>
    <row r="12" spans="1:25" ht="15" customHeight="1" thickTop="1" thickBot="1">
      <c r="A12" s="15" t="s">
        <v>30</v>
      </c>
      <c r="B12" s="15" t="s">
        <v>104</v>
      </c>
      <c r="C12" s="22" t="s">
        <v>17</v>
      </c>
      <c r="D12" s="20">
        <f t="shared" si="0"/>
        <v>2.4</v>
      </c>
      <c r="E12" s="17">
        <f t="shared" si="1"/>
        <v>359</v>
      </c>
      <c r="F12" s="18">
        <v>1</v>
      </c>
      <c r="G12" s="17">
        <f t="shared" si="2"/>
        <v>861.6</v>
      </c>
      <c r="H12" s="80">
        <f t="shared" si="3"/>
        <v>861.6</v>
      </c>
      <c r="I12" s="20">
        <f>VLOOKUP(B12,Ordering!$A$1:$J$83,6,FALSE)</f>
        <v>1</v>
      </c>
      <c r="J12" s="20">
        <f>VLOOKUP(B12,Ordering!$A$1:$J$83,10,FALSE)</f>
        <v>30</v>
      </c>
      <c r="K12" s="20">
        <f t="shared" si="4"/>
        <v>0.86160000000000003</v>
      </c>
      <c r="L12" s="91">
        <f t="shared" si="5"/>
        <v>25.848000000000003</v>
      </c>
      <c r="N12" s="1">
        <v>600</v>
      </c>
      <c r="R12" s="5" t="s">
        <v>19</v>
      </c>
      <c r="S12" s="5" t="s">
        <v>20</v>
      </c>
    </row>
    <row r="13" spans="1:25" ht="15" customHeight="1" thickTop="1">
      <c r="R13" s="5" t="s">
        <v>21</v>
      </c>
      <c r="S13" s="47">
        <f>V1</f>
        <v>357</v>
      </c>
    </row>
    <row r="14" spans="1:25" ht="14.75" customHeight="1">
      <c r="R14" s="5" t="s">
        <v>22</v>
      </c>
      <c r="S14" s="14">
        <v>2</v>
      </c>
    </row>
    <row r="15" spans="1:25">
      <c r="R15" s="5" t="s">
        <v>23</v>
      </c>
      <c r="S15" s="48">
        <f>S13+S14</f>
        <v>359</v>
      </c>
    </row>
    <row r="16" spans="1:25">
      <c r="R16" s="89" t="s">
        <v>14</v>
      </c>
      <c r="S16" s="90">
        <f>SUM(L5:L12)</f>
        <v>426.03720181235434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C3729-56BE-4173-B8D0-33888C39AFDC}">
  <sheetPr codeName="Sheet7">
    <tabColor theme="5" tint="-0.249977111117893"/>
    <pageSetUpPr fitToPage="1"/>
  </sheetPr>
  <dimension ref="A1:X19"/>
  <sheetViews>
    <sheetView topLeftCell="J1" zoomScaleNormal="100" workbookViewId="0">
      <selection activeCell="S14" sqref="S14"/>
    </sheetView>
  </sheetViews>
  <sheetFormatPr defaultColWidth="7.9375" defaultRowHeight="14.35"/>
  <cols>
    <col min="1" max="1" width="16.17578125" style="132" customWidth="1"/>
    <col min="2" max="2" width="33.3515625" style="132" customWidth="1"/>
    <col min="3" max="3" width="16" style="132" customWidth="1"/>
    <col min="4" max="4" width="13.234375" style="132" customWidth="1"/>
    <col min="5" max="5" width="13.17578125" style="132" customWidth="1"/>
    <col min="6" max="6" width="10.46875" style="132" customWidth="1"/>
    <col min="7" max="7" width="7.9375" style="132"/>
    <col min="8" max="8" width="27.3515625" style="132" customWidth="1"/>
    <col min="9" max="9" width="7.9375" style="132"/>
    <col min="10" max="10" width="13.17578125" style="132" customWidth="1"/>
    <col min="11" max="11" width="18.5859375" style="132" customWidth="1"/>
    <col min="12" max="17" width="7.9375" style="132"/>
    <col min="18" max="18" width="13.8203125" style="132" customWidth="1"/>
    <col min="19" max="19" width="13.234375" style="132" customWidth="1"/>
    <col min="20" max="16384" width="7.9375" style="132"/>
  </cols>
  <sheetData>
    <row r="1" spans="1:24">
      <c r="A1" s="128" t="s">
        <v>0</v>
      </c>
      <c r="B1" s="129">
        <v>1</v>
      </c>
      <c r="C1" s="130"/>
      <c r="D1" s="130"/>
      <c r="E1" s="128" t="s">
        <v>1</v>
      </c>
      <c r="F1" s="131">
        <f>S15</f>
        <v>67</v>
      </c>
      <c r="G1" s="130"/>
      <c r="H1" s="128" t="s">
        <v>2</v>
      </c>
      <c r="I1" s="131">
        <f>F1/B1</f>
        <v>67</v>
      </c>
      <c r="J1" s="130"/>
      <c r="K1" s="128"/>
      <c r="U1" s="123" t="s">
        <v>206</v>
      </c>
      <c r="V1" s="121">
        <v>65</v>
      </c>
      <c r="W1"/>
      <c r="X1"/>
    </row>
    <row r="2" spans="1:24" ht="14.25" customHeight="1">
      <c r="A2" s="133"/>
      <c r="B2" s="166" t="s">
        <v>284</v>
      </c>
      <c r="C2" s="166"/>
      <c r="D2" s="166"/>
      <c r="E2" s="166"/>
      <c r="F2" s="166"/>
      <c r="G2" s="166"/>
      <c r="H2" s="166"/>
      <c r="I2" s="134"/>
      <c r="J2" s="135"/>
      <c r="K2" s="133"/>
      <c r="U2"/>
      <c r="V2"/>
      <c r="W2"/>
      <c r="X2"/>
    </row>
    <row r="3" spans="1:24" ht="14.25" customHeight="1">
      <c r="A3" s="136"/>
      <c r="B3" s="167" t="s">
        <v>285</v>
      </c>
      <c r="C3" s="167"/>
      <c r="D3" s="167"/>
      <c r="E3" s="167"/>
      <c r="F3" s="167"/>
      <c r="G3" s="167"/>
      <c r="H3" s="167"/>
      <c r="I3" s="137"/>
      <c r="J3" s="138"/>
      <c r="K3" s="136"/>
      <c r="U3"/>
      <c r="V3"/>
      <c r="W3"/>
      <c r="X3"/>
    </row>
    <row r="4" spans="1:24" ht="39.75" customHeight="1" thickBot="1">
      <c r="A4" s="139" t="s">
        <v>4</v>
      </c>
      <c r="B4" s="139" t="s">
        <v>5</v>
      </c>
      <c r="C4" s="139" t="s">
        <v>6</v>
      </c>
      <c r="D4" s="139" t="s">
        <v>7</v>
      </c>
      <c r="E4" s="139" t="s">
        <v>8</v>
      </c>
      <c r="F4" s="139" t="s">
        <v>9</v>
      </c>
      <c r="G4" s="139" t="s">
        <v>10</v>
      </c>
      <c r="H4" s="13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  <c r="U4"/>
      <c r="V4"/>
      <c r="W4"/>
      <c r="X4"/>
    </row>
    <row r="5" spans="1:24" ht="15" customHeight="1" thickTop="1" thickBot="1">
      <c r="A5" s="140" t="s">
        <v>269</v>
      </c>
      <c r="B5" s="140" t="s">
        <v>286</v>
      </c>
      <c r="C5" s="141" t="s">
        <v>16</v>
      </c>
      <c r="D5" s="142">
        <f t="shared" ref="D5:D16" si="0">N5/75</f>
        <v>1.6666666666666667</v>
      </c>
      <c r="E5" s="143">
        <f t="shared" ref="E5:E16" si="1">$I$1</f>
        <v>67</v>
      </c>
      <c r="F5" s="144">
        <v>1</v>
      </c>
      <c r="G5" s="143">
        <f t="shared" ref="G5:G16" si="2">E5*D5</f>
        <v>111.66666666666667</v>
      </c>
      <c r="H5" s="143">
        <f t="shared" ref="H5:H16" si="3">G5*F5</f>
        <v>111.66666666666667</v>
      </c>
      <c r="I5" s="23">
        <f>VLOOKUP(B5,Ordering!$A$1:$J$83,6,FALSE)</f>
        <v>1</v>
      </c>
      <c r="J5" s="23">
        <f>VLOOKUP(B5,Ordering!$A$1:$J$83,10,FALSE)</f>
        <v>4.2033333333333331</v>
      </c>
      <c r="K5" s="152">
        <f>(H5/I5)/1000</f>
        <v>0.11166666666666668</v>
      </c>
      <c r="L5" s="92">
        <f t="shared" ref="L5" si="4">J5*K5</f>
        <v>0.46937222222222225</v>
      </c>
      <c r="N5" s="145">
        <v>125</v>
      </c>
      <c r="U5"/>
      <c r="V5"/>
      <c r="W5"/>
      <c r="X5"/>
    </row>
    <row r="6" spans="1:24" ht="15" customHeight="1" thickTop="1" thickBot="1">
      <c r="A6" s="140" t="s">
        <v>273</v>
      </c>
      <c r="B6" s="140" t="s">
        <v>287</v>
      </c>
      <c r="C6" s="141" t="s">
        <v>16</v>
      </c>
      <c r="D6" s="142">
        <f t="shared" si="0"/>
        <v>1.6666666666666667</v>
      </c>
      <c r="E6" s="143">
        <f t="shared" si="1"/>
        <v>67</v>
      </c>
      <c r="F6" s="144">
        <v>1</v>
      </c>
      <c r="G6" s="143">
        <f t="shared" si="2"/>
        <v>111.66666666666667</v>
      </c>
      <c r="H6" s="143">
        <f t="shared" si="3"/>
        <v>111.66666666666667</v>
      </c>
      <c r="I6" s="23">
        <f>VLOOKUP(B6,Ordering!$A$1:$J$83,6,FALSE)</f>
        <v>1</v>
      </c>
      <c r="J6" s="23">
        <f>VLOOKUP(B6,Ordering!$A$1:$J$83,10,FALSE)</f>
        <v>0</v>
      </c>
      <c r="K6" s="152">
        <f>(H6/I6)/1000</f>
        <v>0.11166666666666668</v>
      </c>
      <c r="L6" s="92">
        <f t="shared" ref="L6:L16" si="5">J6*K6</f>
        <v>0</v>
      </c>
      <c r="N6" s="145">
        <v>125</v>
      </c>
      <c r="U6"/>
      <c r="V6"/>
      <c r="W6"/>
      <c r="X6"/>
    </row>
    <row r="7" spans="1:24" ht="15" customHeight="1" thickTop="1" thickBot="1">
      <c r="A7" s="140" t="s">
        <v>269</v>
      </c>
      <c r="B7" s="140" t="s">
        <v>283</v>
      </c>
      <c r="C7" s="141" t="s">
        <v>17</v>
      </c>
      <c r="D7" s="142">
        <f t="shared" si="0"/>
        <v>1.3333333333333333</v>
      </c>
      <c r="E7" s="143">
        <f t="shared" si="1"/>
        <v>67</v>
      </c>
      <c r="F7" s="144">
        <v>1</v>
      </c>
      <c r="G7" s="143">
        <f t="shared" si="2"/>
        <v>89.333333333333329</v>
      </c>
      <c r="H7" s="143">
        <f t="shared" si="3"/>
        <v>89.333333333333329</v>
      </c>
      <c r="I7" s="23">
        <f>VLOOKUP(B7,Ordering!$A$1:$J$83,6,FALSE)</f>
        <v>1</v>
      </c>
      <c r="J7" s="23">
        <f>VLOOKUP(B7,Ordering!$A$1:$J$83,10,FALSE)</f>
        <v>30</v>
      </c>
      <c r="K7" s="152">
        <f>(H7/I7)/1000</f>
        <v>8.9333333333333334E-2</v>
      </c>
      <c r="L7" s="92">
        <f t="shared" si="5"/>
        <v>2.68</v>
      </c>
      <c r="N7" s="145">
        <v>100</v>
      </c>
      <c r="U7"/>
      <c r="V7"/>
      <c r="W7"/>
      <c r="X7"/>
    </row>
    <row r="8" spans="1:24" ht="15" customHeight="1" thickTop="1" thickBot="1">
      <c r="A8" s="140" t="s">
        <v>271</v>
      </c>
      <c r="B8" s="146" t="s">
        <v>247</v>
      </c>
      <c r="C8" s="141" t="s">
        <v>17</v>
      </c>
      <c r="D8" s="142">
        <f t="shared" si="0"/>
        <v>9.3333333333333338E-2</v>
      </c>
      <c r="E8" s="143">
        <f t="shared" si="1"/>
        <v>67</v>
      </c>
      <c r="F8" s="144">
        <v>1</v>
      </c>
      <c r="G8" s="143">
        <f t="shared" si="2"/>
        <v>6.2533333333333339</v>
      </c>
      <c r="H8" s="143">
        <f t="shared" si="3"/>
        <v>6.2533333333333339</v>
      </c>
      <c r="I8" s="23">
        <f>VLOOKUP(B8,Ordering!$A$1:$J$83,6,FALSE)</f>
        <v>1</v>
      </c>
      <c r="J8" s="23">
        <f>VLOOKUP(B8,Ordering!$A$1:$J$83,10,FALSE)</f>
        <v>2.7</v>
      </c>
      <c r="K8" s="152">
        <f>(H8/I8)/1000</f>
        <v>6.2533333333333338E-3</v>
      </c>
      <c r="L8" s="92">
        <f t="shared" si="5"/>
        <v>1.6884000000000003E-2</v>
      </c>
      <c r="N8" s="145">
        <v>7</v>
      </c>
      <c r="U8" s="86" t="s">
        <v>193</v>
      </c>
      <c r="V8" s="87">
        <v>1</v>
      </c>
      <c r="W8" s="86" t="s">
        <v>14</v>
      </c>
      <c r="X8" s="88">
        <f>S16/S15</f>
        <v>0.32136866666666664</v>
      </c>
    </row>
    <row r="9" spans="1:24" ht="15" customHeight="1" thickTop="1" thickBot="1">
      <c r="A9" s="140" t="s">
        <v>269</v>
      </c>
      <c r="B9" s="140" t="s">
        <v>270</v>
      </c>
      <c r="C9" s="141" t="s">
        <v>15</v>
      </c>
      <c r="D9" s="142">
        <f t="shared" si="0"/>
        <v>6.6666666666666666E-2</v>
      </c>
      <c r="E9" s="143">
        <f t="shared" si="1"/>
        <v>67</v>
      </c>
      <c r="F9" s="144">
        <v>1</v>
      </c>
      <c r="G9" s="143">
        <f t="shared" si="2"/>
        <v>4.4666666666666668</v>
      </c>
      <c r="H9" s="143">
        <f t="shared" si="3"/>
        <v>4.4666666666666668</v>
      </c>
      <c r="I9" s="23">
        <f>VLOOKUP(B9,Ordering!$A$1:$J$83,6,FALSE)</f>
        <v>1</v>
      </c>
      <c r="J9" s="23">
        <f>VLOOKUP(B9,Ordering!$A$1:$J$83,10,FALSE)</f>
        <v>0.43333333333333335</v>
      </c>
      <c r="K9" s="152">
        <f>(H9/I9)</f>
        <v>4.4666666666666668</v>
      </c>
      <c r="L9" s="92">
        <f t="shared" si="5"/>
        <v>1.9355555555555557</v>
      </c>
      <c r="N9" s="145">
        <v>5</v>
      </c>
    </row>
    <row r="10" spans="1:24" ht="15" customHeight="1" thickTop="1" thickBot="1">
      <c r="A10" s="140" t="s">
        <v>275</v>
      </c>
      <c r="B10" s="140" t="s">
        <v>276</v>
      </c>
      <c r="C10" s="140" t="s">
        <v>17</v>
      </c>
      <c r="D10" s="142">
        <f t="shared" si="0"/>
        <v>2</v>
      </c>
      <c r="E10" s="143">
        <f t="shared" si="1"/>
        <v>67</v>
      </c>
      <c r="F10" s="144">
        <v>1</v>
      </c>
      <c r="G10" s="143">
        <f t="shared" si="2"/>
        <v>134</v>
      </c>
      <c r="H10" s="143">
        <f t="shared" si="3"/>
        <v>134</v>
      </c>
      <c r="I10" s="23">
        <f>VLOOKUP(B10,Ordering!$A$1:$J$83,6,FALSE)</f>
        <v>1</v>
      </c>
      <c r="J10" s="23">
        <f>VLOOKUP(B10,Ordering!$A$1:$J$83,10,FALSE)</f>
        <v>1.7</v>
      </c>
      <c r="K10" s="152">
        <f t="shared" ref="K10:K16" si="6">(H10/I10)/1000</f>
        <v>0.13400000000000001</v>
      </c>
      <c r="L10" s="92">
        <f t="shared" si="5"/>
        <v>0.2278</v>
      </c>
      <c r="N10" s="145">
        <v>150</v>
      </c>
      <c r="R10" s="168" t="s">
        <v>288</v>
      </c>
      <c r="S10" s="168"/>
    </row>
    <row r="11" spans="1:24" ht="15" customHeight="1" thickTop="1" thickBot="1">
      <c r="A11" s="140" t="s">
        <v>275</v>
      </c>
      <c r="B11" s="140" t="s">
        <v>276</v>
      </c>
      <c r="C11" s="141" t="s">
        <v>17</v>
      </c>
      <c r="D11" s="142">
        <f t="shared" si="0"/>
        <v>1.3333333333333333</v>
      </c>
      <c r="E11" s="143">
        <f t="shared" si="1"/>
        <v>67</v>
      </c>
      <c r="F11" s="144">
        <v>1</v>
      </c>
      <c r="G11" s="143">
        <f t="shared" si="2"/>
        <v>89.333333333333329</v>
      </c>
      <c r="H11" s="143">
        <f t="shared" si="3"/>
        <v>89.333333333333329</v>
      </c>
      <c r="I11" s="23">
        <f>VLOOKUP(B11,Ordering!$A$1:$J$83,6,FALSE)</f>
        <v>1</v>
      </c>
      <c r="J11" s="23">
        <f>VLOOKUP(B11,Ordering!$A$1:$J$83,10,FALSE)</f>
        <v>1.7</v>
      </c>
      <c r="K11" s="152">
        <f t="shared" si="6"/>
        <v>8.9333333333333334E-2</v>
      </c>
      <c r="L11" s="92">
        <f t="shared" si="5"/>
        <v>0.15186666666666668</v>
      </c>
      <c r="N11" s="145">
        <v>100</v>
      </c>
      <c r="R11" s="168" t="s">
        <v>18</v>
      </c>
      <c r="S11" s="168"/>
    </row>
    <row r="12" spans="1:24" ht="15" customHeight="1" thickTop="1" thickBot="1">
      <c r="A12" s="140" t="s">
        <v>271</v>
      </c>
      <c r="B12" s="146" t="s">
        <v>248</v>
      </c>
      <c r="C12" s="141" t="s">
        <v>17</v>
      </c>
      <c r="D12" s="142">
        <f t="shared" si="0"/>
        <v>1.3333333333333333</v>
      </c>
      <c r="E12" s="143">
        <f t="shared" si="1"/>
        <v>67</v>
      </c>
      <c r="F12" s="144">
        <v>1</v>
      </c>
      <c r="G12" s="143">
        <f t="shared" si="2"/>
        <v>89.333333333333329</v>
      </c>
      <c r="H12" s="143">
        <f t="shared" si="3"/>
        <v>89.333333333333329</v>
      </c>
      <c r="I12" s="23">
        <f>VLOOKUP(B12,Ordering!$A$1:$J$83,6,FALSE)</f>
        <v>1</v>
      </c>
      <c r="J12" s="23">
        <f>VLOOKUP(B12,Ordering!$A$1:$J$83,10,FALSE)</f>
        <v>3.3333333333333335</v>
      </c>
      <c r="K12" s="152">
        <f t="shared" si="6"/>
        <v>8.9333333333333334E-2</v>
      </c>
      <c r="L12" s="92">
        <f t="shared" si="5"/>
        <v>0.29777777777777781</v>
      </c>
      <c r="N12" s="145">
        <v>100</v>
      </c>
      <c r="R12" s="147" t="s">
        <v>19</v>
      </c>
      <c r="S12" s="147" t="s">
        <v>20</v>
      </c>
    </row>
    <row r="13" spans="1:24" ht="15" customHeight="1" thickTop="1" thickBot="1">
      <c r="A13" s="140" t="s">
        <v>269</v>
      </c>
      <c r="B13" s="140" t="s">
        <v>283</v>
      </c>
      <c r="C13" s="141" t="s">
        <v>17</v>
      </c>
      <c r="D13" s="142">
        <f t="shared" si="0"/>
        <v>1.3333333333333333</v>
      </c>
      <c r="E13" s="143">
        <f t="shared" si="1"/>
        <v>67</v>
      </c>
      <c r="F13" s="144">
        <v>1</v>
      </c>
      <c r="G13" s="143">
        <f t="shared" si="2"/>
        <v>89.333333333333329</v>
      </c>
      <c r="H13" s="143">
        <f t="shared" si="3"/>
        <v>89.333333333333329</v>
      </c>
      <c r="I13" s="23">
        <f>VLOOKUP(B13,Ordering!$A$1:$J$83,6,FALSE)</f>
        <v>1</v>
      </c>
      <c r="J13" s="23">
        <f>VLOOKUP(B13,Ordering!$A$1:$J$83,10,FALSE)</f>
        <v>30</v>
      </c>
      <c r="K13" s="152">
        <f t="shared" si="6"/>
        <v>8.9333333333333334E-2</v>
      </c>
      <c r="L13" s="92">
        <f t="shared" si="5"/>
        <v>2.68</v>
      </c>
      <c r="N13" s="145">
        <v>100</v>
      </c>
      <c r="R13" s="147" t="s">
        <v>21</v>
      </c>
      <c r="S13" s="148">
        <f>V1</f>
        <v>65</v>
      </c>
    </row>
    <row r="14" spans="1:24" ht="15" customHeight="1" thickTop="1" thickBot="1">
      <c r="A14" s="140" t="s">
        <v>269</v>
      </c>
      <c r="B14" s="146" t="s">
        <v>227</v>
      </c>
      <c r="C14" s="141" t="s">
        <v>17</v>
      </c>
      <c r="D14" s="142">
        <f t="shared" si="0"/>
        <v>3.3333333333333335</v>
      </c>
      <c r="E14" s="143">
        <f t="shared" si="1"/>
        <v>67</v>
      </c>
      <c r="F14" s="144">
        <v>1</v>
      </c>
      <c r="G14" s="143">
        <f t="shared" si="2"/>
        <v>223.33333333333334</v>
      </c>
      <c r="H14" s="143">
        <f t="shared" si="3"/>
        <v>223.33333333333334</v>
      </c>
      <c r="I14" s="23">
        <f>VLOOKUP(B14,Ordering!$A$1:$J$83,6,FALSE)</f>
        <v>1</v>
      </c>
      <c r="J14" s="23">
        <f>VLOOKUP(B14,Ordering!$A$1:$J$83,10,FALSE)</f>
        <v>10.833333333333334</v>
      </c>
      <c r="K14" s="152">
        <f t="shared" si="6"/>
        <v>0.22333333333333336</v>
      </c>
      <c r="L14" s="92">
        <f t="shared" si="5"/>
        <v>2.4194444444444447</v>
      </c>
      <c r="N14" s="145">
        <v>250</v>
      </c>
      <c r="R14" s="147" t="s">
        <v>22</v>
      </c>
      <c r="S14" s="149">
        <v>2</v>
      </c>
    </row>
    <row r="15" spans="1:24" ht="15" customHeight="1" thickTop="1" thickBot="1">
      <c r="A15" s="140" t="s">
        <v>289</v>
      </c>
      <c r="B15" s="146" t="s">
        <v>250</v>
      </c>
      <c r="C15" s="141" t="s">
        <v>17</v>
      </c>
      <c r="D15" s="142">
        <f t="shared" si="0"/>
        <v>4</v>
      </c>
      <c r="E15" s="143">
        <f t="shared" si="1"/>
        <v>67</v>
      </c>
      <c r="F15" s="144">
        <v>1</v>
      </c>
      <c r="G15" s="143">
        <f t="shared" si="2"/>
        <v>268</v>
      </c>
      <c r="H15" s="143">
        <f t="shared" si="3"/>
        <v>268</v>
      </c>
      <c r="I15" s="23">
        <f>VLOOKUP(B15,Ordering!$A$1:$J$83,6,FALSE)</f>
        <v>1</v>
      </c>
      <c r="J15" s="23">
        <f>VLOOKUP(B15,Ordering!$A$1:$J$83,10,FALSE)</f>
        <v>19.75</v>
      </c>
      <c r="K15" s="152">
        <f t="shared" si="6"/>
        <v>0.26800000000000002</v>
      </c>
      <c r="L15" s="92">
        <f t="shared" si="5"/>
        <v>5.2930000000000001</v>
      </c>
      <c r="N15" s="145">
        <v>300</v>
      </c>
      <c r="R15" s="147" t="s">
        <v>23</v>
      </c>
      <c r="S15" s="150">
        <f>S13+S14</f>
        <v>67</v>
      </c>
    </row>
    <row r="16" spans="1:24" ht="15" customHeight="1" thickTop="1" thickBot="1">
      <c r="A16" s="140" t="s">
        <v>269</v>
      </c>
      <c r="B16" s="146" t="s">
        <v>229</v>
      </c>
      <c r="C16" s="141" t="s">
        <v>17</v>
      </c>
      <c r="D16" s="142">
        <f t="shared" si="0"/>
        <v>4</v>
      </c>
      <c r="E16" s="143">
        <f t="shared" si="1"/>
        <v>67</v>
      </c>
      <c r="F16" s="144">
        <v>1</v>
      </c>
      <c r="G16" s="143">
        <f t="shared" si="2"/>
        <v>268</v>
      </c>
      <c r="H16" s="143">
        <f t="shared" si="3"/>
        <v>268</v>
      </c>
      <c r="I16" s="23">
        <f>VLOOKUP(B16,Ordering!$A$1:$J$83,6,FALSE)</f>
        <v>1</v>
      </c>
      <c r="J16" s="23">
        <f>VLOOKUP(B16,Ordering!$A$1:$J$83,10,FALSE)</f>
        <v>20</v>
      </c>
      <c r="K16" s="152">
        <f t="shared" si="6"/>
        <v>0.26800000000000002</v>
      </c>
      <c r="L16" s="92">
        <f t="shared" si="5"/>
        <v>5.36</v>
      </c>
      <c r="N16" s="145">
        <v>300</v>
      </c>
      <c r="R16" s="89" t="s">
        <v>14</v>
      </c>
      <c r="S16" s="90">
        <f>SUM(L5:L16)</f>
        <v>21.531700666666666</v>
      </c>
    </row>
    <row r="17" ht="15" customHeight="1" thickTop="1"/>
    <row r="18" ht="15" customHeight="1"/>
    <row r="19" ht="14.25" customHeight="1"/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511811023622047"/>
  <pageSetup paperSize="9" scale="43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>
    <tabColor theme="5" tint="-0.249977111117893"/>
    <pageSetUpPr fitToPage="1"/>
  </sheetPr>
  <dimension ref="A1:Y24"/>
  <sheetViews>
    <sheetView topLeftCell="I1" zoomScale="70" zoomScaleNormal="70" zoomScaleSheetLayoutView="100" workbookViewId="0">
      <selection activeCell="S14" sqref="S14"/>
    </sheetView>
  </sheetViews>
  <sheetFormatPr defaultRowHeight="14.3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2" customWidth="1"/>
    <col min="19" max="19" width="8.468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162</v>
      </c>
      <c r="G1" s="4"/>
      <c r="H1" s="38" t="s">
        <v>2</v>
      </c>
      <c r="I1" s="13">
        <f>F1/B1</f>
        <v>162</v>
      </c>
      <c r="J1" s="4"/>
      <c r="K1" s="38"/>
      <c r="U1" s="123" t="s">
        <v>206</v>
      </c>
      <c r="V1" s="121">
        <v>160</v>
      </c>
    </row>
    <row r="2" spans="1:25" ht="14.25" customHeight="1">
      <c r="A2" s="42"/>
      <c r="B2" s="161" t="s">
        <v>39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67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48</v>
      </c>
      <c r="B5" s="15" t="s">
        <v>254</v>
      </c>
      <c r="C5" s="16" t="s">
        <v>17</v>
      </c>
      <c r="D5" s="20">
        <f t="shared" ref="D5:D12" si="0">N5/50</f>
        <v>20</v>
      </c>
      <c r="E5" s="17">
        <f t="shared" ref="E5:E12" si="1">$I$1</f>
        <v>162</v>
      </c>
      <c r="F5" s="18">
        <v>1</v>
      </c>
      <c r="G5" s="17">
        <f t="shared" ref="G5:G12" si="2">E5*D5</f>
        <v>3240</v>
      </c>
      <c r="H5" s="80">
        <f t="shared" ref="H5:H12" si="3">G5*F5</f>
        <v>3240</v>
      </c>
      <c r="I5" s="23">
        <f>VLOOKUP(B5,Ordering!$A$1:$J$83,6,FALSE)</f>
        <v>1</v>
      </c>
      <c r="J5" s="23">
        <f>VLOOKUP(B5,Ordering!$A$1:$J$83,10,FALSE)</f>
        <v>9.3333333333333339</v>
      </c>
      <c r="K5" s="23">
        <f t="shared" ref="K5:K7" si="4">((H5/(I5))/1000)</f>
        <v>3.24</v>
      </c>
      <c r="L5" s="92">
        <f t="shared" ref="L5:L12" si="5">J5*K5</f>
        <v>30.240000000000006</v>
      </c>
      <c r="N5" s="1">
        <v>1000</v>
      </c>
    </row>
    <row r="6" spans="1:25" ht="15" customHeight="1" thickTop="1" thickBot="1">
      <c r="A6" s="15" t="s">
        <v>47</v>
      </c>
      <c r="B6" s="15" t="s">
        <v>126</v>
      </c>
      <c r="C6" s="16" t="s">
        <v>17</v>
      </c>
      <c r="D6" s="20">
        <f t="shared" si="0"/>
        <v>6</v>
      </c>
      <c r="E6" s="17">
        <f t="shared" si="1"/>
        <v>162</v>
      </c>
      <c r="F6" s="18">
        <v>1</v>
      </c>
      <c r="G6" s="17">
        <f t="shared" si="2"/>
        <v>972</v>
      </c>
      <c r="H6" s="80">
        <f t="shared" si="3"/>
        <v>972</v>
      </c>
      <c r="I6" s="23">
        <f>VLOOKUP(B6,Ordering!$A$1:$J$83,6,FALSE)</f>
        <v>1</v>
      </c>
      <c r="J6" s="23">
        <f>VLOOKUP(B6,Ordering!$A$1:$J$83,10,FALSE)</f>
        <v>5.882352941176471</v>
      </c>
      <c r="K6" s="23">
        <f t="shared" si="4"/>
        <v>0.97199999999999998</v>
      </c>
      <c r="L6" s="92">
        <f t="shared" si="5"/>
        <v>5.7176470588235295</v>
      </c>
      <c r="N6" s="1">
        <v>300</v>
      </c>
    </row>
    <row r="7" spans="1:25" ht="15" customHeight="1" thickTop="1" thickBot="1">
      <c r="A7" s="15" t="s">
        <v>47</v>
      </c>
      <c r="B7" s="15" t="s">
        <v>106</v>
      </c>
      <c r="C7" s="16" t="s">
        <v>16</v>
      </c>
      <c r="D7" s="20">
        <f t="shared" si="0"/>
        <v>6</v>
      </c>
      <c r="E7" s="17">
        <f t="shared" si="1"/>
        <v>162</v>
      </c>
      <c r="F7" s="18">
        <v>1</v>
      </c>
      <c r="G7" s="17">
        <f t="shared" si="2"/>
        <v>972</v>
      </c>
      <c r="H7" s="80">
        <f t="shared" si="3"/>
        <v>972</v>
      </c>
      <c r="I7" s="23">
        <f>VLOOKUP(B7,Ordering!$A$1:$J$83,6,FALSE)</f>
        <v>1</v>
      </c>
      <c r="J7" s="23">
        <f>VLOOKUP(B7,Ordering!$A$1:$J$83,10,FALSE)</f>
        <v>0</v>
      </c>
      <c r="K7" s="23">
        <f t="shared" si="4"/>
        <v>0.97199999999999998</v>
      </c>
      <c r="L7" s="92">
        <f t="shared" si="5"/>
        <v>0</v>
      </c>
      <c r="N7" s="1">
        <v>300</v>
      </c>
    </row>
    <row r="8" spans="1:25" ht="15" customHeight="1" thickTop="1" thickBot="1">
      <c r="A8" s="15" t="s">
        <v>30</v>
      </c>
      <c r="B8" s="15" t="s">
        <v>100</v>
      </c>
      <c r="C8" s="22" t="s">
        <v>15</v>
      </c>
      <c r="D8" s="29">
        <f t="shared" si="0"/>
        <v>0.14000000000000001</v>
      </c>
      <c r="E8" s="17">
        <f t="shared" si="1"/>
        <v>162</v>
      </c>
      <c r="F8" s="18">
        <v>1</v>
      </c>
      <c r="G8" s="17">
        <f t="shared" si="2"/>
        <v>22.680000000000003</v>
      </c>
      <c r="H8" s="80">
        <f t="shared" si="3"/>
        <v>22.680000000000003</v>
      </c>
      <c r="I8" s="23">
        <f>VLOOKUP(B8,Ordering!$A$1:$J$83,6,FALSE)</f>
        <v>1</v>
      </c>
      <c r="J8" s="23">
        <f>VLOOKUP(B8,Ordering!$A$1:$J$83,10,FALSE)</f>
        <v>0.43333333333333335</v>
      </c>
      <c r="K8" s="23">
        <f t="shared" ref="K8" si="6">H8/I8</f>
        <v>22.680000000000003</v>
      </c>
      <c r="L8" s="92">
        <f t="shared" si="5"/>
        <v>9.8280000000000012</v>
      </c>
      <c r="N8" s="1">
        <v>7</v>
      </c>
      <c r="V8" s="86" t="s">
        <v>193</v>
      </c>
      <c r="W8" s="87">
        <v>1</v>
      </c>
      <c r="X8" s="86" t="s">
        <v>14</v>
      </c>
      <c r="Y8" s="88">
        <f>SUM(L5:L12)/S15</f>
        <v>0.7407607843137255</v>
      </c>
    </row>
    <row r="9" spans="1:25" ht="15" customHeight="1" thickTop="1" thickBot="1">
      <c r="A9" s="15" t="s">
        <v>49</v>
      </c>
      <c r="B9" s="15" t="s">
        <v>250</v>
      </c>
      <c r="C9" s="16" t="s">
        <v>17</v>
      </c>
      <c r="D9" s="20">
        <f t="shared" si="0"/>
        <v>10</v>
      </c>
      <c r="E9" s="17">
        <f t="shared" si="1"/>
        <v>162</v>
      </c>
      <c r="F9" s="18">
        <v>1</v>
      </c>
      <c r="G9" s="17">
        <f t="shared" si="2"/>
        <v>1620</v>
      </c>
      <c r="H9" s="80">
        <f t="shared" si="3"/>
        <v>1620</v>
      </c>
      <c r="I9" s="23">
        <f>VLOOKUP(B9,Ordering!$A$1:$J$83,6,FALSE)</f>
        <v>1</v>
      </c>
      <c r="J9" s="23">
        <f>VLOOKUP(B9,Ordering!$A$1:$J$83,10,FALSE)</f>
        <v>19.75</v>
      </c>
      <c r="K9" s="23">
        <f t="shared" ref="K9:K12" si="7">((H9/(I9))/1000)</f>
        <v>1.62</v>
      </c>
      <c r="L9" s="92">
        <f t="shared" si="5"/>
        <v>31.995000000000001</v>
      </c>
      <c r="N9" s="1">
        <v>500</v>
      </c>
    </row>
    <row r="10" spans="1:25" ht="15" customHeight="1" thickTop="1" thickBot="1">
      <c r="A10" s="14" t="s">
        <v>30</v>
      </c>
      <c r="B10" s="15" t="s">
        <v>101</v>
      </c>
      <c r="C10" s="16" t="s">
        <v>16</v>
      </c>
      <c r="D10" s="20">
        <f t="shared" si="0"/>
        <v>10</v>
      </c>
      <c r="E10" s="17">
        <f t="shared" si="1"/>
        <v>162</v>
      </c>
      <c r="F10" s="18">
        <v>1</v>
      </c>
      <c r="G10" s="17">
        <f t="shared" si="2"/>
        <v>1620</v>
      </c>
      <c r="H10" s="80">
        <f t="shared" si="3"/>
        <v>1620</v>
      </c>
      <c r="I10" s="23">
        <f>VLOOKUP(B10,Ordering!$A$1:$J$83,6,FALSE)</f>
        <v>1</v>
      </c>
      <c r="J10" s="23">
        <f>VLOOKUP(B10,Ordering!$A$1:$J$83,10,FALSE)</f>
        <v>4.2033333333333331</v>
      </c>
      <c r="K10" s="23">
        <f t="shared" si="7"/>
        <v>1.62</v>
      </c>
      <c r="L10" s="92">
        <f t="shared" si="5"/>
        <v>6.8094000000000001</v>
      </c>
      <c r="N10" s="1">
        <v>500</v>
      </c>
      <c r="R10" s="163" t="s">
        <v>68</v>
      </c>
      <c r="S10" s="164"/>
    </row>
    <row r="11" spans="1:25" ht="15" customHeight="1" thickTop="1" thickBot="1">
      <c r="A11" s="14" t="s">
        <v>30</v>
      </c>
      <c r="B11" s="15" t="s">
        <v>229</v>
      </c>
      <c r="C11" s="16" t="s">
        <v>17</v>
      </c>
      <c r="D11" s="20">
        <f t="shared" si="0"/>
        <v>10</v>
      </c>
      <c r="E11" s="17">
        <f t="shared" si="1"/>
        <v>162</v>
      </c>
      <c r="F11" s="18">
        <v>1</v>
      </c>
      <c r="G11" s="17">
        <f t="shared" si="2"/>
        <v>1620</v>
      </c>
      <c r="H11" s="80">
        <f t="shared" si="3"/>
        <v>1620</v>
      </c>
      <c r="I11" s="23">
        <f>VLOOKUP(B11,Ordering!$A$1:$J$83,6,FALSE)</f>
        <v>1</v>
      </c>
      <c r="J11" s="23">
        <f>VLOOKUP(B11,Ordering!$A$1:$J$83,10,FALSE)</f>
        <v>20</v>
      </c>
      <c r="K11" s="23">
        <f t="shared" si="7"/>
        <v>1.62</v>
      </c>
      <c r="L11" s="92">
        <f t="shared" si="5"/>
        <v>32.400000000000006</v>
      </c>
      <c r="N11" s="1">
        <v>500</v>
      </c>
      <c r="R11" s="163" t="s">
        <v>18</v>
      </c>
      <c r="S11" s="164"/>
    </row>
    <row r="12" spans="1:25" ht="15" customHeight="1" thickTop="1" thickBot="1">
      <c r="A12" s="14" t="s">
        <v>51</v>
      </c>
      <c r="B12" s="15" t="s">
        <v>233</v>
      </c>
      <c r="C12" s="16" t="s">
        <v>17</v>
      </c>
      <c r="D12" s="20">
        <f t="shared" si="0"/>
        <v>0.2</v>
      </c>
      <c r="E12" s="17">
        <f t="shared" si="1"/>
        <v>162</v>
      </c>
      <c r="F12" s="18">
        <v>1</v>
      </c>
      <c r="G12" s="17">
        <f t="shared" si="2"/>
        <v>32.4</v>
      </c>
      <c r="H12" s="80">
        <f t="shared" si="3"/>
        <v>32.4</v>
      </c>
      <c r="I12" s="23">
        <f>VLOOKUP(B12,Ordering!$A$1:$J$83,6,FALSE)</f>
        <v>1</v>
      </c>
      <c r="J12" s="23">
        <f>VLOOKUP(B12,Ordering!$A$1:$J$83,10,FALSE)</f>
        <v>93</v>
      </c>
      <c r="K12" s="23">
        <f t="shared" si="7"/>
        <v>3.2399999999999998E-2</v>
      </c>
      <c r="L12" s="92">
        <f t="shared" si="5"/>
        <v>3.0131999999999999</v>
      </c>
      <c r="N12" s="1">
        <v>10</v>
      </c>
      <c r="R12" s="5" t="s">
        <v>19</v>
      </c>
      <c r="S12" s="5" t="s">
        <v>20</v>
      </c>
    </row>
    <row r="13" spans="1:25" ht="15" customHeight="1" thickTop="1">
      <c r="C13" s="25"/>
      <c r="D13" s="25"/>
      <c r="R13" s="5" t="s">
        <v>21</v>
      </c>
      <c r="S13" s="47">
        <f>V1</f>
        <v>160</v>
      </c>
    </row>
    <row r="14" spans="1:25" ht="14.75" customHeight="1">
      <c r="C14" s="25"/>
      <c r="D14" s="25"/>
      <c r="R14" s="5" t="s">
        <v>22</v>
      </c>
      <c r="S14" s="14">
        <v>2</v>
      </c>
    </row>
    <row r="15" spans="1:25">
      <c r="C15" s="25"/>
      <c r="D15" s="25"/>
      <c r="R15" s="5" t="s">
        <v>23</v>
      </c>
      <c r="S15" s="48">
        <f>S13+S14</f>
        <v>162</v>
      </c>
    </row>
    <row r="16" spans="1:25">
      <c r="C16" s="25"/>
      <c r="D16" s="25"/>
      <c r="R16" s="89" t="s">
        <v>14</v>
      </c>
      <c r="S16" s="90">
        <f>SUM(L5:L12)</f>
        <v>120.00324705882353</v>
      </c>
    </row>
    <row r="17" spans="3:4">
      <c r="C17" s="25"/>
      <c r="D17" s="25"/>
    </row>
    <row r="18" spans="3:4">
      <c r="C18" s="25"/>
      <c r="D18" s="25"/>
    </row>
    <row r="19" spans="3:4">
      <c r="C19" s="25"/>
      <c r="D19" s="25"/>
    </row>
    <row r="20" spans="3:4">
      <c r="C20" s="25"/>
      <c r="D20" s="25"/>
    </row>
    <row r="21" spans="3:4">
      <c r="C21" s="25"/>
      <c r="D21" s="25"/>
    </row>
    <row r="22" spans="3:4">
      <c r="C22" s="25"/>
      <c r="D22" s="25"/>
    </row>
    <row r="23" spans="3:4">
      <c r="C23" s="25"/>
      <c r="D23" s="25"/>
    </row>
    <row r="24" spans="3:4">
      <c r="C24" s="25"/>
      <c r="D24" s="25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C641E-DFDB-4AA6-8F39-62D917C2C252}">
  <sheetPr codeName="Sheet36">
    <tabColor theme="5" tint="-0.249977111117893"/>
    <pageSetUpPr fitToPage="1"/>
  </sheetPr>
  <dimension ref="A1:X16"/>
  <sheetViews>
    <sheetView topLeftCell="G1" zoomScale="55" zoomScaleNormal="55" zoomScaleSheetLayoutView="100" workbookViewId="0">
      <selection activeCell="S14" sqref="S14"/>
    </sheetView>
  </sheetViews>
  <sheetFormatPr defaultRowHeight="14.35"/>
  <cols>
    <col min="1" max="1" width="23.05859375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2" max="12" width="20.9375" bestFit="1" customWidth="1"/>
    <col min="18" max="18" width="19.05859375" customWidth="1"/>
    <col min="19" max="19" width="15.937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45</v>
      </c>
      <c r="G1" s="4"/>
      <c r="H1" s="38" t="s">
        <v>2</v>
      </c>
      <c r="I1" s="13">
        <f>F1/B1</f>
        <v>45</v>
      </c>
      <c r="J1" s="4"/>
      <c r="K1" s="38"/>
      <c r="U1" s="123" t="s">
        <v>206</v>
      </c>
      <c r="V1" s="121">
        <v>40</v>
      </c>
    </row>
    <row r="2" spans="1:24" ht="14.25" customHeight="1">
      <c r="A2" s="42"/>
      <c r="B2" s="161"/>
      <c r="C2" s="161"/>
      <c r="D2" s="161"/>
      <c r="E2" s="161"/>
      <c r="F2" s="161"/>
      <c r="G2" s="161"/>
      <c r="H2" s="161"/>
      <c r="I2" s="41"/>
      <c r="J2" s="43"/>
      <c r="K2" s="42"/>
    </row>
    <row r="3" spans="1:24" ht="14.25" customHeight="1">
      <c r="A3" s="46"/>
      <c r="B3" s="162" t="s">
        <v>188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4" ht="39.7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4" ht="15" customHeight="1">
      <c r="A5" s="14"/>
      <c r="B5" s="15" t="s">
        <v>190</v>
      </c>
      <c r="C5" s="14" t="s">
        <v>17</v>
      </c>
      <c r="D5" s="20">
        <v>6.5</v>
      </c>
      <c r="E5" s="17">
        <f t="shared" ref="E5:E7" si="0">$I$1</f>
        <v>45</v>
      </c>
      <c r="F5" s="18">
        <v>1</v>
      </c>
      <c r="G5" s="17">
        <f t="shared" ref="G5:G7" si="1">E5*D5</f>
        <v>292.5</v>
      </c>
      <c r="H5" s="80">
        <f t="shared" ref="H5:H7" si="2">G5*F5</f>
        <v>292.5</v>
      </c>
      <c r="I5" s="14">
        <f>VLOOKUP(B5,Ordering!$A$1:$J$83,6,FALSE)</f>
        <v>1</v>
      </c>
      <c r="J5" s="92">
        <f>VLOOKUP(B5,Ordering!$A$1:$J$83,10,FALSE)</f>
        <v>40</v>
      </c>
      <c r="K5" s="23">
        <f t="shared" ref="K5:K7" si="3">((H5/(I5))/1000)</f>
        <v>0.29249999999999998</v>
      </c>
      <c r="L5" s="92">
        <f t="shared" ref="L5:L7" si="4">J5*K5</f>
        <v>11.7</v>
      </c>
    </row>
    <row r="6" spans="1:24" ht="15" customHeight="1">
      <c r="A6" s="14"/>
      <c r="B6" s="15" t="s">
        <v>200</v>
      </c>
      <c r="C6" s="14" t="s">
        <v>17</v>
      </c>
      <c r="D6" s="20">
        <v>12.4</v>
      </c>
      <c r="E6" s="17">
        <f t="shared" si="0"/>
        <v>45</v>
      </c>
      <c r="F6" s="18">
        <v>1</v>
      </c>
      <c r="G6" s="17">
        <f t="shared" si="1"/>
        <v>558</v>
      </c>
      <c r="H6" s="105">
        <f t="shared" si="2"/>
        <v>558</v>
      </c>
      <c r="I6" s="106">
        <f>VLOOKUP(B6,Ordering!$A$1:$J$83,6,FALSE)</f>
        <v>1</v>
      </c>
      <c r="J6" s="106">
        <f>VLOOKUP(B6,Ordering!$A$1:$J$83,10,FALSE)</f>
        <v>51</v>
      </c>
      <c r="K6" s="96">
        <f t="shared" si="3"/>
        <v>0.55800000000000005</v>
      </c>
      <c r="L6" s="95">
        <f t="shared" si="4"/>
        <v>28.458000000000002</v>
      </c>
    </row>
    <row r="7" spans="1:24" ht="15" customHeight="1">
      <c r="A7" s="14"/>
      <c r="B7" s="15" t="s">
        <v>241</v>
      </c>
      <c r="C7" s="14" t="s">
        <v>17</v>
      </c>
      <c r="D7" s="20">
        <v>5</v>
      </c>
      <c r="E7" s="17">
        <f t="shared" si="0"/>
        <v>45</v>
      </c>
      <c r="F7" s="18">
        <v>1</v>
      </c>
      <c r="G7" s="17">
        <f t="shared" si="1"/>
        <v>225</v>
      </c>
      <c r="H7" s="105">
        <f t="shared" si="2"/>
        <v>225</v>
      </c>
      <c r="I7" s="106">
        <f>VLOOKUP(B7,Ordering!$A$1:$J$83,6,FALSE)</f>
        <v>1</v>
      </c>
      <c r="J7" s="106">
        <f>VLOOKUP(B7,Ordering!$A$1:$J$83,10,FALSE)</f>
        <v>41</v>
      </c>
      <c r="K7" s="96">
        <f t="shared" si="3"/>
        <v>0.22500000000000001</v>
      </c>
      <c r="L7" s="95">
        <f t="shared" si="4"/>
        <v>9.2249999999999996</v>
      </c>
    </row>
    <row r="8" spans="1:24" ht="15" customHeight="1">
      <c r="U8" s="86" t="s">
        <v>193</v>
      </c>
      <c r="V8" s="87">
        <v>1</v>
      </c>
      <c r="W8" s="86" t="s">
        <v>14</v>
      </c>
      <c r="X8" s="88">
        <f>SUM(L5:L7)/S15</f>
        <v>1.0974000000000002</v>
      </c>
    </row>
    <row r="9" spans="1:24" ht="15" customHeight="1"/>
    <row r="10" spans="1:24" ht="15" customHeight="1">
      <c r="R10" s="163" t="s">
        <v>188</v>
      </c>
      <c r="S10" s="164"/>
    </row>
    <row r="11" spans="1:24" ht="15" customHeight="1">
      <c r="R11" s="163" t="s">
        <v>189</v>
      </c>
      <c r="S11" s="164"/>
    </row>
    <row r="12" spans="1:24" ht="15" customHeight="1">
      <c r="R12" s="5" t="s">
        <v>19</v>
      </c>
      <c r="S12" s="5" t="s">
        <v>20</v>
      </c>
    </row>
    <row r="13" spans="1:24" ht="15" customHeight="1">
      <c r="R13" s="5" t="s">
        <v>21</v>
      </c>
      <c r="S13" s="47">
        <f>V1</f>
        <v>40</v>
      </c>
    </row>
    <row r="14" spans="1:24" ht="14.75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45</v>
      </c>
    </row>
    <row r="16" spans="1:24">
      <c r="R16" s="89" t="s">
        <v>14</v>
      </c>
      <c r="S16" s="90">
        <f>SUM(L5:L7)</f>
        <v>49.383000000000003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38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2">
    <tabColor theme="4" tint="-0.249977111117893"/>
    <pageSetUpPr fitToPage="1"/>
  </sheetPr>
  <dimension ref="A1:Y16"/>
  <sheetViews>
    <sheetView zoomScale="70" zoomScaleNormal="70" zoomScaleSheetLayoutView="100" workbookViewId="0">
      <selection activeCell="S14" sqref="S14"/>
    </sheetView>
  </sheetViews>
  <sheetFormatPr defaultRowHeight="14.35"/>
  <cols>
    <col min="1" max="1" width="23.64453125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9" max="9" width="9.8203125" customWidth="1"/>
    <col min="10" max="10" width="14.41015625" customWidth="1"/>
    <col min="18" max="18" width="15.46875" customWidth="1"/>
    <col min="19" max="19" width="8.468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115</v>
      </c>
      <c r="G1" s="4"/>
      <c r="H1" s="38" t="s">
        <v>2</v>
      </c>
      <c r="I1" s="13">
        <f>F1/B1</f>
        <v>115</v>
      </c>
      <c r="J1" s="4"/>
      <c r="K1" s="38"/>
      <c r="U1" s="123" t="s">
        <v>206</v>
      </c>
      <c r="V1" s="121">
        <v>113</v>
      </c>
    </row>
    <row r="2" spans="1:25" ht="14.25" customHeight="1">
      <c r="A2" s="42" t="s">
        <v>44</v>
      </c>
      <c r="B2" s="161" t="s">
        <v>44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73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30</v>
      </c>
      <c r="B5" s="15" t="s">
        <v>100</v>
      </c>
      <c r="C5" s="14" t="s">
        <v>15</v>
      </c>
      <c r="D5" s="20">
        <f t="shared" ref="D5:D12" si="0">N5/70</f>
        <v>0.14285714285714285</v>
      </c>
      <c r="E5" s="17">
        <f t="shared" ref="E5:E12" si="1">$I$1</f>
        <v>115</v>
      </c>
      <c r="F5" s="18">
        <v>1</v>
      </c>
      <c r="G5" s="17">
        <f t="shared" ref="G5:G12" si="2">E5*D5</f>
        <v>16.428571428571427</v>
      </c>
      <c r="H5" s="80">
        <f t="shared" ref="H5:H12" si="3">G5*F5</f>
        <v>16.428571428571427</v>
      </c>
      <c r="I5" s="15">
        <f>VLOOKUP(B5,Ordering!$A$1:$J$83,6,FALSE)</f>
        <v>1</v>
      </c>
      <c r="J5" s="15">
        <f>VLOOKUP(B5,Ordering!$A$1:$J$83,10,FALSE)</f>
        <v>0.43333333333333335</v>
      </c>
      <c r="K5" s="15">
        <f>H5/I5</f>
        <v>16.428571428571427</v>
      </c>
      <c r="L5" s="92">
        <f t="shared" ref="L5:L11" si="4">J5*K5</f>
        <v>7.1190476190476186</v>
      </c>
      <c r="N5" s="1">
        <v>10</v>
      </c>
    </row>
    <row r="6" spans="1:25" ht="15" customHeight="1" thickTop="1" thickBot="1">
      <c r="A6" s="15" t="s">
        <v>46</v>
      </c>
      <c r="B6" s="15" t="s">
        <v>123</v>
      </c>
      <c r="C6" s="14" t="s">
        <v>17</v>
      </c>
      <c r="D6" s="20">
        <f t="shared" si="0"/>
        <v>8.9285714285714288</v>
      </c>
      <c r="E6" s="17">
        <f t="shared" si="1"/>
        <v>115</v>
      </c>
      <c r="F6" s="18">
        <v>1</v>
      </c>
      <c r="G6" s="17">
        <f t="shared" si="2"/>
        <v>1026.7857142857142</v>
      </c>
      <c r="H6" s="80">
        <f t="shared" si="3"/>
        <v>1026.7857142857142</v>
      </c>
      <c r="I6" s="15">
        <f>VLOOKUP(B6,Ordering!$A$1:$J$83,6,FALSE)</f>
        <v>1</v>
      </c>
      <c r="J6" s="15">
        <f>VLOOKUP(B6,Ordering!$A$1:$J$83,10,FALSE)</f>
        <v>6.5</v>
      </c>
      <c r="K6" s="23">
        <f t="shared" ref="K6:K11" si="5">((H6/(I6))/1000)</f>
        <v>1.0267857142857142</v>
      </c>
      <c r="L6" s="92">
        <f t="shared" si="4"/>
        <v>6.6741071428571423</v>
      </c>
      <c r="N6" s="1">
        <v>625</v>
      </c>
    </row>
    <row r="7" spans="1:25" ht="15" customHeight="1" thickTop="1" thickBot="1">
      <c r="A7" s="15" t="s">
        <v>47</v>
      </c>
      <c r="B7" s="15" t="s">
        <v>126</v>
      </c>
      <c r="C7" s="14" t="s">
        <v>16</v>
      </c>
      <c r="D7" s="20">
        <f t="shared" si="0"/>
        <v>8.9285714285714288</v>
      </c>
      <c r="E7" s="17">
        <f t="shared" si="1"/>
        <v>115</v>
      </c>
      <c r="F7" s="18">
        <v>1</v>
      </c>
      <c r="G7" s="17">
        <f t="shared" si="2"/>
        <v>1026.7857142857142</v>
      </c>
      <c r="H7" s="80">
        <f t="shared" si="3"/>
        <v>1026.7857142857142</v>
      </c>
      <c r="I7" s="15">
        <f>VLOOKUP(B7,Ordering!$A$1:$J$83,6,FALSE)</f>
        <v>1</v>
      </c>
      <c r="J7" s="15">
        <f>VLOOKUP(B7,Ordering!$A$1:$J$83,10,FALSE)</f>
        <v>5.882352941176471</v>
      </c>
      <c r="K7" s="23">
        <f t="shared" si="5"/>
        <v>1.0267857142857142</v>
      </c>
      <c r="L7" s="92">
        <f t="shared" si="4"/>
        <v>6.0399159663865545</v>
      </c>
      <c r="N7" s="1">
        <v>625</v>
      </c>
    </row>
    <row r="8" spans="1:25" ht="15" customHeight="1" thickTop="1" thickBot="1">
      <c r="A8" s="15" t="s">
        <v>48</v>
      </c>
      <c r="B8" s="15" t="s">
        <v>114</v>
      </c>
      <c r="C8" s="14" t="s">
        <v>17</v>
      </c>
      <c r="D8" s="20">
        <f t="shared" si="0"/>
        <v>17.857142857142858</v>
      </c>
      <c r="E8" s="17">
        <f t="shared" si="1"/>
        <v>115</v>
      </c>
      <c r="F8" s="18">
        <v>1</v>
      </c>
      <c r="G8" s="17">
        <f t="shared" si="2"/>
        <v>2053.5714285714284</v>
      </c>
      <c r="H8" s="80">
        <f t="shared" si="3"/>
        <v>2053.5714285714284</v>
      </c>
      <c r="I8" s="15">
        <f>VLOOKUP(B8,Ordering!$A$1:$J$83,6,FALSE)</f>
        <v>1</v>
      </c>
      <c r="J8" s="15">
        <f>VLOOKUP(B8,Ordering!$A$1:$J$83,10,FALSE)</f>
        <v>1.7</v>
      </c>
      <c r="K8" s="23">
        <f t="shared" si="5"/>
        <v>2.0535714285714284</v>
      </c>
      <c r="L8" s="92">
        <f t="shared" si="4"/>
        <v>3.4910714285714279</v>
      </c>
      <c r="N8" s="1">
        <v>1250</v>
      </c>
      <c r="V8" s="86" t="s">
        <v>193</v>
      </c>
      <c r="W8" s="87">
        <v>1</v>
      </c>
      <c r="X8" s="86" t="s">
        <v>14</v>
      </c>
      <c r="Y8" s="88">
        <f>SUM(L5:L12)/S15</f>
        <v>0.45471312560111754</v>
      </c>
    </row>
    <row r="9" spans="1:25" ht="15" customHeight="1" thickTop="1" thickBot="1">
      <c r="A9" s="15" t="s">
        <v>47</v>
      </c>
      <c r="B9" s="15" t="s">
        <v>235</v>
      </c>
      <c r="C9" s="14" t="s">
        <v>17</v>
      </c>
      <c r="D9" s="20">
        <f t="shared" si="0"/>
        <v>0.7142857142857143</v>
      </c>
      <c r="E9" s="17">
        <f t="shared" si="1"/>
        <v>115</v>
      </c>
      <c r="F9" s="18">
        <v>1</v>
      </c>
      <c r="G9" s="17">
        <f t="shared" si="2"/>
        <v>82.142857142857139</v>
      </c>
      <c r="H9" s="80">
        <f t="shared" si="3"/>
        <v>82.142857142857139</v>
      </c>
      <c r="I9" s="15">
        <f>VLOOKUP(B9,Ordering!$A$1:$J$83,6,FALSE)</f>
        <v>1</v>
      </c>
      <c r="J9" s="15">
        <f>VLOOKUP(B9,Ordering!$A$1:$J$83,10,FALSE)</f>
        <v>7.9</v>
      </c>
      <c r="K9" s="23">
        <f t="shared" si="5"/>
        <v>8.2142857142857142E-2</v>
      </c>
      <c r="L9" s="92">
        <f t="shared" si="4"/>
        <v>0.64892857142857141</v>
      </c>
      <c r="N9" s="1">
        <v>50</v>
      </c>
    </row>
    <row r="10" spans="1:25" ht="15" customHeight="1" thickTop="1" thickBot="1">
      <c r="A10" s="14" t="s">
        <v>47</v>
      </c>
      <c r="B10" s="15" t="s">
        <v>232</v>
      </c>
      <c r="C10" s="14" t="s">
        <v>17</v>
      </c>
      <c r="D10" s="20">
        <f t="shared" si="0"/>
        <v>0.2857142857142857</v>
      </c>
      <c r="E10" s="17">
        <f t="shared" si="1"/>
        <v>115</v>
      </c>
      <c r="F10" s="18">
        <v>1</v>
      </c>
      <c r="G10" s="17">
        <f t="shared" si="2"/>
        <v>32.857142857142854</v>
      </c>
      <c r="H10" s="80">
        <f t="shared" si="3"/>
        <v>32.857142857142854</v>
      </c>
      <c r="I10" s="15">
        <f>VLOOKUP(B10,Ordering!$A$1:$J$83,6,FALSE)</f>
        <v>1</v>
      </c>
      <c r="J10" s="15">
        <f>VLOOKUP(B10,Ordering!$A$1:$J$83,10,FALSE)</f>
        <v>24.305555555555557</v>
      </c>
      <c r="K10" s="23">
        <f t="shared" si="5"/>
        <v>3.2857142857142856E-2</v>
      </c>
      <c r="L10" s="92">
        <f t="shared" si="4"/>
        <v>0.79861111111111116</v>
      </c>
      <c r="N10" s="1">
        <v>20</v>
      </c>
      <c r="R10" s="163" t="s">
        <v>69</v>
      </c>
      <c r="S10" s="164"/>
    </row>
    <row r="11" spans="1:25" ht="15" customHeight="1" thickTop="1" thickBot="1">
      <c r="A11" s="14" t="s">
        <v>48</v>
      </c>
      <c r="B11" s="15" t="s">
        <v>122</v>
      </c>
      <c r="C11" s="14" t="s">
        <v>17</v>
      </c>
      <c r="D11" s="20">
        <f t="shared" si="0"/>
        <v>12.142857142857142</v>
      </c>
      <c r="E11" s="17">
        <f t="shared" si="1"/>
        <v>115</v>
      </c>
      <c r="F11" s="18">
        <v>1</v>
      </c>
      <c r="G11" s="17">
        <f t="shared" si="2"/>
        <v>1396.4285714285713</v>
      </c>
      <c r="H11" s="80">
        <f t="shared" si="3"/>
        <v>1396.4285714285713</v>
      </c>
      <c r="I11" s="15">
        <f>VLOOKUP(B11,Ordering!$A$1:$J$83,6,FALSE)</f>
        <v>0.38</v>
      </c>
      <c r="J11" s="15">
        <f>VLOOKUP(B11,Ordering!$A$1:$J$83,10,FALSE)</f>
        <v>4.5</v>
      </c>
      <c r="K11" s="23">
        <f t="shared" si="5"/>
        <v>3.6748120300751874</v>
      </c>
      <c r="L11" s="92">
        <f t="shared" si="4"/>
        <v>16.536654135338342</v>
      </c>
      <c r="N11" s="1">
        <v>850</v>
      </c>
      <c r="R11" s="163" t="s">
        <v>18</v>
      </c>
      <c r="S11" s="164"/>
    </row>
    <row r="12" spans="1:25" ht="15" customHeight="1" thickTop="1" thickBot="1">
      <c r="A12" s="14" t="s">
        <v>201</v>
      </c>
      <c r="B12" s="15" t="s">
        <v>122</v>
      </c>
      <c r="C12" s="14" t="s">
        <v>17</v>
      </c>
      <c r="D12" s="20">
        <f t="shared" si="0"/>
        <v>1.4285714285714286</v>
      </c>
      <c r="E12" s="17">
        <f t="shared" si="1"/>
        <v>115</v>
      </c>
      <c r="F12" s="18">
        <v>1</v>
      </c>
      <c r="G12" s="17">
        <f t="shared" si="2"/>
        <v>164.28571428571428</v>
      </c>
      <c r="H12" s="80">
        <f t="shared" si="3"/>
        <v>164.28571428571428</v>
      </c>
      <c r="I12" s="94">
        <f>70/1040</f>
        <v>6.7307692307692304E-2</v>
      </c>
      <c r="J12" s="15">
        <f>VLOOKUP(B12,Ordering!$A$1:$J$83,10,FALSE)</f>
        <v>4.5</v>
      </c>
      <c r="K12" s="23">
        <f t="shared" ref="K12" si="6">((H12/(I12))/1000)</f>
        <v>2.4408163265306122</v>
      </c>
      <c r="L12" s="92">
        <f t="shared" ref="L12" si="7">J12*K12</f>
        <v>10.983673469387755</v>
      </c>
      <c r="N12" s="1">
        <v>100</v>
      </c>
      <c r="R12" s="5" t="s">
        <v>19</v>
      </c>
      <c r="S12" s="5" t="s">
        <v>20</v>
      </c>
    </row>
    <row r="13" spans="1:25" ht="15" customHeight="1" thickTop="1">
      <c r="R13" s="5" t="s">
        <v>21</v>
      </c>
      <c r="S13" s="47">
        <f>V1</f>
        <v>113</v>
      </c>
    </row>
    <row r="14" spans="1:25" ht="14.75" customHeight="1">
      <c r="R14" s="5" t="s">
        <v>22</v>
      </c>
      <c r="S14" s="14">
        <v>2</v>
      </c>
    </row>
    <row r="15" spans="1:25">
      <c r="R15" s="5" t="s">
        <v>23</v>
      </c>
      <c r="S15" s="48">
        <f>S13+S14</f>
        <v>115</v>
      </c>
    </row>
    <row r="16" spans="1:25">
      <c r="R16" s="89" t="s">
        <v>14</v>
      </c>
      <c r="S16" s="90">
        <f>SUM(L5:L12)</f>
        <v>52.292009444128517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3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2">
    <tabColor theme="4" tint="-0.249977111117893"/>
    <pageSetUpPr fitToPage="1"/>
  </sheetPr>
  <dimension ref="A1:Y16"/>
  <sheetViews>
    <sheetView zoomScale="55" zoomScaleNormal="55" zoomScaleSheetLayoutView="100" workbookViewId="0">
      <selection activeCell="S14" sqref="S14"/>
    </sheetView>
  </sheetViews>
  <sheetFormatPr defaultRowHeight="14.3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5.8203125" customWidth="1"/>
    <col min="19" max="19" width="8.468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191</v>
      </c>
      <c r="G1" s="4"/>
      <c r="H1" s="38" t="s">
        <v>2</v>
      </c>
      <c r="I1" s="13">
        <f>F1/B1</f>
        <v>191</v>
      </c>
      <c r="J1" s="4"/>
      <c r="K1" s="38"/>
      <c r="U1" s="123" t="s">
        <v>206</v>
      </c>
      <c r="V1" s="121">
        <v>189</v>
      </c>
    </row>
    <row r="2" spans="1:25" ht="14.25" customHeight="1">
      <c r="A2" s="42"/>
      <c r="B2" s="161" t="s">
        <v>36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72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47</v>
      </c>
      <c r="B5" s="15" t="s">
        <v>106</v>
      </c>
      <c r="C5" s="15" t="s">
        <v>16</v>
      </c>
      <c r="D5" s="20">
        <f t="shared" ref="D5:D12" si="0">N5/70</f>
        <v>10</v>
      </c>
      <c r="E5" s="17">
        <f t="shared" ref="E5:E16" si="1">$I$1</f>
        <v>191</v>
      </c>
      <c r="F5" s="18">
        <v>1</v>
      </c>
      <c r="G5" s="17">
        <f t="shared" ref="G5:G15" si="2">E5*D5</f>
        <v>1910</v>
      </c>
      <c r="H5" s="80">
        <f t="shared" ref="H5:H15" si="3">G5*F5</f>
        <v>1910</v>
      </c>
      <c r="I5" s="23">
        <f>VLOOKUP(B5,Ordering!$A$1:$J$83,6,FALSE)</f>
        <v>1</v>
      </c>
      <c r="J5" s="23">
        <f>VLOOKUP(B5,Ordering!$A$1:$J$83,10,FALSE)</f>
        <v>0</v>
      </c>
      <c r="K5" s="23">
        <f t="shared" ref="K5:K16" si="4">((H5/(I5))/1000)</f>
        <v>1.91</v>
      </c>
      <c r="L5" s="92">
        <f t="shared" ref="L5:L16" si="5">J5*K5</f>
        <v>0</v>
      </c>
      <c r="N5" s="3">
        <v>700</v>
      </c>
    </row>
    <row r="6" spans="1:25" ht="15" customHeight="1" thickTop="1" thickBot="1">
      <c r="A6" s="15" t="s">
        <v>47</v>
      </c>
      <c r="B6" s="15" t="s">
        <v>126</v>
      </c>
      <c r="C6" s="15" t="s">
        <v>17</v>
      </c>
      <c r="D6" s="20">
        <f t="shared" si="0"/>
        <v>9.6428571428571423</v>
      </c>
      <c r="E6" s="17">
        <f t="shared" si="1"/>
        <v>191</v>
      </c>
      <c r="F6" s="18">
        <v>1</v>
      </c>
      <c r="G6" s="17">
        <f t="shared" si="2"/>
        <v>1841.7857142857142</v>
      </c>
      <c r="H6" s="80">
        <f t="shared" si="3"/>
        <v>1841.7857142857142</v>
      </c>
      <c r="I6" s="23">
        <f>VLOOKUP(B6,Ordering!$A$1:$J$83,6,FALSE)</f>
        <v>1</v>
      </c>
      <c r="J6" s="23">
        <f>VLOOKUP(B6,Ordering!$A$1:$J$83,10,FALSE)</f>
        <v>5.882352941176471</v>
      </c>
      <c r="K6" s="23">
        <f t="shared" si="4"/>
        <v>1.8417857142857141</v>
      </c>
      <c r="L6" s="92">
        <f t="shared" si="5"/>
        <v>10.834033613445378</v>
      </c>
      <c r="N6" s="3">
        <v>675</v>
      </c>
    </row>
    <row r="7" spans="1:25" ht="15" customHeight="1" thickTop="1" thickBot="1">
      <c r="A7" s="15" t="s">
        <v>46</v>
      </c>
      <c r="B7" s="15" t="s">
        <v>247</v>
      </c>
      <c r="C7" s="15" t="s">
        <v>17</v>
      </c>
      <c r="D7" s="20">
        <f t="shared" si="0"/>
        <v>2.8571428571428572</v>
      </c>
      <c r="E7" s="17">
        <f t="shared" si="1"/>
        <v>191</v>
      </c>
      <c r="F7" s="18">
        <v>1</v>
      </c>
      <c r="G7" s="17">
        <f t="shared" si="2"/>
        <v>545.71428571428578</v>
      </c>
      <c r="H7" s="80">
        <f t="shared" si="3"/>
        <v>545.71428571428578</v>
      </c>
      <c r="I7" s="23">
        <f>VLOOKUP(B7,Ordering!$A$1:$J$83,6,FALSE)</f>
        <v>1</v>
      </c>
      <c r="J7" s="23">
        <f>VLOOKUP(B7,Ordering!$A$1:$J$83,10,FALSE)</f>
        <v>2.7</v>
      </c>
      <c r="K7" s="23">
        <f t="shared" si="4"/>
        <v>0.54571428571428582</v>
      </c>
      <c r="L7" s="92">
        <f t="shared" si="5"/>
        <v>1.4734285714285718</v>
      </c>
      <c r="N7" s="3">
        <v>200</v>
      </c>
    </row>
    <row r="8" spans="1:25" ht="15" customHeight="1" thickTop="1" thickBot="1">
      <c r="A8" s="15" t="s">
        <v>51</v>
      </c>
      <c r="B8" s="15" t="s">
        <v>117</v>
      </c>
      <c r="C8" s="15" t="s">
        <v>17</v>
      </c>
      <c r="D8" s="20">
        <f t="shared" si="0"/>
        <v>7.1428571428571425E-2</v>
      </c>
      <c r="E8" s="17">
        <f t="shared" si="1"/>
        <v>191</v>
      </c>
      <c r="F8" s="18">
        <v>1</v>
      </c>
      <c r="G8" s="17">
        <f t="shared" si="2"/>
        <v>13.642857142857142</v>
      </c>
      <c r="H8" s="80">
        <f t="shared" si="3"/>
        <v>13.642857142857142</v>
      </c>
      <c r="I8" s="23">
        <f>VLOOKUP(B8,Ordering!$A$1:$J$83,6,FALSE)</f>
        <v>1</v>
      </c>
      <c r="J8" s="23">
        <f>VLOOKUP(B8,Ordering!$A$1:$J$83,10,FALSE)</f>
        <v>14</v>
      </c>
      <c r="K8" s="23">
        <f t="shared" si="4"/>
        <v>1.3642857142857142E-2</v>
      </c>
      <c r="L8" s="92">
        <f t="shared" si="5"/>
        <v>0.191</v>
      </c>
      <c r="N8" s="3">
        <v>5</v>
      </c>
      <c r="V8" s="86" t="s">
        <v>193</v>
      </c>
      <c r="W8" s="87">
        <v>1</v>
      </c>
      <c r="X8" s="86" t="s">
        <v>14</v>
      </c>
      <c r="Y8" s="88">
        <f>SUM(L5:L16)/S15</f>
        <v>0.29327864145658267</v>
      </c>
    </row>
    <row r="9" spans="1:25" ht="15" customHeight="1" thickTop="1" thickBot="1">
      <c r="A9" s="15" t="s">
        <v>51</v>
      </c>
      <c r="B9" s="15" t="s">
        <v>118</v>
      </c>
      <c r="C9" s="15" t="s">
        <v>17</v>
      </c>
      <c r="D9" s="20">
        <f t="shared" si="0"/>
        <v>7.1428571428571425E-2</v>
      </c>
      <c r="E9" s="17">
        <f t="shared" si="1"/>
        <v>191</v>
      </c>
      <c r="F9" s="18">
        <v>1</v>
      </c>
      <c r="G9" s="17">
        <f t="shared" si="2"/>
        <v>13.642857142857142</v>
      </c>
      <c r="H9" s="80">
        <f t="shared" si="3"/>
        <v>13.642857142857142</v>
      </c>
      <c r="I9" s="23">
        <f>VLOOKUP(B9,Ordering!$A$1:$J$83,6,FALSE)</f>
        <v>1</v>
      </c>
      <c r="J9" s="23">
        <f>VLOOKUP(B9,Ordering!$A$1:$J$83,10,FALSE)</f>
        <v>107</v>
      </c>
      <c r="K9" s="23">
        <f t="shared" si="4"/>
        <v>1.3642857142857142E-2</v>
      </c>
      <c r="L9" s="92">
        <f t="shared" si="5"/>
        <v>1.4597857142857142</v>
      </c>
      <c r="N9" s="3">
        <v>5</v>
      </c>
    </row>
    <row r="10" spans="1:25" ht="15" customHeight="1" thickTop="1" thickBot="1">
      <c r="A10" s="15" t="s">
        <v>47</v>
      </c>
      <c r="B10" s="15" t="s">
        <v>232</v>
      </c>
      <c r="C10" s="15" t="s">
        <v>17</v>
      </c>
      <c r="D10" s="20">
        <f t="shared" si="0"/>
        <v>0.21428571428571427</v>
      </c>
      <c r="E10" s="17">
        <f t="shared" si="1"/>
        <v>191</v>
      </c>
      <c r="F10" s="18">
        <v>1</v>
      </c>
      <c r="G10" s="17">
        <f t="shared" si="2"/>
        <v>40.928571428571423</v>
      </c>
      <c r="H10" s="80">
        <f t="shared" si="3"/>
        <v>40.928571428571423</v>
      </c>
      <c r="I10" s="23">
        <f>VLOOKUP(B10,Ordering!$A$1:$J$83,6,FALSE)</f>
        <v>1</v>
      </c>
      <c r="J10" s="23">
        <f>VLOOKUP(B10,Ordering!$A$1:$J$83,10,FALSE)</f>
        <v>24.305555555555557</v>
      </c>
      <c r="K10" s="23">
        <f t="shared" si="4"/>
        <v>4.0928571428571425E-2</v>
      </c>
      <c r="L10" s="92">
        <f t="shared" si="5"/>
        <v>0.99479166666666663</v>
      </c>
      <c r="N10" s="3">
        <v>15</v>
      </c>
      <c r="R10" s="163" t="s">
        <v>70</v>
      </c>
      <c r="S10" s="164"/>
    </row>
    <row r="11" spans="1:25" ht="15" customHeight="1" thickTop="1" thickBot="1">
      <c r="A11" s="15" t="s">
        <v>30</v>
      </c>
      <c r="B11" s="15" t="s">
        <v>107</v>
      </c>
      <c r="C11" s="15" t="s">
        <v>17</v>
      </c>
      <c r="D11" s="20">
        <f t="shared" si="0"/>
        <v>5.7142857142857144</v>
      </c>
      <c r="E11" s="17">
        <f t="shared" si="1"/>
        <v>191</v>
      </c>
      <c r="F11" s="18">
        <v>1</v>
      </c>
      <c r="G11" s="17">
        <f t="shared" si="2"/>
        <v>1091.4285714285716</v>
      </c>
      <c r="H11" s="80">
        <f t="shared" si="3"/>
        <v>1091.4285714285716</v>
      </c>
      <c r="I11" s="23">
        <f>VLOOKUP(B11,Ordering!$A$1:$J$83,6,FALSE)</f>
        <v>1</v>
      </c>
      <c r="J11" s="23">
        <f>VLOOKUP(B11,Ordering!$A$1:$J$83,10,FALSE)</f>
        <v>14</v>
      </c>
      <c r="K11" s="23">
        <f t="shared" si="4"/>
        <v>1.0914285714285716</v>
      </c>
      <c r="L11" s="92">
        <f t="shared" si="5"/>
        <v>15.280000000000003</v>
      </c>
      <c r="N11" s="3">
        <v>400</v>
      </c>
      <c r="R11" s="163" t="s">
        <v>18</v>
      </c>
      <c r="S11" s="164"/>
    </row>
    <row r="12" spans="1:25" ht="15" customHeight="1" thickTop="1" thickBot="1">
      <c r="A12" s="15" t="s">
        <v>47</v>
      </c>
      <c r="B12" s="15" t="s">
        <v>235</v>
      </c>
      <c r="C12" s="15" t="s">
        <v>17</v>
      </c>
      <c r="D12" s="20">
        <f t="shared" si="0"/>
        <v>0.2857142857142857</v>
      </c>
      <c r="E12" s="17">
        <f t="shared" si="1"/>
        <v>191</v>
      </c>
      <c r="F12" s="18">
        <v>1</v>
      </c>
      <c r="G12" s="17">
        <f t="shared" si="2"/>
        <v>54.571428571428569</v>
      </c>
      <c r="H12" s="80">
        <f t="shared" si="3"/>
        <v>54.571428571428569</v>
      </c>
      <c r="I12" s="23">
        <f>VLOOKUP(B12,Ordering!$A$1:$J$83,6,FALSE)</f>
        <v>1</v>
      </c>
      <c r="J12" s="23">
        <f>VLOOKUP(B12,Ordering!$A$1:$J$83,10,FALSE)</f>
        <v>7.9</v>
      </c>
      <c r="K12" s="23">
        <f t="shared" si="4"/>
        <v>5.4571428571428569E-2</v>
      </c>
      <c r="L12" s="92">
        <f t="shared" si="5"/>
        <v>0.43111428571428573</v>
      </c>
      <c r="N12" s="3">
        <v>20</v>
      </c>
      <c r="R12" s="5" t="s">
        <v>19</v>
      </c>
      <c r="S12" s="5" t="s">
        <v>20</v>
      </c>
    </row>
    <row r="13" spans="1:25" ht="15" customHeight="1" thickTop="1" thickBot="1">
      <c r="A13" s="15" t="s">
        <v>266</v>
      </c>
      <c r="B13" s="15" t="s">
        <v>252</v>
      </c>
      <c r="C13" s="15" t="s">
        <v>17</v>
      </c>
      <c r="D13" s="20">
        <f>N13/70</f>
        <v>10</v>
      </c>
      <c r="E13" s="17">
        <f t="shared" si="1"/>
        <v>191</v>
      </c>
      <c r="F13" s="18">
        <v>1</v>
      </c>
      <c r="G13" s="17">
        <f t="shared" si="2"/>
        <v>1910</v>
      </c>
      <c r="H13" s="80">
        <f t="shared" si="3"/>
        <v>1910</v>
      </c>
      <c r="I13" s="23">
        <f>VLOOKUP(B13,Ordering!$A$1:$J$83,6,FALSE)</f>
        <v>1</v>
      </c>
      <c r="J13" s="23">
        <f>VLOOKUP(B13,Ordering!$A$1:$J$83,10,FALSE)</f>
        <v>4.333333333333333</v>
      </c>
      <c r="K13" s="23">
        <f t="shared" si="4"/>
        <v>1.91</v>
      </c>
      <c r="L13" s="92">
        <f t="shared" si="5"/>
        <v>8.2766666666666655</v>
      </c>
      <c r="N13" s="3">
        <v>700</v>
      </c>
      <c r="R13" s="5" t="s">
        <v>21</v>
      </c>
      <c r="S13" s="47">
        <f>V1</f>
        <v>189</v>
      </c>
    </row>
    <row r="14" spans="1:25" ht="15" customHeight="1" thickTop="1">
      <c r="A14" s="15"/>
      <c r="B14" s="15" t="s">
        <v>255</v>
      </c>
      <c r="C14" s="15" t="s">
        <v>17</v>
      </c>
      <c r="D14" s="20">
        <v>11.428571428571429</v>
      </c>
      <c r="E14" s="17">
        <f t="shared" si="1"/>
        <v>191</v>
      </c>
      <c r="F14" s="18">
        <v>1</v>
      </c>
      <c r="G14" s="17">
        <f t="shared" ref="G14" si="6">E14*D14</f>
        <v>2182.8571428571431</v>
      </c>
      <c r="H14" s="80">
        <f t="shared" ref="H14" si="7">G14*F14</f>
        <v>2182.8571428571431</v>
      </c>
      <c r="I14" s="23">
        <f>VLOOKUP(B14,Ordering!$A$1:$J$83,6,FALSE)</f>
        <v>1</v>
      </c>
      <c r="J14" s="23">
        <f>VLOOKUP(B14,Ordering!$A$1:$J$83,10,FALSE)</f>
        <v>6.96</v>
      </c>
      <c r="K14" s="23">
        <f t="shared" si="4"/>
        <v>2.1828571428571433</v>
      </c>
      <c r="L14" s="92">
        <f t="shared" si="5"/>
        <v>15.192685714285718</v>
      </c>
      <c r="N14" s="28">
        <v>30</v>
      </c>
      <c r="R14" s="5" t="s">
        <v>22</v>
      </c>
      <c r="S14" s="14">
        <v>2</v>
      </c>
    </row>
    <row r="15" spans="1:25">
      <c r="A15" s="15" t="s">
        <v>51</v>
      </c>
      <c r="B15" s="15" t="s">
        <v>230</v>
      </c>
      <c r="C15" s="15" t="s">
        <v>17</v>
      </c>
      <c r="D15" s="20">
        <f>N14/70</f>
        <v>0.42857142857142855</v>
      </c>
      <c r="E15" s="17">
        <f t="shared" si="1"/>
        <v>191</v>
      </c>
      <c r="F15" s="18">
        <v>1</v>
      </c>
      <c r="G15" s="17">
        <f t="shared" si="2"/>
        <v>81.857142857142847</v>
      </c>
      <c r="H15" s="80">
        <f t="shared" si="3"/>
        <v>81.857142857142847</v>
      </c>
      <c r="I15" s="23">
        <f>VLOOKUP(B15,Ordering!$A$1:$J$83,6,FALSE)</f>
        <v>1</v>
      </c>
      <c r="J15" s="23">
        <f>VLOOKUP(B15,Ordering!$A$1:$J$83,10,FALSE)</f>
        <v>10</v>
      </c>
      <c r="K15" s="23">
        <f t="shared" si="4"/>
        <v>8.1857142857142851E-2</v>
      </c>
      <c r="L15" s="92">
        <f t="shared" si="5"/>
        <v>0.81857142857142851</v>
      </c>
      <c r="N15" s="28">
        <v>30</v>
      </c>
      <c r="R15" s="5" t="s">
        <v>23</v>
      </c>
      <c r="S15" s="48">
        <f>S13+S14</f>
        <v>191</v>
      </c>
    </row>
    <row r="16" spans="1:25">
      <c r="A16" s="15" t="s">
        <v>51</v>
      </c>
      <c r="B16" s="15" t="s">
        <v>116</v>
      </c>
      <c r="C16" s="15" t="s">
        <v>17</v>
      </c>
      <c r="D16" s="20">
        <f>N15/70</f>
        <v>0.42857142857142855</v>
      </c>
      <c r="E16" s="17">
        <f t="shared" si="1"/>
        <v>191</v>
      </c>
      <c r="F16" s="18">
        <v>1</v>
      </c>
      <c r="G16" s="17">
        <f t="shared" ref="G16" si="8">E16*D16</f>
        <v>81.857142857142847</v>
      </c>
      <c r="H16" s="80">
        <f t="shared" ref="H16" si="9">G16*F16</f>
        <v>81.857142857142847</v>
      </c>
      <c r="I16" s="23">
        <f>VLOOKUP(B16,Ordering!$A$1:$J$83,6,FALSE)</f>
        <v>1</v>
      </c>
      <c r="J16" s="23">
        <f>VLOOKUP(B16,Ordering!$A$1:$J$83,10,FALSE)</f>
        <v>13</v>
      </c>
      <c r="K16" s="23">
        <f t="shared" si="4"/>
        <v>8.1857142857142851E-2</v>
      </c>
      <c r="L16" s="92">
        <f t="shared" si="5"/>
        <v>1.0641428571428571</v>
      </c>
      <c r="R16" s="89" t="s">
        <v>14</v>
      </c>
      <c r="S16" s="90">
        <f>SUM(L5:L16)</f>
        <v>56.016220518207291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4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BE277-62A0-4C3A-95A4-0982FDA2B9BF}">
  <sheetPr codeName="Sheet33">
    <tabColor theme="4" tint="-0.249977111117893"/>
    <pageSetUpPr fitToPage="1"/>
  </sheetPr>
  <dimension ref="A1:Y19"/>
  <sheetViews>
    <sheetView zoomScale="55" zoomScaleNormal="55" zoomScaleSheetLayoutView="100" workbookViewId="0">
      <selection activeCell="S14" sqref="S14"/>
    </sheetView>
  </sheetViews>
  <sheetFormatPr defaultRowHeight="14.35"/>
  <cols>
    <col min="1" max="1" width="17.64453125" bestFit="1" customWidth="1"/>
    <col min="2" max="2" width="48.76171875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3.05859375" customWidth="1"/>
    <col min="19" max="19" width="8.468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228</v>
      </c>
      <c r="G1" s="4"/>
      <c r="H1" s="38" t="s">
        <v>2</v>
      </c>
      <c r="I1" s="13">
        <f>F1/B1</f>
        <v>228</v>
      </c>
      <c r="J1" s="4"/>
      <c r="K1" s="38"/>
      <c r="U1" s="123" t="s">
        <v>206</v>
      </c>
      <c r="V1" s="121">
        <v>226</v>
      </c>
    </row>
    <row r="2" spans="1:25" ht="14.25" customHeight="1">
      <c r="A2" s="42"/>
      <c r="B2" s="169" t="s">
        <v>35</v>
      </c>
      <c r="C2" s="169"/>
      <c r="D2" s="169"/>
      <c r="E2" s="169"/>
      <c r="F2" s="169"/>
      <c r="G2" s="169"/>
      <c r="H2" s="169"/>
      <c r="I2" s="41"/>
      <c r="J2" s="43"/>
      <c r="K2" s="42"/>
    </row>
    <row r="3" spans="1:25" ht="14.25" customHeight="1">
      <c r="A3" s="46"/>
      <c r="B3" s="170" t="s">
        <v>71</v>
      </c>
      <c r="C3" s="170"/>
      <c r="D3" s="170"/>
      <c r="E3" s="170"/>
      <c r="F3" s="170"/>
      <c r="G3" s="170"/>
      <c r="H3" s="170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30</v>
      </c>
      <c r="B5" s="15" t="s">
        <v>100</v>
      </c>
      <c r="C5" s="22" t="s">
        <v>15</v>
      </c>
      <c r="D5" s="20">
        <f t="shared" ref="D5:D18" si="0">N5/54</f>
        <v>0.29629629629629628</v>
      </c>
      <c r="E5" s="17">
        <f t="shared" ref="E5:E18" si="1">$I$1</f>
        <v>228</v>
      </c>
      <c r="F5" s="18">
        <v>1</v>
      </c>
      <c r="G5" s="17">
        <f t="shared" ref="G5:G18" si="2">E5*D5</f>
        <v>67.555555555555557</v>
      </c>
      <c r="H5" s="80">
        <f t="shared" ref="H5:H18" si="3">G5*F5</f>
        <v>67.555555555555557</v>
      </c>
      <c r="I5" s="23">
        <f>VLOOKUP(B5,Ordering!$A$1:$J$83,6,FALSE)</f>
        <v>1</v>
      </c>
      <c r="J5" s="23">
        <f>VLOOKUP(B5,Ordering!$A$1:$J$83,10,FALSE)</f>
        <v>0.43333333333333335</v>
      </c>
      <c r="K5" s="23">
        <f>H5/I5</f>
        <v>67.555555555555557</v>
      </c>
      <c r="L5" s="92">
        <f t="shared" ref="L5:L18" si="4">J5*K5</f>
        <v>29.274074074074075</v>
      </c>
      <c r="N5" s="1">
        <v>16</v>
      </c>
    </row>
    <row r="6" spans="1:25" ht="15" customHeight="1" thickTop="1" thickBot="1">
      <c r="A6" s="15" t="s">
        <v>51</v>
      </c>
      <c r="B6" s="15" t="s">
        <v>234</v>
      </c>
      <c r="C6" s="22" t="s">
        <v>17</v>
      </c>
      <c r="D6" s="152">
        <f t="shared" si="0"/>
        <v>3.7037037037037038E-3</v>
      </c>
      <c r="E6" s="17">
        <f t="shared" si="1"/>
        <v>228</v>
      </c>
      <c r="F6" s="18">
        <v>1</v>
      </c>
      <c r="G6" s="17">
        <f t="shared" si="2"/>
        <v>0.84444444444444444</v>
      </c>
      <c r="H6" s="80">
        <f t="shared" si="3"/>
        <v>0.84444444444444444</v>
      </c>
      <c r="I6" s="23">
        <f>VLOOKUP(B6,Ordering!$A$1:$J$83,6,FALSE)</f>
        <v>1</v>
      </c>
      <c r="J6" s="23">
        <f>VLOOKUP(B6,Ordering!$A$1:$J$83,10,FALSE)</f>
        <v>22.5</v>
      </c>
      <c r="K6" s="23">
        <f t="shared" ref="K6:K18" si="5">((H6/(I6))/1000)</f>
        <v>8.4444444444444443E-4</v>
      </c>
      <c r="L6" s="92">
        <f t="shared" si="4"/>
        <v>1.9E-2</v>
      </c>
      <c r="N6" s="1">
        <v>0.2</v>
      </c>
    </row>
    <row r="7" spans="1:25" ht="15" customHeight="1" thickTop="1" thickBot="1">
      <c r="A7" s="15" t="s">
        <v>46</v>
      </c>
      <c r="B7" s="15" t="s">
        <v>247</v>
      </c>
      <c r="C7" s="22" t="s">
        <v>17</v>
      </c>
      <c r="D7" s="20">
        <f t="shared" si="0"/>
        <v>9.2592592592592595</v>
      </c>
      <c r="E7" s="17">
        <f t="shared" si="1"/>
        <v>228</v>
      </c>
      <c r="F7" s="18">
        <v>1</v>
      </c>
      <c r="G7" s="17">
        <f t="shared" si="2"/>
        <v>2111.1111111111113</v>
      </c>
      <c r="H7" s="80">
        <f t="shared" si="3"/>
        <v>2111.1111111111113</v>
      </c>
      <c r="I7" s="23">
        <f>VLOOKUP(B7,Ordering!$A$1:$J$83,6,FALSE)</f>
        <v>1</v>
      </c>
      <c r="J7" s="23">
        <f>VLOOKUP(B7,Ordering!$A$1:$J$83,10,FALSE)</f>
        <v>2.7</v>
      </c>
      <c r="K7" s="23">
        <f t="shared" si="5"/>
        <v>2.1111111111111112</v>
      </c>
      <c r="L7" s="92">
        <f t="shared" si="4"/>
        <v>5.7</v>
      </c>
      <c r="N7" s="1">
        <v>500</v>
      </c>
    </row>
    <row r="8" spans="1:25" ht="15" customHeight="1" thickTop="1" thickBot="1">
      <c r="A8" s="15" t="s">
        <v>30</v>
      </c>
      <c r="B8" s="15" t="s">
        <v>101</v>
      </c>
      <c r="C8" s="22" t="s">
        <v>16</v>
      </c>
      <c r="D8" s="20">
        <f t="shared" si="0"/>
        <v>1.8518518518518519</v>
      </c>
      <c r="E8" s="17">
        <f t="shared" si="1"/>
        <v>228</v>
      </c>
      <c r="F8" s="18">
        <v>1</v>
      </c>
      <c r="G8" s="17">
        <f t="shared" si="2"/>
        <v>422.22222222222223</v>
      </c>
      <c r="H8" s="80">
        <f t="shared" si="3"/>
        <v>422.22222222222223</v>
      </c>
      <c r="I8" s="23">
        <f>VLOOKUP(B8,Ordering!$A$1:$J$83,6,FALSE)</f>
        <v>1</v>
      </c>
      <c r="J8" s="23">
        <f>VLOOKUP(B8,Ordering!$A$1:$J$83,10,FALSE)</f>
        <v>4.2033333333333331</v>
      </c>
      <c r="K8" s="23">
        <f t="shared" si="5"/>
        <v>0.42222222222222222</v>
      </c>
      <c r="L8" s="92">
        <f t="shared" si="4"/>
        <v>1.7747407407407407</v>
      </c>
      <c r="N8" s="1">
        <v>100</v>
      </c>
      <c r="V8" s="86" t="s">
        <v>193</v>
      </c>
      <c r="W8" s="87">
        <v>1</v>
      </c>
      <c r="X8" s="86" t="s">
        <v>14</v>
      </c>
      <c r="Y8" s="103">
        <f>SUM(L5:L18)/S15</f>
        <v>1.3475420924459813</v>
      </c>
    </row>
    <row r="9" spans="1:25" ht="15" customHeight="1" thickTop="1" thickBot="1">
      <c r="A9" s="15" t="s">
        <v>51</v>
      </c>
      <c r="B9" s="15" t="s">
        <v>234</v>
      </c>
      <c r="C9" s="22" t="s">
        <v>17</v>
      </c>
      <c r="D9" s="20">
        <f t="shared" si="0"/>
        <v>3.7037037037037035E-2</v>
      </c>
      <c r="E9" s="17">
        <f t="shared" si="1"/>
        <v>228</v>
      </c>
      <c r="F9" s="18">
        <v>1</v>
      </c>
      <c r="G9" s="17">
        <f t="shared" si="2"/>
        <v>8.4444444444444446</v>
      </c>
      <c r="H9" s="80">
        <f t="shared" si="3"/>
        <v>8.4444444444444446</v>
      </c>
      <c r="I9" s="23">
        <f>VLOOKUP(B9,Ordering!$A$1:$J$83,6,FALSE)</f>
        <v>1</v>
      </c>
      <c r="J9" s="23">
        <f>VLOOKUP(B9,Ordering!$A$1:$J$83,10,FALSE)</f>
        <v>22.5</v>
      </c>
      <c r="K9" s="23">
        <f t="shared" si="5"/>
        <v>8.4444444444444454E-3</v>
      </c>
      <c r="L9" s="92">
        <f t="shared" si="4"/>
        <v>0.19000000000000003</v>
      </c>
      <c r="N9" s="1">
        <v>2</v>
      </c>
    </row>
    <row r="10" spans="1:25" ht="15" customHeight="1" thickTop="1" thickBot="1">
      <c r="A10" s="15" t="s">
        <v>47</v>
      </c>
      <c r="B10" s="15" t="s">
        <v>232</v>
      </c>
      <c r="C10" s="15" t="s">
        <v>17</v>
      </c>
      <c r="D10" s="20">
        <f t="shared" si="0"/>
        <v>0.37037037037037035</v>
      </c>
      <c r="E10" s="17">
        <f t="shared" si="1"/>
        <v>228</v>
      </c>
      <c r="F10" s="18">
        <v>1</v>
      </c>
      <c r="G10" s="17">
        <f t="shared" si="2"/>
        <v>84.444444444444443</v>
      </c>
      <c r="H10" s="80">
        <f t="shared" si="3"/>
        <v>84.444444444444443</v>
      </c>
      <c r="I10" s="23">
        <f>VLOOKUP(B10,Ordering!$A$1:$J$83,6,FALSE)</f>
        <v>1</v>
      </c>
      <c r="J10" s="23">
        <f>VLOOKUP(B10,Ordering!$A$1:$J$83,10,FALSE)</f>
        <v>24.305555555555557</v>
      </c>
      <c r="K10" s="23">
        <f t="shared" si="5"/>
        <v>8.4444444444444447E-2</v>
      </c>
      <c r="L10" s="92">
        <f t="shared" si="4"/>
        <v>2.0524691358024691</v>
      </c>
      <c r="N10" s="1">
        <v>20</v>
      </c>
      <c r="R10" s="163" t="s">
        <v>64</v>
      </c>
      <c r="S10" s="164"/>
    </row>
    <row r="11" spans="1:25" ht="15" customHeight="1" thickTop="1" thickBot="1">
      <c r="A11" s="15" t="s">
        <v>47</v>
      </c>
      <c r="B11" s="15" t="s">
        <v>110</v>
      </c>
      <c r="C11" s="22" t="s">
        <v>17</v>
      </c>
      <c r="D11" s="20">
        <f t="shared" si="0"/>
        <v>1.8518518518518517E-2</v>
      </c>
      <c r="E11" s="17">
        <f t="shared" si="1"/>
        <v>228</v>
      </c>
      <c r="F11" s="18">
        <v>1</v>
      </c>
      <c r="G11" s="17">
        <f t="shared" si="2"/>
        <v>4.2222222222222223</v>
      </c>
      <c r="H11" s="80">
        <f t="shared" si="3"/>
        <v>4.2222222222222223</v>
      </c>
      <c r="I11" s="23">
        <f>VLOOKUP(B11,Ordering!$A$1:$J$83,6,FALSE)</f>
        <v>1</v>
      </c>
      <c r="J11" s="23">
        <f>VLOOKUP(B11,Ordering!$A$1:$J$83,10,FALSE)</f>
        <v>0.74</v>
      </c>
      <c r="K11" s="23">
        <f t="shared" si="5"/>
        <v>4.2222222222222227E-3</v>
      </c>
      <c r="L11" s="92">
        <f t="shared" si="4"/>
        <v>3.1244444444444449E-3</v>
      </c>
      <c r="N11" s="1">
        <v>1</v>
      </c>
      <c r="R11" s="163" t="s">
        <v>18</v>
      </c>
      <c r="S11" s="164"/>
    </row>
    <row r="12" spans="1:25" ht="15" customHeight="1" thickTop="1" thickBot="1">
      <c r="A12" s="15" t="s">
        <v>51</v>
      </c>
      <c r="B12" s="15" t="s">
        <v>236</v>
      </c>
      <c r="C12" s="22" t="s">
        <v>17</v>
      </c>
      <c r="D12" s="20">
        <f t="shared" si="0"/>
        <v>3.7037037037037035E-2</v>
      </c>
      <c r="E12" s="17">
        <f t="shared" si="1"/>
        <v>228</v>
      </c>
      <c r="F12" s="18">
        <v>1</v>
      </c>
      <c r="G12" s="17">
        <f t="shared" si="2"/>
        <v>8.4444444444444446</v>
      </c>
      <c r="H12" s="80">
        <f t="shared" si="3"/>
        <v>8.4444444444444446</v>
      </c>
      <c r="I12" s="23">
        <f>VLOOKUP(B12,Ordering!$A$1:$J$83,6,FALSE)</f>
        <v>1</v>
      </c>
      <c r="J12" s="23">
        <f>VLOOKUP(B12,Ordering!$A$1:$J$83,10,FALSE)</f>
        <v>9333.3333333333339</v>
      </c>
      <c r="K12" s="23">
        <f t="shared" si="5"/>
        <v>8.4444444444444454E-3</v>
      </c>
      <c r="L12" s="92">
        <f t="shared" si="4"/>
        <v>78.814814814814824</v>
      </c>
      <c r="N12" s="1">
        <v>2</v>
      </c>
      <c r="R12" s="5" t="s">
        <v>19</v>
      </c>
      <c r="S12" s="5" t="s">
        <v>20</v>
      </c>
    </row>
    <row r="13" spans="1:25" ht="15" customHeight="1" thickTop="1" thickBot="1">
      <c r="A13" s="15" t="s">
        <v>48</v>
      </c>
      <c r="B13" s="15" t="s">
        <v>114</v>
      </c>
      <c r="C13" s="22" t="s">
        <v>17</v>
      </c>
      <c r="D13" s="20">
        <f t="shared" si="0"/>
        <v>8.7222222222222214</v>
      </c>
      <c r="E13" s="17">
        <f t="shared" si="1"/>
        <v>228</v>
      </c>
      <c r="F13" s="18">
        <v>1</v>
      </c>
      <c r="G13" s="17">
        <f t="shared" si="2"/>
        <v>1988.6666666666665</v>
      </c>
      <c r="H13" s="80">
        <f t="shared" si="3"/>
        <v>1988.6666666666665</v>
      </c>
      <c r="I13" s="23">
        <f>VLOOKUP(B13,Ordering!$A$1:$J$83,6,FALSE)</f>
        <v>1</v>
      </c>
      <c r="J13" s="23">
        <f>VLOOKUP(B13,Ordering!$A$1:$J$83,10,FALSE)</f>
        <v>1.7</v>
      </c>
      <c r="K13" s="23">
        <f t="shared" si="5"/>
        <v>1.9886666666666666</v>
      </c>
      <c r="L13" s="92">
        <f t="shared" si="4"/>
        <v>3.3807333333333331</v>
      </c>
      <c r="N13" s="1">
        <v>471</v>
      </c>
      <c r="R13" s="5" t="s">
        <v>21</v>
      </c>
      <c r="S13" s="47">
        <f>V1</f>
        <v>226</v>
      </c>
    </row>
    <row r="14" spans="1:25" ht="15" customHeight="1" thickTop="1" thickBot="1">
      <c r="A14" s="15" t="s">
        <v>46</v>
      </c>
      <c r="B14" s="15" t="s">
        <v>246</v>
      </c>
      <c r="C14" s="22" t="s">
        <v>16</v>
      </c>
      <c r="D14" s="20">
        <f t="shared" si="0"/>
        <v>37.037037037037038</v>
      </c>
      <c r="E14" s="17">
        <f t="shared" si="1"/>
        <v>228</v>
      </c>
      <c r="F14" s="18">
        <v>1</v>
      </c>
      <c r="G14" s="17">
        <f t="shared" si="2"/>
        <v>8444.4444444444453</v>
      </c>
      <c r="H14" s="80">
        <f t="shared" si="3"/>
        <v>8444.4444444444453</v>
      </c>
      <c r="I14" s="23">
        <f>VLOOKUP(B14,Ordering!$A$1:$J$83,6,FALSE)</f>
        <v>1</v>
      </c>
      <c r="J14" s="23">
        <f>VLOOKUP(B14,Ordering!$A$1:$J$83,10,FALSE)</f>
        <v>11.824324324324323</v>
      </c>
      <c r="K14" s="23">
        <f t="shared" si="5"/>
        <v>8.4444444444444446</v>
      </c>
      <c r="L14" s="92">
        <f t="shared" si="4"/>
        <v>99.849849849849832</v>
      </c>
      <c r="N14" s="1">
        <v>2000</v>
      </c>
      <c r="R14" s="5" t="s">
        <v>22</v>
      </c>
      <c r="S14" s="14">
        <v>2</v>
      </c>
    </row>
    <row r="15" spans="1:25" ht="15" customHeight="1" thickTop="1" thickBot="1">
      <c r="A15" s="15" t="s">
        <v>30</v>
      </c>
      <c r="B15" s="15" t="s">
        <v>226</v>
      </c>
      <c r="C15" s="22" t="s">
        <v>16</v>
      </c>
      <c r="D15" s="20">
        <f t="shared" si="0"/>
        <v>37.037037037037038</v>
      </c>
      <c r="E15" s="17">
        <f t="shared" si="1"/>
        <v>228</v>
      </c>
      <c r="F15" s="18">
        <v>1</v>
      </c>
      <c r="G15" s="17">
        <f t="shared" si="2"/>
        <v>8444.4444444444453</v>
      </c>
      <c r="H15" s="80">
        <f t="shared" si="3"/>
        <v>8444.4444444444453</v>
      </c>
      <c r="I15" s="23">
        <f>VLOOKUP(B15,Ordering!$A$1:$J$83,6,FALSE)</f>
        <v>1</v>
      </c>
      <c r="J15" s="23">
        <f>VLOOKUP(B15,Ordering!$A$1:$J$83,10,FALSE)</f>
        <v>6.0606060606060606</v>
      </c>
      <c r="K15" s="23">
        <f t="shared" si="5"/>
        <v>8.4444444444444446</v>
      </c>
      <c r="L15" s="92">
        <f t="shared" si="4"/>
        <v>51.178451178451176</v>
      </c>
      <c r="N15" s="1">
        <v>2000</v>
      </c>
      <c r="R15" s="5" t="s">
        <v>23</v>
      </c>
      <c r="S15" s="48">
        <f>S13+S14</f>
        <v>228</v>
      </c>
    </row>
    <row r="16" spans="1:25" ht="15" customHeight="1" thickTop="1" thickBot="1">
      <c r="A16" s="15" t="s">
        <v>51</v>
      </c>
      <c r="B16" s="15" t="s">
        <v>234</v>
      </c>
      <c r="C16" s="22" t="s">
        <v>17</v>
      </c>
      <c r="D16" s="20">
        <f t="shared" si="0"/>
        <v>9.2592592592592587E-2</v>
      </c>
      <c r="E16" s="17">
        <f t="shared" si="1"/>
        <v>228</v>
      </c>
      <c r="F16" s="18">
        <v>1</v>
      </c>
      <c r="G16" s="17">
        <f t="shared" si="2"/>
        <v>21.111111111111111</v>
      </c>
      <c r="H16" s="80">
        <f t="shared" si="3"/>
        <v>21.111111111111111</v>
      </c>
      <c r="I16" s="23">
        <f>VLOOKUP(B16,Ordering!$A$1:$J$83,6,FALSE)</f>
        <v>1</v>
      </c>
      <c r="J16" s="23">
        <f>VLOOKUP(B16,Ordering!$A$1:$J$83,10,FALSE)</f>
        <v>22.5</v>
      </c>
      <c r="K16" s="23">
        <f t="shared" si="5"/>
        <v>2.1111111111111112E-2</v>
      </c>
      <c r="L16" s="92">
        <f t="shared" si="4"/>
        <v>0.47500000000000003</v>
      </c>
      <c r="N16" s="1">
        <v>5</v>
      </c>
      <c r="R16" s="89" t="s">
        <v>14</v>
      </c>
      <c r="S16" s="90">
        <f>SUM(L5:L18)</f>
        <v>307.23959707768375</v>
      </c>
    </row>
    <row r="17" spans="1:14" ht="15" customHeight="1" thickTop="1" thickBot="1">
      <c r="A17" s="15" t="s">
        <v>51</v>
      </c>
      <c r="B17" s="15" t="s">
        <v>231</v>
      </c>
      <c r="C17" s="22" t="s">
        <v>17</v>
      </c>
      <c r="D17" s="20">
        <f t="shared" si="0"/>
        <v>3.7037037037037035E-2</v>
      </c>
      <c r="E17" s="17">
        <f t="shared" si="1"/>
        <v>228</v>
      </c>
      <c r="F17" s="18">
        <v>1</v>
      </c>
      <c r="G17" s="17">
        <f t="shared" si="2"/>
        <v>8.4444444444444446</v>
      </c>
      <c r="H17" s="17">
        <f t="shared" si="3"/>
        <v>8.4444444444444446</v>
      </c>
      <c r="I17" s="23">
        <f>VLOOKUP(B17,Ordering!$A$1:$J$83,6,FALSE)</f>
        <v>1</v>
      </c>
      <c r="J17" s="23">
        <f>VLOOKUP(B17,Ordering!$A$1:$J$83,10,FALSE)</f>
        <v>26.263888888888889</v>
      </c>
      <c r="K17" s="23">
        <f t="shared" si="5"/>
        <v>8.4444444444444454E-3</v>
      </c>
      <c r="L17" s="92">
        <f t="shared" si="4"/>
        <v>0.22178395061728398</v>
      </c>
      <c r="N17" s="1">
        <v>2</v>
      </c>
    </row>
    <row r="18" spans="1:14" ht="15" customHeight="1" thickTop="1">
      <c r="A18" s="15" t="s">
        <v>30</v>
      </c>
      <c r="B18" s="15" t="s">
        <v>227</v>
      </c>
      <c r="C18" s="22" t="s">
        <v>17</v>
      </c>
      <c r="D18" s="20">
        <f t="shared" si="0"/>
        <v>13.888888888888889</v>
      </c>
      <c r="E18" s="17">
        <f t="shared" si="1"/>
        <v>228</v>
      </c>
      <c r="F18" s="18">
        <v>1</v>
      </c>
      <c r="G18" s="17">
        <f t="shared" si="2"/>
        <v>3166.666666666667</v>
      </c>
      <c r="H18" s="17">
        <f t="shared" si="3"/>
        <v>3166.666666666667</v>
      </c>
      <c r="I18" s="23">
        <f>VLOOKUP(B18,Ordering!$A$1:$J$83,6,FALSE)</f>
        <v>1</v>
      </c>
      <c r="J18" s="23">
        <f>VLOOKUP(B18,Ordering!$A$1:$J$83,10,FALSE)</f>
        <v>10.833333333333334</v>
      </c>
      <c r="K18" s="23">
        <f t="shared" si="5"/>
        <v>3.166666666666667</v>
      </c>
      <c r="L18" s="92">
        <f t="shared" si="4"/>
        <v>34.305555555555557</v>
      </c>
      <c r="N18" s="27">
        <v>750</v>
      </c>
    </row>
    <row r="19" spans="1:14" ht="14.75" customHeight="1"/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47A6-5772-4894-A428-B1A1526DF8E8}">
  <sheetPr codeName="Sheet37">
    <tabColor theme="4" tint="-0.249977111117893"/>
    <pageSetUpPr fitToPage="1"/>
  </sheetPr>
  <dimension ref="A1:X16"/>
  <sheetViews>
    <sheetView topLeftCell="C1" zoomScale="55" zoomScaleNormal="55" zoomScaleSheetLayoutView="100" workbookViewId="0">
      <selection activeCell="S14" sqref="S14"/>
    </sheetView>
  </sheetViews>
  <sheetFormatPr defaultRowHeight="14.35"/>
  <cols>
    <col min="1" max="1" width="23.05859375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2" max="12" width="20.9375" bestFit="1" customWidth="1"/>
    <col min="18" max="18" width="19.05859375" customWidth="1"/>
    <col min="19" max="19" width="15.937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50</v>
      </c>
      <c r="G1" s="4"/>
      <c r="H1" s="38" t="s">
        <v>2</v>
      </c>
      <c r="I1" s="13">
        <f>F1/B1</f>
        <v>50</v>
      </c>
      <c r="J1" s="4"/>
      <c r="K1" s="38"/>
      <c r="U1" s="123" t="s">
        <v>206</v>
      </c>
      <c r="V1" s="121">
        <v>45</v>
      </c>
    </row>
    <row r="2" spans="1:24" ht="14.25" customHeight="1">
      <c r="A2" s="42"/>
      <c r="B2" s="161"/>
      <c r="C2" s="161"/>
      <c r="D2" s="161"/>
      <c r="E2" s="161"/>
      <c r="F2" s="161"/>
      <c r="G2" s="161"/>
      <c r="H2" s="161"/>
      <c r="I2" s="41"/>
      <c r="J2" s="43"/>
      <c r="K2" s="42"/>
    </row>
    <row r="3" spans="1:24" ht="14.25" customHeight="1">
      <c r="A3" s="46"/>
      <c r="B3" s="162" t="s">
        <v>188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4" ht="39.7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4" ht="15" customHeight="1">
      <c r="A5" s="14"/>
      <c r="B5" s="15" t="s">
        <v>190</v>
      </c>
      <c r="C5" s="14" t="s">
        <v>17</v>
      </c>
      <c r="D5" s="20">
        <v>6.5</v>
      </c>
      <c r="E5" s="17">
        <f t="shared" ref="E5:E7" si="0">$I$1</f>
        <v>50</v>
      </c>
      <c r="F5" s="18">
        <v>1</v>
      </c>
      <c r="G5" s="17">
        <f t="shared" ref="G5:G7" si="1">E5*D5</f>
        <v>325</v>
      </c>
      <c r="H5" s="80">
        <f t="shared" ref="H5:H7" si="2">G5*F5</f>
        <v>325</v>
      </c>
      <c r="I5" s="14">
        <f>VLOOKUP(B5,Ordering!$A$1:$J$83,6,FALSE)</f>
        <v>1</v>
      </c>
      <c r="J5" s="92">
        <f>VLOOKUP(B5,Ordering!$A$1:$J$83,10,FALSE)</f>
        <v>40</v>
      </c>
      <c r="K5" s="23">
        <f t="shared" ref="K5:K7" si="3">((H5/(I5))/1000)</f>
        <v>0.32500000000000001</v>
      </c>
      <c r="L5" s="92">
        <f t="shared" ref="L5:L7" si="4">J5*K5</f>
        <v>13</v>
      </c>
    </row>
    <row r="6" spans="1:24" ht="15" customHeight="1">
      <c r="A6" s="14"/>
      <c r="B6" s="15" t="s">
        <v>200</v>
      </c>
      <c r="C6" s="14" t="s">
        <v>17</v>
      </c>
      <c r="D6" s="20">
        <v>12.4</v>
      </c>
      <c r="E6" s="17">
        <f t="shared" si="0"/>
        <v>50</v>
      </c>
      <c r="F6" s="18">
        <v>1</v>
      </c>
      <c r="G6" s="17">
        <f t="shared" si="1"/>
        <v>620</v>
      </c>
      <c r="H6" s="111">
        <f t="shared" si="2"/>
        <v>620</v>
      </c>
      <c r="I6" s="106">
        <f>VLOOKUP(B6,Ordering!$A$1:$J$83,6,FALSE)</f>
        <v>1</v>
      </c>
      <c r="J6" s="106">
        <f>VLOOKUP(B6,Ordering!$A$1:$J$83,10,FALSE)</f>
        <v>51</v>
      </c>
      <c r="K6" s="96">
        <f t="shared" si="3"/>
        <v>0.62</v>
      </c>
      <c r="L6" s="95">
        <f t="shared" si="4"/>
        <v>31.62</v>
      </c>
    </row>
    <row r="7" spans="1:24" ht="15" customHeight="1">
      <c r="A7" s="14"/>
      <c r="B7" s="15" t="s">
        <v>241</v>
      </c>
      <c r="C7" s="14" t="s">
        <v>17</v>
      </c>
      <c r="D7" s="20">
        <v>5</v>
      </c>
      <c r="E7" s="17">
        <f t="shared" si="0"/>
        <v>50</v>
      </c>
      <c r="F7" s="18">
        <v>1</v>
      </c>
      <c r="G7" s="17">
        <f t="shared" si="1"/>
        <v>250</v>
      </c>
      <c r="H7" s="111">
        <f t="shared" si="2"/>
        <v>250</v>
      </c>
      <c r="I7" s="106">
        <f>VLOOKUP(B7,Ordering!$A$1:$J$83,6,FALSE)</f>
        <v>1</v>
      </c>
      <c r="J7" s="106">
        <f>VLOOKUP(B7,Ordering!$A$1:$J$83,10,FALSE)</f>
        <v>41</v>
      </c>
      <c r="K7" s="96">
        <f t="shared" si="3"/>
        <v>0.25</v>
      </c>
      <c r="L7" s="95">
        <f t="shared" si="4"/>
        <v>10.25</v>
      </c>
    </row>
    <row r="8" spans="1:24" ht="15" customHeight="1">
      <c r="U8" s="86" t="s">
        <v>193</v>
      </c>
      <c r="V8" s="87">
        <v>1</v>
      </c>
      <c r="W8" s="86" t="s">
        <v>14</v>
      </c>
      <c r="X8" s="88">
        <f>SUM(L5:L7)/S15</f>
        <v>1.0974000000000002</v>
      </c>
    </row>
    <row r="9" spans="1:24" ht="15" customHeight="1"/>
    <row r="10" spans="1:24" ht="15" customHeight="1">
      <c r="R10" s="163" t="s">
        <v>188</v>
      </c>
      <c r="S10" s="164"/>
    </row>
    <row r="11" spans="1:24" ht="15" customHeight="1">
      <c r="R11" s="163" t="s">
        <v>189</v>
      </c>
      <c r="S11" s="164"/>
    </row>
    <row r="12" spans="1:24" ht="15" customHeight="1">
      <c r="R12" s="5" t="s">
        <v>19</v>
      </c>
      <c r="S12" s="5" t="s">
        <v>20</v>
      </c>
    </row>
    <row r="13" spans="1:24" ht="15" customHeight="1">
      <c r="R13" s="5" t="s">
        <v>21</v>
      </c>
      <c r="S13" s="47">
        <f>V1</f>
        <v>45</v>
      </c>
    </row>
    <row r="14" spans="1:24" ht="14.75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50</v>
      </c>
    </row>
    <row r="16" spans="1:24">
      <c r="R16" s="89" t="s">
        <v>14</v>
      </c>
      <c r="S16" s="90">
        <f>SUM(L5:L7)</f>
        <v>54.870000000000005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Ordering</vt:lpstr>
      <vt:lpstr>Zatar Pie</vt:lpstr>
      <vt:lpstr>Laham Pie</vt:lpstr>
      <vt:lpstr>Labneh Pie</vt:lpstr>
      <vt:lpstr>Rocky Road</vt:lpstr>
      <vt:lpstr>Basbusa</vt:lpstr>
      <vt:lpstr>Blueberry Cheese Cake</vt:lpstr>
      <vt:lpstr>Mixed Nuts</vt:lpstr>
      <vt:lpstr>Raspberry Chooclate Cheese Cake</vt:lpstr>
      <vt:lpstr>Brownie </vt:lpstr>
      <vt:lpstr>Baboffee Pie</vt:lpstr>
      <vt:lpstr>Sabestien</vt:lpstr>
      <vt:lpstr>Mixed Nuts (2)</vt:lpstr>
      <vt:lpstr>Labneh Pie (2)</vt:lpstr>
      <vt:lpstr>Laham Pie (2)</vt:lpstr>
      <vt:lpstr>Zatar Pie (2)</vt:lpstr>
      <vt:lpstr>Lemon Cake</vt:lpstr>
      <vt:lpstr>Cookies</vt:lpstr>
      <vt:lpstr>Saffron Cake</vt:lpstr>
      <vt:lpstr>Pistachio Profiterole</vt:lpstr>
      <vt:lpstr>Mixed Nuts (3)</vt:lpstr>
      <vt:lpstr>Lotuse Cheese Cake</vt:lpstr>
      <vt:lpstr>Carrot Cake</vt:lpstr>
      <vt:lpstr>Almond Chooclate Cake</vt:lpstr>
      <vt:lpstr>Mixed Nuts (4)</vt:lpstr>
      <vt:lpstr>Mango Cheese Cake</vt:lpstr>
      <vt:lpstr>Chocolate Profiterole</vt:lpstr>
      <vt:lpstr>Muffin</vt:lpstr>
      <vt:lpstr>Mixed Nuts (5)</vt:lpstr>
      <vt:lpstr>Orange Cake</vt:lpstr>
      <vt:lpstr>Dukhun Cake</vt:lpstr>
      <vt:lpstr>Saffron Cake (2)</vt:lpstr>
      <vt:lpstr>Mixed Nuts (6)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akmal</dc:creator>
  <cp:lastModifiedBy>Amira Fathy</cp:lastModifiedBy>
  <cp:lastPrinted>2026-07-21T16:41:58Z</cp:lastPrinted>
  <dcterms:created xsi:type="dcterms:W3CDTF">2026-01-12T00:14:28Z</dcterms:created>
  <dcterms:modified xsi:type="dcterms:W3CDTF">2026-07-21T16:42:18Z</dcterms:modified>
</cp:coreProperties>
</file>