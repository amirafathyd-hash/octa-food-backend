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Sept/"/>
    </mc:Choice>
  </mc:AlternateContent>
  <xr:revisionPtr revIDLastSave="9781" documentId="8_{EA1F5125-DDAF-493A-AFA9-2079C62AD1A1}" xr6:coauthVersionLast="47" xr6:coauthVersionMax="47" xr10:uidLastSave="{DA561120-736F-4A48-AB42-C248F2162476}"/>
  <bookViews>
    <workbookView xWindow="14610" yWindow="570" windowWidth="13245" windowHeight="15210" tabRatio="843" xr2:uid="{00000000-000D-0000-FFFF-FFFF00000000}"/>
  </bookViews>
  <sheets>
    <sheet name="Ordering" sheetId="1" r:id="rId1"/>
    <sheet name="Tahina Small" sheetId="2" r:id="rId2"/>
    <sheet name="Red sauce" sheetId="3" r:id="rId3"/>
    <sheet name="Cucumber yogurt sauce" sheetId="4" r:id="rId4"/>
    <sheet name="Herbal Sauce" sheetId="5" r:id="rId5"/>
    <sheet name="Red sauce Big" sheetId="6" r:id="rId6"/>
    <sheet name="Tahina Big" sheetId="7" r:id="rId7"/>
    <sheet name="Coctail Sauce Weight" sheetId="8" r:id="rId8"/>
    <sheet name="Lemon Herb Sauce Packed" sheetId="39" r:id="rId9"/>
    <sheet name="Lemon Herb Sauce unpacked" sheetId="46" r:id="rId10"/>
    <sheet name="Cucumber yogurt sauce (2)" sheetId="12" r:id="rId11"/>
    <sheet name="Red sauce Big (2)" sheetId="13" r:id="rId12"/>
    <sheet name="House Sauce Packed" sheetId="32" r:id="rId13"/>
    <sheet name="House Sauce unpacked" sheetId="42" r:id="rId14"/>
    <sheet name="Honey Mustard Sauce Packed" sheetId="38" r:id="rId15"/>
    <sheet name="Honey Mustard Sauce unpacked" sheetId="45" r:id="rId16"/>
    <sheet name="Tahina Big (2)" sheetId="14" r:id="rId17"/>
    <sheet name="Red sauce Big (3)" sheetId="15" r:id="rId18"/>
    <sheet name="Coctail Sauce Dip In  (3)" sheetId="16" r:id="rId19"/>
    <sheet name="Biryani Yoghrt sauce" sheetId="21" r:id="rId20"/>
    <sheet name="Coctail Sauce Weight (2)" sheetId="17" r:id="rId21"/>
    <sheet name="Mixed Pickle" sheetId="18" r:id="rId22"/>
    <sheet name="Smoked Sauce Packed" sheetId="35" r:id="rId23"/>
    <sheet name="Smoked Sauce unpacked" sheetId="43" r:id="rId24"/>
    <sheet name="Cucumber yogurt sauce (3)" sheetId="19" r:id="rId25"/>
    <sheet name="Shabat Sauce" sheetId="20" r:id="rId26"/>
    <sheet name="Coctail Sauce Dip In  (4)" sheetId="22" r:id="rId27"/>
    <sheet name="Coctail Sauce Weight (5)" sheetId="23" r:id="rId28"/>
    <sheet name="Coleslaw Salad" sheetId="34" r:id="rId29"/>
    <sheet name="Garlic Aioli (2)" sheetId="47" r:id="rId30"/>
    <sheet name="Red sauce Big (4)" sheetId="24" r:id="rId31"/>
    <sheet name="Cucumber yogurt sauce (4)" sheetId="25" r:id="rId32"/>
    <sheet name="Coctail Sauce Weight (4)" sheetId="26" r:id="rId33"/>
    <sheet name="BBQ Sauce Packed" sheetId="36" r:id="rId34"/>
    <sheet name="BBQ Sauce unpacked" sheetId="44" r:id="rId35"/>
    <sheet name="Sumak Onion" sheetId="27" r:id="rId36"/>
    <sheet name="Tahina Small (2)" sheetId="28" r:id="rId37"/>
    <sheet name="Red sauce (2)" sheetId="29" r:id="rId38"/>
    <sheet name="Red sauce Big (5)" sheetId="30" r:id="rId39"/>
    <sheet name="Cucumber yogurt sauce (5)" sheetId="31" r:id="rId40"/>
    <sheet name="Garlic Aioli" sheetId="33" r:id="rId41"/>
    <sheet name="Garlic Aioli unpacked" sheetId="48" r:id="rId42"/>
  </sheets>
  <definedNames>
    <definedName name="_xlnm._FilterDatabase" localSheetId="0" hidden="1">Ordering!$A$1:$O$49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2" i="1" l="1"/>
  <c r="AC33" i="1"/>
  <c r="AC32" i="1"/>
  <c r="AC31" i="1"/>
  <c r="AC30" i="1"/>
  <c r="AC29" i="1"/>
  <c r="AC28" i="1"/>
  <c r="AC27" i="1"/>
  <c r="AC26" i="1"/>
  <c r="AC25" i="1"/>
  <c r="AC24" i="1"/>
  <c r="AC23" i="1"/>
  <c r="AC21" i="1"/>
  <c r="AC20" i="1"/>
  <c r="AC19" i="1"/>
  <c r="D10" i="48" l="1"/>
  <c r="D10" i="33"/>
  <c r="D11" i="31"/>
  <c r="D11" i="30"/>
  <c r="D11" i="29"/>
  <c r="D11" i="28"/>
  <c r="D7" i="27"/>
  <c r="D10" i="44"/>
  <c r="D10" i="36"/>
  <c r="D9" i="26"/>
  <c r="D11" i="25"/>
  <c r="D11" i="24"/>
  <c r="D10" i="47"/>
  <c r="D10" i="34"/>
  <c r="D9" i="23"/>
  <c r="D9" i="22"/>
  <c r="D11" i="21"/>
  <c r="D9" i="20"/>
  <c r="D11" i="19"/>
  <c r="D12" i="43"/>
  <c r="D12" i="35"/>
  <c r="D8" i="18"/>
  <c r="D9" i="17"/>
  <c r="D9" i="16"/>
  <c r="D11" i="15"/>
  <c r="D11" i="14"/>
  <c r="D9" i="45"/>
  <c r="D9" i="38"/>
  <c r="D11" i="42"/>
  <c r="D11" i="32"/>
  <c r="D11" i="13"/>
  <c r="D11" i="12"/>
  <c r="D13" i="46"/>
  <c r="D11" i="2"/>
  <c r="D13" i="39"/>
  <c r="D9" i="8"/>
  <c r="D11" i="7"/>
  <c r="D11" i="6"/>
  <c r="D10" i="5"/>
  <c r="D11" i="4"/>
  <c r="AC37" i="1"/>
  <c r="AC36" i="1"/>
  <c r="AC35" i="1"/>
  <c r="AC34" i="1"/>
  <c r="D11" i="3"/>
  <c r="Q18" i="2"/>
  <c r="Q20" i="2" s="1"/>
  <c r="Q18" i="3"/>
  <c r="Q20" i="3" s="1"/>
  <c r="Q18" i="4"/>
  <c r="Q20" i="4" s="1"/>
  <c r="Q18" i="5"/>
  <c r="Q20" i="5" s="1"/>
  <c r="Q18" i="6"/>
  <c r="Q20" i="6" s="1"/>
  <c r="Q18" i="7"/>
  <c r="Q20" i="7" s="1"/>
  <c r="Q18" i="8"/>
  <c r="Q20" i="8" s="1"/>
  <c r="Q18" i="39"/>
  <c r="Q20" i="39" s="1"/>
  <c r="Q18" i="46"/>
  <c r="Q20" i="46" s="1"/>
  <c r="Q18" i="12"/>
  <c r="Q20" i="12" s="1"/>
  <c r="Q18" i="13"/>
  <c r="Q20" i="13" s="1"/>
  <c r="Q18" i="32"/>
  <c r="Q20" i="32" s="1"/>
  <c r="Q18" i="42"/>
  <c r="Q20" i="42" s="1"/>
  <c r="Q18" i="38"/>
  <c r="Q20" i="38" s="1"/>
  <c r="Q18" i="45"/>
  <c r="Q20" i="45" s="1"/>
  <c r="Q18" i="14"/>
  <c r="Q20" i="14" s="1"/>
  <c r="Q18" i="15"/>
  <c r="Q20" i="15" s="1"/>
  <c r="Q18" i="16"/>
  <c r="Q20" i="16" s="1"/>
  <c r="Q18" i="17"/>
  <c r="Q20" i="17" s="1"/>
  <c r="Q18" i="18"/>
  <c r="Q20" i="18" s="1"/>
  <c r="Q18" i="19"/>
  <c r="Q20" i="19" s="1"/>
  <c r="Q18" i="20"/>
  <c r="Q20" i="20" s="1"/>
  <c r="Q18" i="21"/>
  <c r="Q20" i="21" s="1"/>
  <c r="Q18" i="22"/>
  <c r="Q20" i="22" s="1"/>
  <c r="Q18" i="23"/>
  <c r="Q20" i="23" s="1"/>
  <c r="Q18" i="34"/>
  <c r="Q20" i="34" s="1"/>
  <c r="Q18" i="47"/>
  <c r="Q20" i="47" s="1"/>
  <c r="Q18" i="24"/>
  <c r="Q20" i="24" s="1"/>
  <c r="Q18" i="25"/>
  <c r="Q20" i="25" s="1"/>
  <c r="Q18" i="26"/>
  <c r="Q20" i="26" s="1"/>
  <c r="Q18" i="36"/>
  <c r="Q20" i="36" s="1"/>
  <c r="Q18" i="44"/>
  <c r="Q20" i="44" s="1"/>
  <c r="Q18" i="27"/>
  <c r="Q20" i="27" s="1"/>
  <c r="Q18" i="28"/>
  <c r="Q20" i="28" s="1"/>
  <c r="Q18" i="29"/>
  <c r="Q20" i="29" s="1"/>
  <c r="Q18" i="30"/>
  <c r="Q20" i="30" s="1"/>
  <c r="Q18" i="31"/>
  <c r="Q20" i="31" s="1"/>
  <c r="Q18" i="33"/>
  <c r="Q20" i="33" s="1"/>
  <c r="Q18" i="48"/>
  <c r="Q20" i="48" s="1"/>
  <c r="D1" i="48" s="1"/>
  <c r="G1" i="48" s="1"/>
  <c r="I6" i="34"/>
  <c r="J6" i="34"/>
  <c r="I7" i="34"/>
  <c r="J7" i="34"/>
  <c r="I8" i="34"/>
  <c r="J8" i="34"/>
  <c r="I9" i="34"/>
  <c r="J9" i="34"/>
  <c r="I5" i="34"/>
  <c r="I6" i="46"/>
  <c r="J6" i="46"/>
  <c r="I7" i="46"/>
  <c r="J7" i="46"/>
  <c r="I8" i="46"/>
  <c r="J8" i="46"/>
  <c r="I9" i="46"/>
  <c r="I10" i="46"/>
  <c r="J10" i="46"/>
  <c r="I11" i="46"/>
  <c r="J11" i="46"/>
  <c r="I12" i="46"/>
  <c r="J12" i="46"/>
  <c r="J5" i="46"/>
  <c r="I5" i="46"/>
  <c r="J6" i="39"/>
  <c r="J7" i="39"/>
  <c r="J8" i="39"/>
  <c r="J10" i="39"/>
  <c r="J11" i="39"/>
  <c r="J12" i="39"/>
  <c r="J5" i="39"/>
  <c r="I6" i="39"/>
  <c r="I7" i="39"/>
  <c r="I8" i="39"/>
  <c r="I9" i="39"/>
  <c r="I10" i="39"/>
  <c r="I11" i="39"/>
  <c r="I12" i="39"/>
  <c r="I5" i="39"/>
  <c r="AC42" i="1"/>
  <c r="AC41" i="1"/>
  <c r="AC40" i="1"/>
  <c r="AC39" i="1"/>
  <c r="AC38" i="1"/>
  <c r="AC17" i="1"/>
  <c r="AC15" i="1"/>
  <c r="AC14" i="1"/>
  <c r="AC13" i="1"/>
  <c r="AC11" i="1"/>
  <c r="AC10" i="1"/>
  <c r="AC9" i="1"/>
  <c r="AC8" i="1"/>
  <c r="AC7" i="1"/>
  <c r="AC6" i="1"/>
  <c r="AC4" i="1"/>
  <c r="AC12" i="1"/>
  <c r="L45" i="1"/>
  <c r="K45" i="1"/>
  <c r="N45" i="1" s="1"/>
  <c r="J45" i="1"/>
  <c r="J6" i="48" s="1"/>
  <c r="L22" i="1"/>
  <c r="O22" i="1" s="1"/>
  <c r="K22" i="1"/>
  <c r="N22" i="1" s="1"/>
  <c r="L23" i="1"/>
  <c r="O23" i="1" s="1"/>
  <c r="K23" i="1"/>
  <c r="N23" i="1" s="1"/>
  <c r="L24" i="1"/>
  <c r="O24" i="1" s="1"/>
  <c r="K24" i="1"/>
  <c r="N24" i="1" s="1"/>
  <c r="L49" i="1"/>
  <c r="O49" i="1" s="1"/>
  <c r="K49" i="1"/>
  <c r="N49" i="1" s="1"/>
  <c r="J49" i="1"/>
  <c r="L48" i="1"/>
  <c r="O48" i="1" s="1"/>
  <c r="K48" i="1"/>
  <c r="N48" i="1" s="1"/>
  <c r="J48" i="1"/>
  <c r="J5" i="34" s="1"/>
  <c r="L47" i="1"/>
  <c r="O47" i="1" s="1"/>
  <c r="J47" i="1"/>
  <c r="L46" i="1"/>
  <c r="O46" i="1" s="1"/>
  <c r="K46" i="1"/>
  <c r="N46" i="1" s="1"/>
  <c r="AC44" i="1"/>
  <c r="AC43" i="1"/>
  <c r="AC16" i="1"/>
  <c r="AC18" i="1"/>
  <c r="AC5" i="1"/>
  <c r="I9" i="48"/>
  <c r="I8" i="48"/>
  <c r="I7" i="48"/>
  <c r="I6" i="48"/>
  <c r="I5" i="48"/>
  <c r="I9" i="47"/>
  <c r="I8" i="47"/>
  <c r="I7" i="47"/>
  <c r="J6" i="47"/>
  <c r="I6" i="47"/>
  <c r="I5" i="47"/>
  <c r="I8" i="45"/>
  <c r="I7" i="45"/>
  <c r="I6" i="45"/>
  <c r="I5" i="45"/>
  <c r="I9" i="44"/>
  <c r="J8" i="44"/>
  <c r="I8" i="44"/>
  <c r="I7" i="44"/>
  <c r="I6" i="44"/>
  <c r="I5" i="44"/>
  <c r="Q18" i="43"/>
  <c r="Q20" i="43" s="1"/>
  <c r="D1" i="43" s="1"/>
  <c r="G1" i="43" s="1"/>
  <c r="I11" i="43"/>
  <c r="I10" i="43"/>
  <c r="J9" i="43"/>
  <c r="I9" i="43"/>
  <c r="J8" i="43"/>
  <c r="I8" i="43"/>
  <c r="I7" i="43"/>
  <c r="I6" i="43"/>
  <c r="I5" i="43"/>
  <c r="J10" i="42"/>
  <c r="I10" i="42"/>
  <c r="J9" i="42"/>
  <c r="I9" i="42"/>
  <c r="I8" i="42"/>
  <c r="I7" i="42"/>
  <c r="I6" i="42"/>
  <c r="I5" i="42"/>
  <c r="I6" i="32"/>
  <c r="I7" i="32"/>
  <c r="I8" i="32"/>
  <c r="I9" i="32"/>
  <c r="J9" i="32"/>
  <c r="I10" i="32"/>
  <c r="J10" i="32"/>
  <c r="I6" i="35"/>
  <c r="I7" i="35"/>
  <c r="I8" i="35"/>
  <c r="J8" i="35"/>
  <c r="I9" i="35"/>
  <c r="J9" i="35"/>
  <c r="I10" i="35"/>
  <c r="I11" i="35"/>
  <c r="I6" i="33"/>
  <c r="J6" i="33"/>
  <c r="I7" i="33"/>
  <c r="I8" i="33"/>
  <c r="I9" i="33"/>
  <c r="I6" i="36"/>
  <c r="I7" i="36"/>
  <c r="I8" i="36"/>
  <c r="J8" i="36"/>
  <c r="I9" i="36"/>
  <c r="I6" i="38"/>
  <c r="I7" i="38"/>
  <c r="I8" i="38"/>
  <c r="I5" i="32"/>
  <c r="I5" i="35"/>
  <c r="I5" i="33"/>
  <c r="I5" i="36"/>
  <c r="I5" i="38"/>
  <c r="Q18" i="35"/>
  <c r="Q20" i="35" s="1"/>
  <c r="D1" i="35" s="1"/>
  <c r="I10" i="31"/>
  <c r="J9" i="31"/>
  <c r="I9" i="31"/>
  <c r="I8" i="31"/>
  <c r="I7" i="31"/>
  <c r="I6" i="31"/>
  <c r="J5" i="31"/>
  <c r="I5" i="31"/>
  <c r="J10" i="30"/>
  <c r="I10" i="30"/>
  <c r="I9" i="30"/>
  <c r="I8" i="30"/>
  <c r="J7" i="30"/>
  <c r="I7" i="30"/>
  <c r="I6" i="30"/>
  <c r="I5" i="30"/>
  <c r="J10" i="29"/>
  <c r="I10" i="29"/>
  <c r="I9" i="29"/>
  <c r="I8" i="29"/>
  <c r="J7" i="29"/>
  <c r="I7" i="29"/>
  <c r="I6" i="29"/>
  <c r="I5" i="29"/>
  <c r="I10" i="28"/>
  <c r="I9" i="28"/>
  <c r="J8" i="28"/>
  <c r="I8" i="28"/>
  <c r="I7" i="28"/>
  <c r="I6" i="28"/>
  <c r="I5" i="28"/>
  <c r="I6" i="27"/>
  <c r="I5" i="27"/>
  <c r="I8" i="26"/>
  <c r="I7" i="26"/>
  <c r="I6" i="26"/>
  <c r="I5" i="26"/>
  <c r="I10" i="25"/>
  <c r="J9" i="25"/>
  <c r="I9" i="25"/>
  <c r="I8" i="25"/>
  <c r="I7" i="25"/>
  <c r="I6" i="25"/>
  <c r="J5" i="25"/>
  <c r="I5" i="25"/>
  <c r="J10" i="24"/>
  <c r="I10" i="24"/>
  <c r="I9" i="24"/>
  <c r="I8" i="24"/>
  <c r="J7" i="24"/>
  <c r="I7" i="24"/>
  <c r="I6" i="24"/>
  <c r="I5" i="24"/>
  <c r="I8" i="23"/>
  <c r="I7" i="23"/>
  <c r="I6" i="23"/>
  <c r="I5" i="23"/>
  <c r="I8" i="22"/>
  <c r="I7" i="22"/>
  <c r="I6" i="22"/>
  <c r="I5" i="22"/>
  <c r="I10" i="21"/>
  <c r="J9" i="21"/>
  <c r="I9" i="21"/>
  <c r="I8" i="21"/>
  <c r="J7" i="21"/>
  <c r="I7" i="21"/>
  <c r="J6" i="21"/>
  <c r="I6" i="21"/>
  <c r="I5" i="21"/>
  <c r="I8" i="20"/>
  <c r="I7" i="20"/>
  <c r="J6" i="20"/>
  <c r="I6" i="20"/>
  <c r="I5" i="20"/>
  <c r="I10" i="19"/>
  <c r="J9" i="19"/>
  <c r="I9" i="19"/>
  <c r="I8" i="19"/>
  <c r="I7" i="19"/>
  <c r="I6" i="19"/>
  <c r="J5" i="19"/>
  <c r="I5" i="19"/>
  <c r="I7" i="18"/>
  <c r="I6" i="18"/>
  <c r="I5" i="18"/>
  <c r="I8" i="17"/>
  <c r="I7" i="17"/>
  <c r="I6" i="17"/>
  <c r="I5" i="17"/>
  <c r="I8" i="16"/>
  <c r="I7" i="16"/>
  <c r="I6" i="16"/>
  <c r="I5" i="16"/>
  <c r="J10" i="15"/>
  <c r="I10" i="15"/>
  <c r="I9" i="15"/>
  <c r="I8" i="15"/>
  <c r="J7" i="15"/>
  <c r="I7" i="15"/>
  <c r="I6" i="15"/>
  <c r="I5" i="15"/>
  <c r="I10" i="14"/>
  <c r="I9" i="14"/>
  <c r="J8" i="14"/>
  <c r="I8" i="14"/>
  <c r="I7" i="14"/>
  <c r="I6" i="14"/>
  <c r="I5" i="14"/>
  <c r="J10" i="13"/>
  <c r="I10" i="13"/>
  <c r="I9" i="13"/>
  <c r="I8" i="13"/>
  <c r="J7" i="13"/>
  <c r="I7" i="13"/>
  <c r="I6" i="13"/>
  <c r="I5" i="13"/>
  <c r="I10" i="12"/>
  <c r="J9" i="12"/>
  <c r="I9" i="12"/>
  <c r="I8" i="12"/>
  <c r="I7" i="12"/>
  <c r="I6" i="12"/>
  <c r="J5" i="12"/>
  <c r="I5" i="12"/>
  <c r="I8" i="8"/>
  <c r="I7" i="8"/>
  <c r="I6" i="8"/>
  <c r="I5" i="8"/>
  <c r="I10" i="7"/>
  <c r="I9" i="7"/>
  <c r="J8" i="7"/>
  <c r="I8" i="7"/>
  <c r="J7" i="7"/>
  <c r="I7" i="7"/>
  <c r="I6" i="7"/>
  <c r="I5" i="7"/>
  <c r="J10" i="6"/>
  <c r="I10" i="6"/>
  <c r="I9" i="6"/>
  <c r="I8" i="6"/>
  <c r="J7" i="6"/>
  <c r="I7" i="6"/>
  <c r="I6" i="6"/>
  <c r="I5" i="6"/>
  <c r="I9" i="5"/>
  <c r="I8" i="5"/>
  <c r="I7" i="5"/>
  <c r="I6" i="5"/>
  <c r="I5" i="5"/>
  <c r="J10" i="4"/>
  <c r="I10" i="4"/>
  <c r="J9" i="4"/>
  <c r="I9" i="4"/>
  <c r="I8" i="4"/>
  <c r="J7" i="4"/>
  <c r="I7" i="4"/>
  <c r="I6" i="4"/>
  <c r="J5" i="4"/>
  <c r="I5" i="4"/>
  <c r="J10" i="3"/>
  <c r="I10" i="3"/>
  <c r="J9" i="3"/>
  <c r="I9" i="3"/>
  <c r="I8" i="3"/>
  <c r="J7" i="3"/>
  <c r="I7" i="3"/>
  <c r="I6" i="3"/>
  <c r="I5" i="3"/>
  <c r="I10" i="2"/>
  <c r="I9" i="2"/>
  <c r="J8" i="2"/>
  <c r="I8" i="2"/>
  <c r="I7" i="2"/>
  <c r="J6" i="2"/>
  <c r="I6" i="2"/>
  <c r="I5" i="2"/>
  <c r="L44" i="1"/>
  <c r="O44" i="1" s="1"/>
  <c r="K44" i="1"/>
  <c r="N44" i="1" s="1"/>
  <c r="J44" i="1"/>
  <c r="L43" i="1"/>
  <c r="O43" i="1" s="1"/>
  <c r="K43" i="1"/>
  <c r="N43" i="1" s="1"/>
  <c r="J43" i="1"/>
  <c r="J6" i="27" s="1"/>
  <c r="L42" i="1"/>
  <c r="O42" i="1" s="1"/>
  <c r="K42" i="1"/>
  <c r="N42" i="1" s="1"/>
  <c r="J42" i="1"/>
  <c r="L41" i="1"/>
  <c r="O41" i="1" s="1"/>
  <c r="K41" i="1"/>
  <c r="N41" i="1" s="1"/>
  <c r="J41" i="1"/>
  <c r="L40" i="1"/>
  <c r="O40" i="1" s="1"/>
  <c r="K40" i="1"/>
  <c r="N40" i="1" s="1"/>
  <c r="J40" i="1"/>
  <c r="J9" i="39" s="1"/>
  <c r="L39" i="1"/>
  <c r="O39" i="1" s="1"/>
  <c r="K39" i="1"/>
  <c r="N39" i="1" s="1"/>
  <c r="L38" i="1"/>
  <c r="O38" i="1" s="1"/>
  <c r="K38" i="1"/>
  <c r="N38" i="1" s="1"/>
  <c r="J38" i="1"/>
  <c r="J5" i="21" s="1"/>
  <c r="L36" i="1"/>
  <c r="O36" i="1" s="1"/>
  <c r="K36" i="1"/>
  <c r="N36" i="1" s="1"/>
  <c r="L32" i="1"/>
  <c r="O32" i="1" s="1"/>
  <c r="K32" i="1"/>
  <c r="N32" i="1" s="1"/>
  <c r="L31" i="1"/>
  <c r="O31" i="1" s="1"/>
  <c r="K31" i="1"/>
  <c r="N31" i="1" s="1"/>
  <c r="J7" i="18"/>
  <c r="L30" i="1"/>
  <c r="O30" i="1" s="1"/>
  <c r="K30" i="1"/>
  <c r="N30" i="1" s="1"/>
  <c r="J6" i="18"/>
  <c r="L28" i="1"/>
  <c r="O28" i="1" s="1"/>
  <c r="K28" i="1"/>
  <c r="N28" i="1" s="1"/>
  <c r="J8" i="6"/>
  <c r="L26" i="1"/>
  <c r="O26" i="1" s="1"/>
  <c r="K26" i="1"/>
  <c r="N26" i="1" s="1"/>
  <c r="J8" i="20"/>
  <c r="L25" i="1"/>
  <c r="O25" i="1" s="1"/>
  <c r="K25" i="1"/>
  <c r="N25" i="1" s="1"/>
  <c r="J9" i="6"/>
  <c r="L21" i="1"/>
  <c r="O21" i="1" s="1"/>
  <c r="K21" i="1"/>
  <c r="N21" i="1" s="1"/>
  <c r="J8" i="5"/>
  <c r="L20" i="1"/>
  <c r="O20" i="1" s="1"/>
  <c r="K20" i="1"/>
  <c r="N20" i="1" s="1"/>
  <c r="L19" i="1"/>
  <c r="O19" i="1" s="1"/>
  <c r="K19" i="1"/>
  <c r="N19" i="1" s="1"/>
  <c r="J9" i="7"/>
  <c r="L18" i="1"/>
  <c r="O18" i="1" s="1"/>
  <c r="K18" i="1"/>
  <c r="N18" i="1" s="1"/>
  <c r="J5" i="27"/>
  <c r="L16" i="1"/>
  <c r="O16" i="1" s="1"/>
  <c r="K16" i="1"/>
  <c r="N16" i="1" s="1"/>
  <c r="L12" i="1"/>
  <c r="O12" i="1" s="1"/>
  <c r="K12" i="1"/>
  <c r="N12" i="1" s="1"/>
  <c r="L5" i="1"/>
  <c r="O5" i="1" s="1"/>
  <c r="K5" i="1"/>
  <c r="N5" i="1" s="1"/>
  <c r="L3" i="1"/>
  <c r="O3" i="1" s="1"/>
  <c r="K3" i="1"/>
  <c r="N3" i="1" s="1"/>
  <c r="J9" i="46" l="1"/>
  <c r="G1" i="35"/>
  <c r="D1" i="47"/>
  <c r="G1" i="47" s="1"/>
  <c r="J5" i="2"/>
  <c r="J5" i="14"/>
  <c r="J5" i="7"/>
  <c r="J5" i="28"/>
  <c r="J9" i="5"/>
  <c r="J7" i="33"/>
  <c r="J8" i="38"/>
  <c r="J7" i="12"/>
  <c r="J6" i="14"/>
  <c r="J6" i="7"/>
  <c r="J6" i="28"/>
  <c r="J7" i="19"/>
  <c r="J7" i="31"/>
  <c r="J8" i="21"/>
  <c r="J7" i="25"/>
  <c r="J9" i="2"/>
  <c r="J9" i="14"/>
  <c r="J9" i="28"/>
  <c r="J10" i="2"/>
  <c r="J10" i="28"/>
  <c r="J7" i="5"/>
  <c r="J10" i="14"/>
  <c r="J10" i="7"/>
  <c r="J6" i="3"/>
  <c r="J6" i="6"/>
  <c r="K34" i="1"/>
  <c r="N34" i="1" s="1"/>
  <c r="L34" i="1"/>
  <c r="O34" i="1" s="1"/>
  <c r="L10" i="1"/>
  <c r="O10" i="1" s="1"/>
  <c r="K10" i="1"/>
  <c r="N10" i="1" s="1"/>
  <c r="K7" i="1"/>
  <c r="N7" i="1" s="1"/>
  <c r="L7" i="1"/>
  <c r="O7" i="1" s="1"/>
  <c r="L9" i="1"/>
  <c r="O9" i="1" s="1"/>
  <c r="K9" i="1"/>
  <c r="N9" i="1" s="1"/>
  <c r="K8" i="1"/>
  <c r="N8" i="1" s="1"/>
  <c r="L8" i="1"/>
  <c r="O8" i="1" s="1"/>
  <c r="J8" i="45"/>
  <c r="J8" i="15"/>
  <c r="J8" i="3"/>
  <c r="J8" i="13"/>
  <c r="J8" i="24"/>
  <c r="J10" i="19"/>
  <c r="J10" i="25"/>
  <c r="J7" i="28"/>
  <c r="J7" i="14"/>
  <c r="J7" i="20"/>
  <c r="J9" i="33"/>
  <c r="J10" i="21"/>
  <c r="J10" i="12"/>
  <c r="J11" i="35"/>
  <c r="J9" i="30"/>
  <c r="J9" i="29"/>
  <c r="J9" i="13"/>
  <c r="J7" i="2"/>
  <c r="J11" i="43"/>
  <c r="D1" i="44"/>
  <c r="G1" i="44" s="1"/>
  <c r="E7" i="44" s="1"/>
  <c r="G7" i="44" s="1"/>
  <c r="H7" i="44" s="1"/>
  <c r="K7" i="44" s="1"/>
  <c r="E9" i="48"/>
  <c r="G9" i="48" s="1"/>
  <c r="H9" i="48" s="1"/>
  <c r="K9" i="48" s="1"/>
  <c r="D1" i="46"/>
  <c r="G1" i="46" s="1"/>
  <c r="E12" i="46" s="1"/>
  <c r="G12" i="46" s="1"/>
  <c r="H12" i="46" s="1"/>
  <c r="K12" i="46" s="1"/>
  <c r="D1" i="30"/>
  <c r="G1" i="30" s="1"/>
  <c r="J7" i="48"/>
  <c r="J7" i="47"/>
  <c r="J8" i="30"/>
  <c r="J8" i="29"/>
  <c r="D1" i="45"/>
  <c r="G1" i="45" s="1"/>
  <c r="J5" i="6"/>
  <c r="J5" i="3"/>
  <c r="J9" i="48"/>
  <c r="J10" i="31"/>
  <c r="J9" i="24"/>
  <c r="J9" i="15"/>
  <c r="J9" i="47"/>
  <c r="D1" i="42"/>
  <c r="G1" i="42" s="1"/>
  <c r="D1" i="39"/>
  <c r="G1" i="39" s="1"/>
  <c r="D1" i="38"/>
  <c r="G1" i="38" s="1"/>
  <c r="D1" i="36"/>
  <c r="G1" i="36" s="1"/>
  <c r="D1" i="34"/>
  <c r="G1" i="34" s="1"/>
  <c r="D1" i="33"/>
  <c r="G1" i="33" s="1"/>
  <c r="D1" i="32"/>
  <c r="G1" i="32" s="1"/>
  <c r="D1" i="31"/>
  <c r="G1" i="31" s="1"/>
  <c r="D1" i="29"/>
  <c r="G1" i="29" s="1"/>
  <c r="D1" i="28"/>
  <c r="G1" i="28" s="1"/>
  <c r="D1" i="27"/>
  <c r="G1" i="27" s="1"/>
  <c r="D1" i="26"/>
  <c r="F1" i="26"/>
  <c r="D1" i="25"/>
  <c r="G1" i="25" s="1"/>
  <c r="D1" i="24"/>
  <c r="G1" i="24" s="1"/>
  <c r="D1" i="23"/>
  <c r="F1" i="23"/>
  <c r="D1" i="22"/>
  <c r="F1" i="22"/>
  <c r="D1" i="21"/>
  <c r="G1" i="21" s="1"/>
  <c r="D1" i="20"/>
  <c r="G1" i="20" s="1"/>
  <c r="D1" i="19"/>
  <c r="G1" i="19" s="1"/>
  <c r="D1" i="18"/>
  <c r="G1" i="18" s="1"/>
  <c r="D1" i="17"/>
  <c r="F1" i="17"/>
  <c r="D1" i="16"/>
  <c r="F1" i="16"/>
  <c r="D1" i="15"/>
  <c r="G1" i="15" s="1"/>
  <c r="D1" i="14"/>
  <c r="G1" i="14" s="1"/>
  <c r="D1" i="13"/>
  <c r="G1" i="13" s="1"/>
  <c r="D1" i="12"/>
  <c r="G1" i="12" s="1"/>
  <c r="E5" i="12" s="1"/>
  <c r="D1" i="8"/>
  <c r="F1" i="8"/>
  <c r="D1" i="7"/>
  <c r="G1" i="7" s="1"/>
  <c r="D1" i="6"/>
  <c r="G1" i="6" s="1"/>
  <c r="D1" i="5"/>
  <c r="G1" i="5" s="1"/>
  <c r="D1" i="4"/>
  <c r="G1" i="4" s="1"/>
  <c r="D1" i="3"/>
  <c r="G1" i="3" s="1"/>
  <c r="D1" i="2"/>
  <c r="G1" i="2" s="1"/>
  <c r="J5" i="30"/>
  <c r="J5" i="29"/>
  <c r="J5" i="13"/>
  <c r="J5" i="15"/>
  <c r="J5" i="24"/>
  <c r="J6" i="30"/>
  <c r="J6" i="29"/>
  <c r="J6" i="13"/>
  <c r="J6" i="15"/>
  <c r="J6" i="24"/>
  <c r="J6" i="25"/>
  <c r="J6" i="4"/>
  <c r="J6" i="12"/>
  <c r="J6" i="19"/>
  <c r="J6" i="31"/>
  <c r="J5" i="20"/>
  <c r="J8" i="12"/>
  <c r="J8" i="19"/>
  <c r="J8" i="25"/>
  <c r="J8" i="31"/>
  <c r="J8" i="4"/>
  <c r="J5" i="18"/>
  <c r="K14" i="1"/>
  <c r="N14" i="1" s="1"/>
  <c r="L14" i="1"/>
  <c r="O14" i="1" s="1"/>
  <c r="L13" i="1"/>
  <c r="O13" i="1" s="1"/>
  <c r="K13" i="1"/>
  <c r="N13" i="1" s="1"/>
  <c r="K11" i="1"/>
  <c r="N11" i="1" s="1"/>
  <c r="L11" i="1"/>
  <c r="O11" i="1" s="1"/>
  <c r="K6" i="1"/>
  <c r="N6" i="1" s="1"/>
  <c r="L6" i="1"/>
  <c r="O6" i="1" s="1"/>
  <c r="E10" i="30" l="1"/>
  <c r="G10" i="30" s="1"/>
  <c r="H10" i="30" s="1"/>
  <c r="K10" i="30" s="1"/>
  <c r="L10" i="30" s="1"/>
  <c r="E9" i="30"/>
  <c r="G9" i="30" s="1"/>
  <c r="H9" i="30" s="1"/>
  <c r="K9" i="30" s="1"/>
  <c r="L9" i="30" s="1"/>
  <c r="E6" i="16"/>
  <c r="G6" i="16" s="1"/>
  <c r="H6" i="16" s="1"/>
  <c r="K6" i="16" s="1"/>
  <c r="E7" i="16"/>
  <c r="G7" i="16" s="1"/>
  <c r="H7" i="16" s="1"/>
  <c r="K7" i="16" s="1"/>
  <c r="E8" i="16"/>
  <c r="G8" i="16" s="1"/>
  <c r="H8" i="16" s="1"/>
  <c r="K8" i="16" s="1"/>
  <c r="E5" i="16"/>
  <c r="G5" i="16" s="1"/>
  <c r="H5" i="16" s="1"/>
  <c r="E8" i="30"/>
  <c r="G8" i="30" s="1"/>
  <c r="H8" i="30" s="1"/>
  <c r="K8" i="30" s="1"/>
  <c r="L8" i="30" s="1"/>
  <c r="E5" i="30"/>
  <c r="G5" i="30" s="1"/>
  <c r="H5" i="30" s="1"/>
  <c r="E6" i="22"/>
  <c r="G6" i="22" s="1"/>
  <c r="H6" i="22" s="1"/>
  <c r="K6" i="22" s="1"/>
  <c r="E7" i="22"/>
  <c r="G7" i="22" s="1"/>
  <c r="H7" i="22" s="1"/>
  <c r="K7" i="22" s="1"/>
  <c r="E8" i="22"/>
  <c r="G8" i="22" s="1"/>
  <c r="H8" i="22" s="1"/>
  <c r="K8" i="22" s="1"/>
  <c r="E5" i="22"/>
  <c r="G5" i="22" s="1"/>
  <c r="H5" i="22" s="1"/>
  <c r="E6" i="46"/>
  <c r="G6" i="46" s="1"/>
  <c r="H6" i="46" s="1"/>
  <c r="K6" i="46" s="1"/>
  <c r="L6" i="46" s="1"/>
  <c r="E8" i="46"/>
  <c r="G8" i="46" s="1"/>
  <c r="H8" i="46" s="1"/>
  <c r="K8" i="46" s="1"/>
  <c r="L8" i="46" s="1"/>
  <c r="E10" i="46"/>
  <c r="G10" i="46" s="1"/>
  <c r="H10" i="46" s="1"/>
  <c r="K10" i="46" s="1"/>
  <c r="L10" i="46" s="1"/>
  <c r="E5" i="47"/>
  <c r="G5" i="47" s="1"/>
  <c r="H5" i="47" s="1"/>
  <c r="E6" i="47"/>
  <c r="G6" i="47" s="1"/>
  <c r="H6" i="47" s="1"/>
  <c r="K6" i="47" s="1"/>
  <c r="L6" i="47" s="1"/>
  <c r="E7" i="47"/>
  <c r="G7" i="47" s="1"/>
  <c r="H7" i="47" s="1"/>
  <c r="K7" i="47" s="1"/>
  <c r="L7" i="47" s="1"/>
  <c r="E9" i="47"/>
  <c r="G9" i="47" s="1"/>
  <c r="H9" i="47" s="1"/>
  <c r="K9" i="47" s="1"/>
  <c r="L9" i="47" s="1"/>
  <c r="E8" i="47"/>
  <c r="G8" i="47" s="1"/>
  <c r="H8" i="47" s="1"/>
  <c r="K8" i="47" s="1"/>
  <c r="E6" i="30"/>
  <c r="G6" i="30" s="1"/>
  <c r="H6" i="30" s="1"/>
  <c r="K6" i="30" s="1"/>
  <c r="L6" i="30" s="1"/>
  <c r="E9" i="44"/>
  <c r="G9" i="44" s="1"/>
  <c r="H9" i="44" s="1"/>
  <c r="K9" i="44" s="1"/>
  <c r="E7" i="30"/>
  <c r="G7" i="30" s="1"/>
  <c r="H7" i="30" s="1"/>
  <c r="K7" i="30" s="1"/>
  <c r="L7" i="30" s="1"/>
  <c r="E8" i="44"/>
  <c r="G8" i="44" s="1"/>
  <c r="H8" i="44" s="1"/>
  <c r="K8" i="44" s="1"/>
  <c r="L8" i="44" s="1"/>
  <c r="J9" i="44"/>
  <c r="J9" i="36"/>
  <c r="E6" i="48"/>
  <c r="G6" i="48" s="1"/>
  <c r="H6" i="48" s="1"/>
  <c r="K6" i="48" s="1"/>
  <c r="L6" i="48" s="1"/>
  <c r="E7" i="48"/>
  <c r="G7" i="48" s="1"/>
  <c r="H7" i="48" s="1"/>
  <c r="K7" i="48" s="1"/>
  <c r="L7" i="48" s="1"/>
  <c r="E5" i="44"/>
  <c r="G5" i="44" s="1"/>
  <c r="H5" i="44" s="1"/>
  <c r="E6" i="44"/>
  <c r="G6" i="44" s="1"/>
  <c r="H6" i="44" s="1"/>
  <c r="K6" i="44" s="1"/>
  <c r="E8" i="45"/>
  <c r="G8" i="45" s="1"/>
  <c r="H8" i="45" s="1"/>
  <c r="K8" i="45" s="1"/>
  <c r="L8" i="45" s="1"/>
  <c r="E5" i="45"/>
  <c r="G5" i="45" s="1"/>
  <c r="H5" i="45" s="1"/>
  <c r="E6" i="45"/>
  <c r="G6" i="45" s="1"/>
  <c r="H6" i="45" s="1"/>
  <c r="K6" i="45" s="1"/>
  <c r="E7" i="45"/>
  <c r="G7" i="45" s="1"/>
  <c r="H7" i="45" s="1"/>
  <c r="K7" i="45" s="1"/>
  <c r="E7" i="46"/>
  <c r="G7" i="46" s="1"/>
  <c r="H7" i="46" s="1"/>
  <c r="K7" i="46" s="1"/>
  <c r="L7" i="46" s="1"/>
  <c r="E5" i="46"/>
  <c r="G5" i="46" s="1"/>
  <c r="H5" i="46" s="1"/>
  <c r="E9" i="46"/>
  <c r="G9" i="46" s="1"/>
  <c r="H9" i="46" s="1"/>
  <c r="K9" i="46" s="1"/>
  <c r="L9" i="46" s="1"/>
  <c r="E11" i="46"/>
  <c r="G11" i="46" s="1"/>
  <c r="H11" i="46" s="1"/>
  <c r="K11" i="46" s="1"/>
  <c r="L11" i="46" s="1"/>
  <c r="E8" i="48"/>
  <c r="G8" i="48" s="1"/>
  <c r="H8" i="48" s="1"/>
  <c r="K8" i="48" s="1"/>
  <c r="E5" i="48"/>
  <c r="G5" i="48" s="1"/>
  <c r="H5" i="48" s="1"/>
  <c r="L9" i="48"/>
  <c r="L12" i="46"/>
  <c r="J7" i="38"/>
  <c r="J7" i="44"/>
  <c r="L7" i="44" s="1"/>
  <c r="J7" i="36"/>
  <c r="J7" i="35"/>
  <c r="J7" i="43"/>
  <c r="J7" i="45"/>
  <c r="J8" i="32"/>
  <c r="J8" i="42"/>
  <c r="J10" i="43"/>
  <c r="J10" i="35"/>
  <c r="J6" i="35"/>
  <c r="J6" i="44"/>
  <c r="J6" i="36"/>
  <c r="J6" i="43"/>
  <c r="J6" i="42"/>
  <c r="J6" i="32"/>
  <c r="J6" i="38"/>
  <c r="J8" i="33"/>
  <c r="J8" i="47"/>
  <c r="J8" i="48"/>
  <c r="J6" i="45"/>
  <c r="J7" i="32"/>
  <c r="J7" i="42"/>
  <c r="J5" i="43"/>
  <c r="J5" i="33"/>
  <c r="J5" i="47"/>
  <c r="J5" i="38"/>
  <c r="J5" i="44"/>
  <c r="J5" i="32"/>
  <c r="J5" i="35"/>
  <c r="J5" i="42"/>
  <c r="J5" i="48"/>
  <c r="J5" i="45"/>
  <c r="J5" i="36"/>
  <c r="E5" i="43"/>
  <c r="G5" i="43" s="1"/>
  <c r="H5" i="43" s="1"/>
  <c r="E6" i="43"/>
  <c r="G6" i="43" s="1"/>
  <c r="H6" i="43" s="1"/>
  <c r="K6" i="43" s="1"/>
  <c r="E8" i="43"/>
  <c r="G8" i="43" s="1"/>
  <c r="H8" i="43" s="1"/>
  <c r="K8" i="43" s="1"/>
  <c r="L8" i="43" s="1"/>
  <c r="E9" i="43"/>
  <c r="G9" i="43" s="1"/>
  <c r="H9" i="43" s="1"/>
  <c r="K9" i="43" s="1"/>
  <c r="L9" i="43" s="1"/>
  <c r="E7" i="43"/>
  <c r="G7" i="43" s="1"/>
  <c r="H7" i="43" s="1"/>
  <c r="K7" i="43" s="1"/>
  <c r="E10" i="43"/>
  <c r="G10" i="43" s="1"/>
  <c r="H10" i="43" s="1"/>
  <c r="K10" i="43" s="1"/>
  <c r="E11" i="43"/>
  <c r="G11" i="43" s="1"/>
  <c r="H11" i="43" s="1"/>
  <c r="K11" i="43" s="1"/>
  <c r="L11" i="43" s="1"/>
  <c r="E5" i="42"/>
  <c r="G5" i="42" s="1"/>
  <c r="H5" i="42" s="1"/>
  <c r="E6" i="42"/>
  <c r="G6" i="42" s="1"/>
  <c r="H6" i="42" s="1"/>
  <c r="K6" i="42" s="1"/>
  <c r="E7" i="42"/>
  <c r="G7" i="42" s="1"/>
  <c r="H7" i="42" s="1"/>
  <c r="K7" i="42" s="1"/>
  <c r="E9" i="42"/>
  <c r="G9" i="42" s="1"/>
  <c r="H9" i="42" s="1"/>
  <c r="K9" i="42" s="1"/>
  <c r="L9" i="42" s="1"/>
  <c r="E10" i="42"/>
  <c r="G10" i="42" s="1"/>
  <c r="H10" i="42" s="1"/>
  <c r="K10" i="42" s="1"/>
  <c r="L10" i="42" s="1"/>
  <c r="E8" i="42"/>
  <c r="G8" i="42" s="1"/>
  <c r="H8" i="42" s="1"/>
  <c r="K8" i="42" s="1"/>
  <c r="E5" i="39"/>
  <c r="G5" i="39" s="1"/>
  <c r="H5" i="39" s="1"/>
  <c r="E11" i="39"/>
  <c r="G11" i="39" s="1"/>
  <c r="H11" i="39" s="1"/>
  <c r="K11" i="39" s="1"/>
  <c r="L11" i="39" s="1"/>
  <c r="E12" i="39"/>
  <c r="G12" i="39" s="1"/>
  <c r="H12" i="39" s="1"/>
  <c r="K12" i="39" s="1"/>
  <c r="L12" i="39" s="1"/>
  <c r="E9" i="39"/>
  <c r="G9" i="39" s="1"/>
  <c r="H9" i="39" s="1"/>
  <c r="K9" i="39" s="1"/>
  <c r="L9" i="39" s="1"/>
  <c r="E6" i="39"/>
  <c r="G6" i="39" s="1"/>
  <c r="H6" i="39" s="1"/>
  <c r="K6" i="39" s="1"/>
  <c r="E10" i="39"/>
  <c r="G10" i="39" s="1"/>
  <c r="H10" i="39" s="1"/>
  <c r="K10" i="39" s="1"/>
  <c r="L10" i="39" s="1"/>
  <c r="E7" i="39"/>
  <c r="G7" i="39" s="1"/>
  <c r="H7" i="39" s="1"/>
  <c r="K7" i="39" s="1"/>
  <c r="L7" i="39" s="1"/>
  <c r="E8" i="39"/>
  <c r="G8" i="39" s="1"/>
  <c r="H8" i="39" s="1"/>
  <c r="K8" i="39" s="1"/>
  <c r="L8" i="39" s="1"/>
  <c r="E5" i="38"/>
  <c r="G5" i="38" s="1"/>
  <c r="H5" i="38" s="1"/>
  <c r="E8" i="38"/>
  <c r="G8" i="38" s="1"/>
  <c r="H8" i="38" s="1"/>
  <c r="K8" i="38" s="1"/>
  <c r="L8" i="38" s="1"/>
  <c r="E6" i="38"/>
  <c r="G6" i="38" s="1"/>
  <c r="H6" i="38" s="1"/>
  <c r="K6" i="38" s="1"/>
  <c r="E7" i="38"/>
  <c r="G7" i="38" s="1"/>
  <c r="H7" i="38" s="1"/>
  <c r="K7" i="38" s="1"/>
  <c r="E5" i="36"/>
  <c r="G5" i="36" s="1"/>
  <c r="H5" i="36" s="1"/>
  <c r="E6" i="36"/>
  <c r="G6" i="36" s="1"/>
  <c r="H6" i="36" s="1"/>
  <c r="K6" i="36" s="1"/>
  <c r="E9" i="36"/>
  <c r="G9" i="36" s="1"/>
  <c r="H9" i="36" s="1"/>
  <c r="K9" i="36" s="1"/>
  <c r="E8" i="36"/>
  <c r="G8" i="36" s="1"/>
  <c r="H8" i="36" s="1"/>
  <c r="K8" i="36" s="1"/>
  <c r="L8" i="36" s="1"/>
  <c r="E7" i="36"/>
  <c r="G7" i="36" s="1"/>
  <c r="H7" i="36" s="1"/>
  <c r="K7" i="36" s="1"/>
  <c r="E5" i="35"/>
  <c r="G5" i="35" s="1"/>
  <c r="H5" i="35" s="1"/>
  <c r="E8" i="35"/>
  <c r="G8" i="35" s="1"/>
  <c r="H8" i="35" s="1"/>
  <c r="K8" i="35" s="1"/>
  <c r="L8" i="35" s="1"/>
  <c r="E6" i="35"/>
  <c r="G6" i="35" s="1"/>
  <c r="H6" i="35" s="1"/>
  <c r="K6" i="35" s="1"/>
  <c r="E11" i="35"/>
  <c r="G11" i="35" s="1"/>
  <c r="H11" i="35" s="1"/>
  <c r="K11" i="35" s="1"/>
  <c r="L11" i="35" s="1"/>
  <c r="E9" i="35"/>
  <c r="G9" i="35" s="1"/>
  <c r="H9" i="35" s="1"/>
  <c r="K9" i="35" s="1"/>
  <c r="L9" i="35" s="1"/>
  <c r="E7" i="35"/>
  <c r="G7" i="35" s="1"/>
  <c r="H7" i="35" s="1"/>
  <c r="K7" i="35" s="1"/>
  <c r="E10" i="35"/>
  <c r="G10" i="35" s="1"/>
  <c r="H10" i="35" s="1"/>
  <c r="K10" i="35" s="1"/>
  <c r="E5" i="34"/>
  <c r="G5" i="34" s="1"/>
  <c r="H5" i="34" s="1"/>
  <c r="E6" i="34"/>
  <c r="G6" i="34" s="1"/>
  <c r="H6" i="34" s="1"/>
  <c r="K6" i="34" s="1"/>
  <c r="L6" i="34" s="1"/>
  <c r="E9" i="34"/>
  <c r="G9" i="34" s="1"/>
  <c r="H9" i="34" s="1"/>
  <c r="K9" i="34" s="1"/>
  <c r="L9" i="34" s="1"/>
  <c r="E7" i="34"/>
  <c r="G7" i="34" s="1"/>
  <c r="H7" i="34" s="1"/>
  <c r="K7" i="34" s="1"/>
  <c r="E8" i="34"/>
  <c r="G8" i="34" s="1"/>
  <c r="H8" i="34" s="1"/>
  <c r="K8" i="34" s="1"/>
  <c r="E6" i="33"/>
  <c r="G6" i="33" s="1"/>
  <c r="H6" i="33" s="1"/>
  <c r="K6" i="33" s="1"/>
  <c r="L6" i="33" s="1"/>
  <c r="E9" i="33"/>
  <c r="G9" i="33" s="1"/>
  <c r="H9" i="33" s="1"/>
  <c r="K9" i="33" s="1"/>
  <c r="L9" i="33" s="1"/>
  <c r="E7" i="33"/>
  <c r="G7" i="33" s="1"/>
  <c r="H7" i="33" s="1"/>
  <c r="K7" i="33" s="1"/>
  <c r="L7" i="33" s="1"/>
  <c r="E8" i="33"/>
  <c r="G8" i="33" s="1"/>
  <c r="H8" i="33" s="1"/>
  <c r="K8" i="33" s="1"/>
  <c r="E5" i="33"/>
  <c r="G5" i="33" s="1"/>
  <c r="H5" i="33" s="1"/>
  <c r="E5" i="32"/>
  <c r="G5" i="32" s="1"/>
  <c r="H5" i="32" s="1"/>
  <c r="E6" i="32"/>
  <c r="G6" i="32" s="1"/>
  <c r="H6" i="32" s="1"/>
  <c r="K6" i="32" s="1"/>
  <c r="E7" i="32"/>
  <c r="G7" i="32" s="1"/>
  <c r="H7" i="32" s="1"/>
  <c r="K7" i="32" s="1"/>
  <c r="E8" i="32"/>
  <c r="G8" i="32" s="1"/>
  <c r="H8" i="32" s="1"/>
  <c r="K8" i="32" s="1"/>
  <c r="E9" i="32"/>
  <c r="G9" i="32" s="1"/>
  <c r="H9" i="32" s="1"/>
  <c r="K9" i="32" s="1"/>
  <c r="L9" i="32" s="1"/>
  <c r="E10" i="32"/>
  <c r="G10" i="32" s="1"/>
  <c r="H10" i="32" s="1"/>
  <c r="K10" i="32" s="1"/>
  <c r="L10" i="32" s="1"/>
  <c r="E5" i="31"/>
  <c r="G5" i="31" s="1"/>
  <c r="H5" i="31" s="1"/>
  <c r="E8" i="31"/>
  <c r="G8" i="31" s="1"/>
  <c r="H8" i="31" s="1"/>
  <c r="K8" i="31" s="1"/>
  <c r="L8" i="31" s="1"/>
  <c r="E9" i="31"/>
  <c r="G9" i="31" s="1"/>
  <c r="H9" i="31" s="1"/>
  <c r="K9" i="31" s="1"/>
  <c r="L9" i="31" s="1"/>
  <c r="E10" i="31"/>
  <c r="G10" i="31" s="1"/>
  <c r="H10" i="31" s="1"/>
  <c r="K10" i="31" s="1"/>
  <c r="L10" i="31" s="1"/>
  <c r="E6" i="31"/>
  <c r="G6" i="31" s="1"/>
  <c r="H6" i="31" s="1"/>
  <c r="K6" i="31" s="1"/>
  <c r="L6" i="31" s="1"/>
  <c r="E7" i="31"/>
  <c r="G7" i="31" s="1"/>
  <c r="H7" i="31" s="1"/>
  <c r="K7" i="31" s="1"/>
  <c r="L7" i="31" s="1"/>
  <c r="E5" i="29"/>
  <c r="G5" i="29" s="1"/>
  <c r="H5" i="29" s="1"/>
  <c r="E6" i="29"/>
  <c r="G6" i="29" s="1"/>
  <c r="H6" i="29" s="1"/>
  <c r="K6" i="29" s="1"/>
  <c r="L6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0" i="29"/>
  <c r="G10" i="29" s="1"/>
  <c r="H10" i="29" s="1"/>
  <c r="K10" i="29" s="1"/>
  <c r="L10" i="29" s="1"/>
  <c r="E7" i="29"/>
  <c r="G7" i="29" s="1"/>
  <c r="H7" i="29" s="1"/>
  <c r="K7" i="29" s="1"/>
  <c r="L7" i="29" s="1"/>
  <c r="E5" i="28"/>
  <c r="G5" i="28" s="1"/>
  <c r="H5" i="28" s="1"/>
  <c r="E6" i="28"/>
  <c r="G6" i="28" s="1"/>
  <c r="H6" i="28" s="1"/>
  <c r="K6" i="28" s="1"/>
  <c r="L6" i="28" s="1"/>
  <c r="E7" i="28"/>
  <c r="G7" i="28" s="1"/>
  <c r="H7" i="28" s="1"/>
  <c r="K7" i="28" s="1"/>
  <c r="L7" i="28" s="1"/>
  <c r="E9" i="28"/>
  <c r="G9" i="28" s="1"/>
  <c r="H9" i="28" s="1"/>
  <c r="K9" i="28" s="1"/>
  <c r="L9" i="28" s="1"/>
  <c r="E10" i="28"/>
  <c r="G10" i="28" s="1"/>
  <c r="H10" i="28" s="1"/>
  <c r="K10" i="28" s="1"/>
  <c r="L10" i="28" s="1"/>
  <c r="E8" i="28"/>
  <c r="G8" i="28" s="1"/>
  <c r="H8" i="28" s="1"/>
  <c r="K8" i="28" s="1"/>
  <c r="L8" i="28" s="1"/>
  <c r="E5" i="27"/>
  <c r="G5" i="27" s="1"/>
  <c r="H5" i="27" s="1"/>
  <c r="E6" i="27"/>
  <c r="G6" i="27" s="1"/>
  <c r="H6" i="27" s="1"/>
  <c r="K6" i="27" s="1"/>
  <c r="L6" i="27" s="1"/>
  <c r="E5" i="26"/>
  <c r="G5" i="26" s="1"/>
  <c r="H5" i="26" s="1"/>
  <c r="E6" i="26"/>
  <c r="G6" i="26" s="1"/>
  <c r="H6" i="26" s="1"/>
  <c r="K6" i="26" s="1"/>
  <c r="E7" i="26"/>
  <c r="G7" i="26" s="1"/>
  <c r="H7" i="26" s="1"/>
  <c r="K7" i="26" s="1"/>
  <c r="E8" i="26"/>
  <c r="G8" i="26" s="1"/>
  <c r="H8" i="26" s="1"/>
  <c r="K8" i="26" s="1"/>
  <c r="E8" i="25"/>
  <c r="G8" i="25" s="1"/>
  <c r="H8" i="25" s="1"/>
  <c r="K8" i="25" s="1"/>
  <c r="L8" i="25" s="1"/>
  <c r="E10" i="25"/>
  <c r="G10" i="25" s="1"/>
  <c r="H10" i="25" s="1"/>
  <c r="K10" i="25" s="1"/>
  <c r="L10" i="25" s="1"/>
  <c r="E5" i="25"/>
  <c r="G5" i="25" s="1"/>
  <c r="H5" i="25" s="1"/>
  <c r="E9" i="25"/>
  <c r="G9" i="25" s="1"/>
  <c r="H9" i="25" s="1"/>
  <c r="K9" i="25" s="1"/>
  <c r="L9" i="25" s="1"/>
  <c r="E6" i="25"/>
  <c r="G6" i="25" s="1"/>
  <c r="H6" i="25" s="1"/>
  <c r="K6" i="25" s="1"/>
  <c r="L6" i="25" s="1"/>
  <c r="E7" i="25"/>
  <c r="G7" i="25" s="1"/>
  <c r="H7" i="25" s="1"/>
  <c r="K7" i="25" s="1"/>
  <c r="L7" i="25" s="1"/>
  <c r="E5" i="24"/>
  <c r="G5" i="24" s="1"/>
  <c r="H5" i="24" s="1"/>
  <c r="E7" i="24"/>
  <c r="G7" i="24" s="1"/>
  <c r="H7" i="24" s="1"/>
  <c r="K7" i="24" s="1"/>
  <c r="L7" i="24" s="1"/>
  <c r="E8" i="24"/>
  <c r="G8" i="24" s="1"/>
  <c r="H8" i="24" s="1"/>
  <c r="K8" i="24" s="1"/>
  <c r="L8" i="24" s="1"/>
  <c r="E6" i="24"/>
  <c r="G6" i="24" s="1"/>
  <c r="H6" i="24" s="1"/>
  <c r="K6" i="24" s="1"/>
  <c r="L6" i="24" s="1"/>
  <c r="E9" i="24"/>
  <c r="G9" i="24" s="1"/>
  <c r="H9" i="24" s="1"/>
  <c r="K9" i="24" s="1"/>
  <c r="L9" i="24" s="1"/>
  <c r="E10" i="24"/>
  <c r="G10" i="24" s="1"/>
  <c r="H10" i="24" s="1"/>
  <c r="K10" i="24" s="1"/>
  <c r="L10" i="24" s="1"/>
  <c r="E5" i="23"/>
  <c r="G5" i="23" s="1"/>
  <c r="H5" i="23" s="1"/>
  <c r="E6" i="23"/>
  <c r="G6" i="23" s="1"/>
  <c r="H6" i="23" s="1"/>
  <c r="K6" i="23" s="1"/>
  <c r="E8" i="23"/>
  <c r="G8" i="23" s="1"/>
  <c r="H8" i="23" s="1"/>
  <c r="K8" i="23" s="1"/>
  <c r="E7" i="23"/>
  <c r="G7" i="23" s="1"/>
  <c r="H7" i="23" s="1"/>
  <c r="K7" i="23" s="1"/>
  <c r="E6" i="21"/>
  <c r="G6" i="21" s="1"/>
  <c r="H6" i="21" s="1"/>
  <c r="K6" i="21" s="1"/>
  <c r="L6" i="21" s="1"/>
  <c r="E9" i="21"/>
  <c r="G9" i="21" s="1"/>
  <c r="H9" i="21" s="1"/>
  <c r="K9" i="21" s="1"/>
  <c r="L9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5" i="21"/>
  <c r="G5" i="21" s="1"/>
  <c r="H5" i="21" s="1"/>
  <c r="E10" i="21"/>
  <c r="G10" i="21" s="1"/>
  <c r="H10" i="21" s="1"/>
  <c r="K10" i="21" s="1"/>
  <c r="L10" i="21" s="1"/>
  <c r="E5" i="20"/>
  <c r="G5" i="20" s="1"/>
  <c r="H5" i="20" s="1"/>
  <c r="E7" i="20"/>
  <c r="G7" i="20" s="1"/>
  <c r="H7" i="20" s="1"/>
  <c r="K7" i="20" s="1"/>
  <c r="L7" i="20" s="1"/>
  <c r="E8" i="20"/>
  <c r="G8" i="20" s="1"/>
  <c r="H8" i="20" s="1"/>
  <c r="K8" i="20" s="1"/>
  <c r="L8" i="20" s="1"/>
  <c r="E6" i="20"/>
  <c r="G6" i="20" s="1"/>
  <c r="H6" i="20" s="1"/>
  <c r="K6" i="20" s="1"/>
  <c r="L6" i="20" s="1"/>
  <c r="E5" i="19"/>
  <c r="G5" i="19" s="1"/>
  <c r="H5" i="19" s="1"/>
  <c r="E6" i="19"/>
  <c r="G6" i="19" s="1"/>
  <c r="H6" i="19" s="1"/>
  <c r="K6" i="19" s="1"/>
  <c r="L6" i="19" s="1"/>
  <c r="E7" i="19"/>
  <c r="G7" i="19" s="1"/>
  <c r="H7" i="19" s="1"/>
  <c r="K7" i="19" s="1"/>
  <c r="L7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E8" i="19"/>
  <c r="G8" i="19" s="1"/>
  <c r="H8" i="19" s="1"/>
  <c r="K8" i="19" s="1"/>
  <c r="L8" i="19" s="1"/>
  <c r="E6" i="18"/>
  <c r="G6" i="18" s="1"/>
  <c r="H6" i="18" s="1"/>
  <c r="K6" i="18" s="1"/>
  <c r="L6" i="18" s="1"/>
  <c r="E7" i="18"/>
  <c r="G7" i="18" s="1"/>
  <c r="H7" i="18" s="1"/>
  <c r="K7" i="18" s="1"/>
  <c r="L7" i="18" s="1"/>
  <c r="E5" i="18"/>
  <c r="G5" i="18" s="1"/>
  <c r="H5" i="18" s="1"/>
  <c r="E5" i="17"/>
  <c r="G5" i="17" s="1"/>
  <c r="H5" i="17" s="1"/>
  <c r="E7" i="17"/>
  <c r="G7" i="17" s="1"/>
  <c r="H7" i="17" s="1"/>
  <c r="K7" i="17" s="1"/>
  <c r="E6" i="17"/>
  <c r="G6" i="17" s="1"/>
  <c r="H6" i="17" s="1"/>
  <c r="K6" i="17" s="1"/>
  <c r="E8" i="17"/>
  <c r="G8" i="17" s="1"/>
  <c r="H8" i="17" s="1"/>
  <c r="K8" i="17" s="1"/>
  <c r="E7" i="15"/>
  <c r="G7" i="15" s="1"/>
  <c r="H7" i="15" s="1"/>
  <c r="K7" i="15" s="1"/>
  <c r="L7" i="15" s="1"/>
  <c r="E5" i="15"/>
  <c r="G5" i="15" s="1"/>
  <c r="H5" i="15" s="1"/>
  <c r="E10" i="15"/>
  <c r="G10" i="15" s="1"/>
  <c r="H10" i="15" s="1"/>
  <c r="K10" i="15" s="1"/>
  <c r="L10" i="15" s="1"/>
  <c r="E9" i="15"/>
  <c r="G9" i="15" s="1"/>
  <c r="H9" i="15" s="1"/>
  <c r="K9" i="15" s="1"/>
  <c r="L9" i="15" s="1"/>
  <c r="E6" i="15"/>
  <c r="G6" i="15" s="1"/>
  <c r="H6" i="15" s="1"/>
  <c r="K6" i="15" s="1"/>
  <c r="L6" i="15" s="1"/>
  <c r="E8" i="15"/>
  <c r="G8" i="15" s="1"/>
  <c r="H8" i="15" s="1"/>
  <c r="K8" i="15" s="1"/>
  <c r="L8" i="15" s="1"/>
  <c r="E5" i="14"/>
  <c r="G5" i="14" s="1"/>
  <c r="H5" i="14" s="1"/>
  <c r="E10" i="14"/>
  <c r="G10" i="14" s="1"/>
  <c r="H10" i="14" s="1"/>
  <c r="K10" i="14" s="1"/>
  <c r="L10" i="14" s="1"/>
  <c r="E6" i="14"/>
  <c r="G6" i="14" s="1"/>
  <c r="H6" i="14" s="1"/>
  <c r="K6" i="14" s="1"/>
  <c r="L6" i="14" s="1"/>
  <c r="E9" i="14"/>
  <c r="G9" i="14" s="1"/>
  <c r="H9" i="14" s="1"/>
  <c r="K9" i="14" s="1"/>
  <c r="L9" i="14" s="1"/>
  <c r="E7" i="14"/>
  <c r="G7" i="14" s="1"/>
  <c r="H7" i="14" s="1"/>
  <c r="K7" i="14" s="1"/>
  <c r="L7" i="14" s="1"/>
  <c r="E8" i="14"/>
  <c r="G8" i="14" s="1"/>
  <c r="H8" i="14" s="1"/>
  <c r="K8" i="14" s="1"/>
  <c r="L8" i="14" s="1"/>
  <c r="E5" i="13"/>
  <c r="G5" i="13" s="1"/>
  <c r="H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G5" i="12"/>
  <c r="H5" i="12" s="1"/>
  <c r="E10" i="12"/>
  <c r="G10" i="12" s="1"/>
  <c r="H10" i="12" s="1"/>
  <c r="K10" i="12" s="1"/>
  <c r="L10" i="12" s="1"/>
  <c r="E7" i="12"/>
  <c r="G7" i="12" s="1"/>
  <c r="H7" i="12" s="1"/>
  <c r="K7" i="12" s="1"/>
  <c r="L7" i="12" s="1"/>
  <c r="E9" i="12"/>
  <c r="G9" i="12" s="1"/>
  <c r="H9" i="12" s="1"/>
  <c r="K9" i="12" s="1"/>
  <c r="L9" i="12" s="1"/>
  <c r="E6" i="12"/>
  <c r="G6" i="12" s="1"/>
  <c r="H6" i="12" s="1"/>
  <c r="K6" i="12" s="1"/>
  <c r="L6" i="12" s="1"/>
  <c r="E8" i="12"/>
  <c r="G8" i="12" s="1"/>
  <c r="H8" i="12" s="1"/>
  <c r="K8" i="12" s="1"/>
  <c r="L8" i="12" s="1"/>
  <c r="E5" i="8"/>
  <c r="G5" i="8" s="1"/>
  <c r="H5" i="8" s="1"/>
  <c r="E6" i="8"/>
  <c r="G6" i="8" s="1"/>
  <c r="H6" i="8" s="1"/>
  <c r="K6" i="8" s="1"/>
  <c r="E7" i="8"/>
  <c r="G7" i="8" s="1"/>
  <c r="H7" i="8" s="1"/>
  <c r="K7" i="8" s="1"/>
  <c r="E8" i="8"/>
  <c r="G8" i="8" s="1"/>
  <c r="H8" i="8" s="1"/>
  <c r="K8" i="8" s="1"/>
  <c r="E5" i="7"/>
  <c r="G5" i="7" s="1"/>
  <c r="H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E5" i="6"/>
  <c r="G5" i="6" s="1"/>
  <c r="H5" i="6" s="1"/>
  <c r="E8" i="6"/>
  <c r="G8" i="6" s="1"/>
  <c r="H8" i="6" s="1"/>
  <c r="K8" i="6" s="1"/>
  <c r="L8" i="6" s="1"/>
  <c r="E10" i="6"/>
  <c r="G10" i="6" s="1"/>
  <c r="H10" i="6" s="1"/>
  <c r="K10" i="6" s="1"/>
  <c r="L10" i="6" s="1"/>
  <c r="E6" i="6"/>
  <c r="G6" i="6" s="1"/>
  <c r="H6" i="6" s="1"/>
  <c r="K6" i="6" s="1"/>
  <c r="L6" i="6" s="1"/>
  <c r="E7" i="6"/>
  <c r="G7" i="6" s="1"/>
  <c r="H7" i="6" s="1"/>
  <c r="K7" i="6" s="1"/>
  <c r="L7" i="6" s="1"/>
  <c r="E9" i="6"/>
  <c r="G9" i="6" s="1"/>
  <c r="H9" i="6" s="1"/>
  <c r="K9" i="6" s="1"/>
  <c r="L9" i="6" s="1"/>
  <c r="E7" i="5"/>
  <c r="G7" i="5" s="1"/>
  <c r="H7" i="5" s="1"/>
  <c r="K7" i="5" s="1"/>
  <c r="L7" i="5" s="1"/>
  <c r="E8" i="5"/>
  <c r="G8" i="5" s="1"/>
  <c r="H8" i="5" s="1"/>
  <c r="K8" i="5" s="1"/>
  <c r="L8" i="5" s="1"/>
  <c r="E5" i="5"/>
  <c r="G5" i="5" s="1"/>
  <c r="H5" i="5" s="1"/>
  <c r="E6" i="5"/>
  <c r="G6" i="5" s="1"/>
  <c r="H6" i="5" s="1"/>
  <c r="K6" i="5" s="1"/>
  <c r="E9" i="5"/>
  <c r="G9" i="5" s="1"/>
  <c r="H9" i="5" s="1"/>
  <c r="K9" i="5" s="1"/>
  <c r="L9" i="5" s="1"/>
  <c r="E5" i="4"/>
  <c r="G5" i="4" s="1"/>
  <c r="H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L8" i="4" s="1"/>
  <c r="E9" i="4"/>
  <c r="G9" i="4" s="1"/>
  <c r="H9" i="4" s="1"/>
  <c r="K9" i="4" s="1"/>
  <c r="L9" i="4" s="1"/>
  <c r="E10" i="4"/>
  <c r="G10" i="4" s="1"/>
  <c r="H10" i="4" s="1"/>
  <c r="K10" i="4" s="1"/>
  <c r="L10" i="4" s="1"/>
  <c r="E6" i="3"/>
  <c r="G6" i="3" s="1"/>
  <c r="H6" i="3" s="1"/>
  <c r="K6" i="3" s="1"/>
  <c r="L6" i="3" s="1"/>
  <c r="E7" i="3"/>
  <c r="G7" i="3" s="1"/>
  <c r="H7" i="3" s="1"/>
  <c r="K7" i="3" s="1"/>
  <c r="L7" i="3" s="1"/>
  <c r="E9" i="3"/>
  <c r="G9" i="3" s="1"/>
  <c r="H9" i="3" s="1"/>
  <c r="K9" i="3" s="1"/>
  <c r="L9" i="3" s="1"/>
  <c r="E10" i="3"/>
  <c r="G10" i="3" s="1"/>
  <c r="H10" i="3" s="1"/>
  <c r="K10" i="3" s="1"/>
  <c r="L10" i="3" s="1"/>
  <c r="E8" i="3"/>
  <c r="G8" i="3" s="1"/>
  <c r="H8" i="3" s="1"/>
  <c r="K8" i="3" s="1"/>
  <c r="L8" i="3" s="1"/>
  <c r="E5" i="3"/>
  <c r="G5" i="3" s="1"/>
  <c r="H5" i="3" s="1"/>
  <c r="E5" i="2"/>
  <c r="G5" i="2" s="1"/>
  <c r="H5" i="2" s="1"/>
  <c r="E10" i="2"/>
  <c r="G10" i="2" s="1"/>
  <c r="H10" i="2" s="1"/>
  <c r="K10" i="2" s="1"/>
  <c r="L10" i="2" s="1"/>
  <c r="E7" i="2"/>
  <c r="G7" i="2" s="1"/>
  <c r="H7" i="2" s="1"/>
  <c r="K7" i="2" s="1"/>
  <c r="L7" i="2" s="1"/>
  <c r="E9" i="2"/>
  <c r="G9" i="2" s="1"/>
  <c r="H9" i="2" s="1"/>
  <c r="K9" i="2" s="1"/>
  <c r="L9" i="2" s="1"/>
  <c r="E8" i="2"/>
  <c r="G8" i="2" s="1"/>
  <c r="H8" i="2" s="1"/>
  <c r="K8" i="2" s="1"/>
  <c r="L8" i="2" s="1"/>
  <c r="E6" i="2"/>
  <c r="G6" i="2" s="1"/>
  <c r="H6" i="2" s="1"/>
  <c r="K6" i="2" s="1"/>
  <c r="L6" i="2" s="1"/>
  <c r="J6" i="8"/>
  <c r="J6" i="22"/>
  <c r="J6" i="23"/>
  <c r="J6" i="26"/>
  <c r="J6" i="17"/>
  <c r="J6" i="16"/>
  <c r="J8" i="22"/>
  <c r="J8" i="8"/>
  <c r="J8" i="16"/>
  <c r="J8" i="23"/>
  <c r="J8" i="17"/>
  <c r="J6" i="5"/>
  <c r="J8" i="26"/>
  <c r="J7" i="8"/>
  <c r="J7" i="22"/>
  <c r="J7" i="23"/>
  <c r="J7" i="26"/>
  <c r="J7" i="17"/>
  <c r="J7" i="16"/>
  <c r="J5" i="8"/>
  <c r="J5" i="22"/>
  <c r="J5" i="23"/>
  <c r="J5" i="16"/>
  <c r="J5" i="17"/>
  <c r="J5" i="5"/>
  <c r="J5" i="26"/>
  <c r="H9" i="23" l="1"/>
  <c r="H9" i="26"/>
  <c r="H12" i="35"/>
  <c r="H9" i="17"/>
  <c r="H9" i="8"/>
  <c r="K5" i="48"/>
  <c r="L5" i="48" s="1"/>
  <c r="H10" i="48"/>
  <c r="K5" i="33"/>
  <c r="L5" i="33" s="1"/>
  <c r="H10" i="33"/>
  <c r="K5" i="31"/>
  <c r="L5" i="31" s="1"/>
  <c r="H11" i="31"/>
  <c r="K5" i="30"/>
  <c r="L5" i="30" s="1"/>
  <c r="H11" i="30"/>
  <c r="K5" i="29"/>
  <c r="L5" i="29" s="1"/>
  <c r="H11" i="29"/>
  <c r="K5" i="28"/>
  <c r="L5" i="28" s="1"/>
  <c r="H11" i="28"/>
  <c r="K5" i="27"/>
  <c r="L5" i="27" s="1"/>
  <c r="H7" i="27"/>
  <c r="K5" i="44"/>
  <c r="L5" i="44" s="1"/>
  <c r="H10" i="44"/>
  <c r="K5" i="36"/>
  <c r="L5" i="36" s="1"/>
  <c r="H10" i="36"/>
  <c r="K5" i="25"/>
  <c r="L5" i="25" s="1"/>
  <c r="H11" i="25"/>
  <c r="K5" i="24"/>
  <c r="L5" i="24" s="1"/>
  <c r="H11" i="24"/>
  <c r="K5" i="47"/>
  <c r="L5" i="47" s="1"/>
  <c r="H10" i="47"/>
  <c r="K5" i="34"/>
  <c r="L5" i="34" s="1"/>
  <c r="H10" i="34"/>
  <c r="K5" i="22"/>
  <c r="L5" i="22" s="1"/>
  <c r="H9" i="22"/>
  <c r="K5" i="21"/>
  <c r="L5" i="21" s="1"/>
  <c r="H11" i="21"/>
  <c r="K5" i="20"/>
  <c r="L5" i="20" s="1"/>
  <c r="H9" i="20"/>
  <c r="K5" i="19"/>
  <c r="L5" i="19" s="1"/>
  <c r="H11" i="19"/>
  <c r="K5" i="43"/>
  <c r="L5" i="43" s="1"/>
  <c r="H12" i="43"/>
  <c r="K5" i="18"/>
  <c r="L5" i="18" s="1"/>
  <c r="H8" i="18"/>
  <c r="K5" i="15"/>
  <c r="L5" i="15" s="1"/>
  <c r="H11" i="15"/>
  <c r="K5" i="14"/>
  <c r="L5" i="14" s="1"/>
  <c r="H11" i="14"/>
  <c r="K5" i="45"/>
  <c r="L5" i="45" s="1"/>
  <c r="H9" i="45"/>
  <c r="K5" i="38"/>
  <c r="L5" i="38" s="1"/>
  <c r="H9" i="38"/>
  <c r="K5" i="42"/>
  <c r="L5" i="42" s="1"/>
  <c r="H11" i="42"/>
  <c r="K5" i="32"/>
  <c r="L5" i="32" s="1"/>
  <c r="H11" i="32"/>
  <c r="K5" i="13"/>
  <c r="L5" i="13" s="1"/>
  <c r="H11" i="13"/>
  <c r="K5" i="12"/>
  <c r="L5" i="12" s="1"/>
  <c r="H11" i="12"/>
  <c r="K5" i="46"/>
  <c r="L5" i="46" s="1"/>
  <c r="H13" i="46"/>
  <c r="K5" i="39"/>
  <c r="L5" i="39" s="1"/>
  <c r="H13" i="39"/>
  <c r="K5" i="7"/>
  <c r="L5" i="7" s="1"/>
  <c r="H11" i="7"/>
  <c r="K5" i="6"/>
  <c r="L5" i="6" s="1"/>
  <c r="H11" i="6"/>
  <c r="K5" i="5"/>
  <c r="L5" i="5" s="1"/>
  <c r="H10" i="5"/>
  <c r="K5" i="4"/>
  <c r="L5" i="4" s="1"/>
  <c r="H11" i="4"/>
  <c r="K5" i="3"/>
  <c r="L5" i="3" s="1"/>
  <c r="H11" i="3"/>
  <c r="K5" i="2"/>
  <c r="L5" i="2" s="1"/>
  <c r="H11" i="2"/>
  <c r="K5" i="35"/>
  <c r="L5" i="35" s="1"/>
  <c r="K5" i="16"/>
  <c r="L5" i="16" s="1"/>
  <c r="H9" i="16"/>
  <c r="L8" i="47"/>
  <c r="L9" i="44"/>
  <c r="L6" i="44"/>
  <c r="L9" i="36"/>
  <c r="L8" i="23"/>
  <c r="L7" i="45"/>
  <c r="L6" i="45"/>
  <c r="L8" i="48"/>
  <c r="L8" i="26"/>
  <c r="L7" i="26"/>
  <c r="L6" i="26"/>
  <c r="L6" i="23"/>
  <c r="L7" i="23"/>
  <c r="L8" i="22"/>
  <c r="L6" i="22"/>
  <c r="L7" i="22"/>
  <c r="L6" i="17"/>
  <c r="L8" i="17"/>
  <c r="L7" i="17"/>
  <c r="L8" i="16"/>
  <c r="L6" i="16"/>
  <c r="L7" i="16"/>
  <c r="L8" i="8"/>
  <c r="L6" i="8"/>
  <c r="L6" i="5"/>
  <c r="L10" i="43"/>
  <c r="L6" i="42"/>
  <c r="L7" i="42"/>
  <c r="L8" i="42"/>
  <c r="L6" i="39"/>
  <c r="L6" i="38"/>
  <c r="L7" i="38"/>
  <c r="L6" i="36"/>
  <c r="L7" i="36"/>
  <c r="L7" i="35"/>
  <c r="L10" i="35"/>
  <c r="L8" i="34"/>
  <c r="L6" i="32"/>
  <c r="L7" i="32"/>
  <c r="L8" i="32"/>
  <c r="L6" i="35"/>
  <c r="L7" i="34"/>
  <c r="L8" i="33"/>
  <c r="L7" i="43"/>
  <c r="L6" i="43"/>
  <c r="K5" i="26"/>
  <c r="L5" i="26" s="1"/>
  <c r="K5" i="23"/>
  <c r="L5" i="23" s="1"/>
  <c r="K5" i="17"/>
  <c r="L5" i="17" s="1"/>
  <c r="K5" i="8"/>
  <c r="L5" i="8" s="1"/>
  <c r="L7" i="8"/>
  <c r="Y8" i="3" l="1"/>
  <c r="Q21" i="3"/>
  <c r="Y8" i="7"/>
  <c r="Q21" i="7"/>
  <c r="Y8" i="6"/>
  <c r="Q21" i="6"/>
  <c r="Y8" i="4"/>
  <c r="Q21" i="4"/>
  <c r="Y8" i="2"/>
  <c r="Q21" i="2"/>
  <c r="Q21" i="27"/>
  <c r="Y8" i="27"/>
  <c r="Y8" i="47"/>
  <c r="Q21" i="47"/>
  <c r="Q21" i="21"/>
  <c r="Y8" i="21"/>
  <c r="Q21" i="20"/>
  <c r="Y8" i="20"/>
  <c r="Q21" i="18"/>
  <c r="Y8" i="18"/>
  <c r="Q21" i="46"/>
  <c r="Y8" i="46"/>
  <c r="Q21" i="44"/>
  <c r="Y8" i="44"/>
  <c r="Y8" i="35"/>
  <c r="Y8" i="36"/>
  <c r="Y8" i="39"/>
  <c r="Q21" i="39"/>
  <c r="Q21" i="43"/>
  <c r="Q21" i="5"/>
  <c r="Y8" i="45"/>
  <c r="Q21" i="45"/>
  <c r="Q21" i="8"/>
  <c r="Y8" i="8" s="1"/>
  <c r="Y8" i="38"/>
  <c r="Y8" i="34"/>
  <c r="Q21" i="34"/>
  <c r="Y8" i="43"/>
  <c r="Y8" i="5"/>
  <c r="Y8" i="48"/>
  <c r="Q21" i="48"/>
  <c r="Y8" i="42"/>
  <c r="Q21" i="42"/>
  <c r="Q21" i="33"/>
  <c r="Y8" i="33"/>
  <c r="Q21" i="35"/>
  <c r="Q21" i="38"/>
  <c r="Q21" i="36"/>
  <c r="Y8" i="32"/>
  <c r="Q21" i="32"/>
</calcChain>
</file>

<file path=xl/sharedStrings.xml><?xml version="1.0" encoding="utf-8"?>
<sst xmlns="http://schemas.openxmlformats.org/spreadsheetml/2006/main" count="2071" uniqueCount="328">
  <si>
    <t>ITEMS</t>
  </si>
  <si>
    <t>Category</t>
  </si>
  <si>
    <t>Unit</t>
  </si>
  <si>
    <t>Daily Weight</t>
  </si>
  <si>
    <t>Weekly Weight</t>
  </si>
  <si>
    <t>Yield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</si>
  <si>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</si>
  <si>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</si>
  <si>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</si>
  <si>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</si>
  <si>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Weekly Order</t>
  </si>
  <si>
    <t>Daily Order</t>
  </si>
  <si>
    <t>Order Unit</t>
  </si>
  <si>
    <t>Weekly Price</t>
  </si>
  <si>
    <t>Daily Price</t>
  </si>
  <si>
    <t>DAY SELECTOR
اليوم</t>
  </si>
  <si>
    <t>SHEET REFERENCE</t>
  </si>
  <si>
    <t>Meal name</t>
  </si>
  <si>
    <t>Total Count</t>
  </si>
  <si>
    <t>SHEET NAME</t>
  </si>
  <si>
    <t>Count</t>
  </si>
  <si>
    <t>فول</t>
  </si>
  <si>
    <t>كلوب ساندوتش بالدجاج</t>
  </si>
  <si>
    <t>Yogurt - زبادي</t>
  </si>
  <si>
    <t>منتجات ألبان</t>
  </si>
  <si>
    <t>gm</t>
  </si>
  <si>
    <t>10 Kg</t>
  </si>
  <si>
    <t>KG</t>
  </si>
  <si>
    <t>Tahina Small</t>
  </si>
  <si>
    <t>ساندوتش دجاج أوصال</t>
  </si>
  <si>
    <t>ساندوتش الدجاج المشوي</t>
  </si>
  <si>
    <t>Red sauce</t>
  </si>
  <si>
    <t>دجاج بالكاري</t>
  </si>
  <si>
    <t>ستيك دجاج</t>
  </si>
  <si>
    <t>Lemon Juice - عصير ليمون</t>
  </si>
  <si>
    <t>صوصات ومنكهات</t>
  </si>
  <si>
    <t>ml</t>
  </si>
  <si>
    <t>12000 ML/Cartoon</t>
  </si>
  <si>
    <t>Carton</t>
  </si>
  <si>
    <t>Cucumber yogurt sauce</t>
  </si>
  <si>
    <t>المكرونة</t>
  </si>
  <si>
    <t>خضار سوتيه</t>
  </si>
  <si>
    <t>Mayonnaise - مايونيز</t>
  </si>
  <si>
    <t>14800 L/Carton</t>
  </si>
  <si>
    <t>Herbal Sauce</t>
  </si>
  <si>
    <t>البطاطس المهروسة</t>
  </si>
  <si>
    <t>Mustard - خردل</t>
  </si>
  <si>
    <t>15.12 L / Carton</t>
  </si>
  <si>
    <t>Red sauce Big</t>
  </si>
  <si>
    <t>كبسة لحم</t>
  </si>
  <si>
    <t>دجاج بالفطر</t>
  </si>
  <si>
    <t>Sesame Paste - طحينة السمسم</t>
  </si>
  <si>
    <t>16000 KG/Can</t>
  </si>
  <si>
    <t>Can</t>
  </si>
  <si>
    <t>Tahina Big</t>
  </si>
  <si>
    <t>-</t>
  </si>
  <si>
    <t>الأرز الأبيض</t>
  </si>
  <si>
    <t>Sriracha Sauce - صوص سريراتشا</t>
  </si>
  <si>
    <t>2130 ml / Carton</t>
  </si>
  <si>
    <t>Coctail Sauce Weight</t>
  </si>
  <si>
    <t>بيف شيلي دراي</t>
  </si>
  <si>
    <t>Tomato Ketchup - كاتشب طماطم</t>
  </si>
  <si>
    <t>20 Kg / Carton</t>
  </si>
  <si>
    <t>خضار سوتيه 🌶</t>
  </si>
  <si>
    <t>ستروجانوف باستا</t>
  </si>
  <si>
    <t>البطاطس المهروسة 🌶</t>
  </si>
  <si>
    <t>Water - ماء</t>
  </si>
  <si>
    <t>سوائل ومرق</t>
  </si>
  <si>
    <t>بان فرايد فش</t>
  </si>
  <si>
    <t>بيف أمانسي</t>
  </si>
  <si>
    <t>Cucumber yogurt sauce (2)</t>
  </si>
  <si>
    <t>توابل</t>
  </si>
  <si>
    <t>Kg</t>
  </si>
  <si>
    <t>Red sauce Big (2)</t>
  </si>
  <si>
    <t>أرز الصيادية</t>
  </si>
  <si>
    <t>الأرز بالزعفران</t>
  </si>
  <si>
    <t>Black Pepper Powder - فلفل أسود مطحون</t>
  </si>
  <si>
    <t>Tahina Big (2)</t>
  </si>
  <si>
    <t>بامية لحم</t>
  </si>
  <si>
    <t>دجاج تكا</t>
  </si>
  <si>
    <t>Coriander Powder - كزبرة مطحونة</t>
  </si>
  <si>
    <t>Red sauce Big (3)</t>
  </si>
  <si>
    <t>الأرز البرياني</t>
  </si>
  <si>
    <t>Paprika Powder - بابريكا مطحون</t>
  </si>
  <si>
    <t>2724 gram/Carton</t>
  </si>
  <si>
    <t>Coctail Sauce Dip In  (3)</t>
  </si>
  <si>
    <t>دجاج صيني</t>
  </si>
  <si>
    <t>فاصولياء بيضاء باللحم</t>
  </si>
  <si>
    <t>Salt - ملح</t>
  </si>
  <si>
    <t>50 Kg</t>
  </si>
  <si>
    <t>Coctail Sauce Weight (2)</t>
  </si>
  <si>
    <t>White Pepper - فلفل أبيض</t>
  </si>
  <si>
    <t>Mixed Pickle</t>
  </si>
  <si>
    <t>دجاج بالأعشاب</t>
  </si>
  <si>
    <t>Cucumber yogurt sauce (3)</t>
  </si>
  <si>
    <t>البطاطا</t>
  </si>
  <si>
    <t>لسان العصفور</t>
  </si>
  <si>
    <t>Orange Color - لون برتقالي</t>
  </si>
  <si>
    <t>ألوان وإضافات</t>
  </si>
  <si>
    <t>100 gm/Can</t>
  </si>
  <si>
    <t>Shabat Sauce</t>
  </si>
  <si>
    <t>مندي دجاج</t>
  </si>
  <si>
    <t>أوكتا بوكي بول الدجاج</t>
  </si>
  <si>
    <t>Biryani Yoghrt sauce</t>
  </si>
  <si>
    <t>الأرز المصري بالزعفران</t>
  </si>
  <si>
    <t>Radish Pickle - مخلل فجل</t>
  </si>
  <si>
    <t xml:space="preserve"> المخللات</t>
  </si>
  <si>
    <t>10,000 KG/Pail</t>
  </si>
  <si>
    <t>Pail</t>
  </si>
  <si>
    <t>Coctail Sauce Dip In  (4)</t>
  </si>
  <si>
    <t>ساندوتش الدجاج الآسيوي بخبز الشوفان</t>
  </si>
  <si>
    <t>مقلوبة دجاج</t>
  </si>
  <si>
    <t>Carrot Pickle - مخلل جزر</t>
  </si>
  <si>
    <t>Coctail Sauce Weight (5)</t>
  </si>
  <si>
    <t>Cucumber Pickle - مخلل خيار</t>
  </si>
  <si>
    <t>Red sauce Big (4)</t>
  </si>
  <si>
    <t>دجاج ألفريدو</t>
  </si>
  <si>
    <t>ساندوتش الدجاج بالباربيكيو بخبز الشيباتا</t>
  </si>
  <si>
    <t>Cucumber yogurt sauce (4)</t>
  </si>
  <si>
    <t>Dried Mint Leaves - نعناع مجفف</t>
  </si>
  <si>
    <t>أعشاب مجففة</t>
  </si>
  <si>
    <t>200 g / Pack</t>
  </si>
  <si>
    <t>Pack</t>
  </si>
  <si>
    <t>Coctail Sauce Weight (4)</t>
  </si>
  <si>
    <t>Sumak Onion</t>
  </si>
  <si>
    <t>دجاج 65 الهندي الحار</t>
  </si>
  <si>
    <t>ساندوتش اللحم الكلاسيكي</t>
  </si>
  <si>
    <t>Mint Leaves - نعناع طازج</t>
  </si>
  <si>
    <t>خضروات</t>
  </si>
  <si>
    <t>900 g / Pack</t>
  </si>
  <si>
    <t>Tahina Small (2)</t>
  </si>
  <si>
    <t>دجاج سيراتشا</t>
  </si>
  <si>
    <t>Coriander Leaves - كزبرة خضراء</t>
  </si>
  <si>
    <t>825 g / Pack</t>
  </si>
  <si>
    <t>Red sauce (2)</t>
  </si>
  <si>
    <t>الأرز الأبيض 🌶</t>
  </si>
  <si>
    <t>الأرز بالخضار 🌶</t>
  </si>
  <si>
    <t>Dill Leaves - شبت</t>
  </si>
  <si>
    <t>1000 g /Pack</t>
  </si>
  <si>
    <t>Red sauce Big (5)</t>
  </si>
  <si>
    <t>سمك بلانكويت</t>
  </si>
  <si>
    <t>Cucumber - خيار</t>
  </si>
  <si>
    <t>kg</t>
  </si>
  <si>
    <t>Cucumber yogurt sauce (5)</t>
  </si>
  <si>
    <t>دجاج هندي بالزبدة</t>
  </si>
  <si>
    <t>Green Bell Pepper - فلفل أخضر رومى</t>
  </si>
  <si>
    <t>Onion - بصل</t>
  </si>
  <si>
    <t>مختوم لحم</t>
  </si>
  <si>
    <t>Tomato - طماطم</t>
  </si>
  <si>
    <t>دجاج البيتزا</t>
  </si>
  <si>
    <t>أسياخ دجاج الباربكيو</t>
  </si>
  <si>
    <t>أرز جولوف</t>
  </si>
  <si>
    <t>دجاج بكريمة جوز الهند</t>
  </si>
  <si>
    <t>الأرز بالزعفران🌶</t>
  </si>
  <si>
    <t>كباب اللحم</t>
  </si>
  <si>
    <t>زربيان لحم</t>
  </si>
  <si>
    <t>الأرز المشكل</t>
  </si>
  <si>
    <t>كباب هندي</t>
  </si>
  <si>
    <t>ساندوتش الدجاج بالفلفل الرومي</t>
  </si>
  <si>
    <t>دجاج باللوز في الفرن</t>
  </si>
  <si>
    <t>لازانيا لحم عالية البروتين</t>
  </si>
  <si>
    <t>لحم بولونيز</t>
  </si>
  <si>
    <t>بطاطس ويدجز</t>
  </si>
  <si>
    <t>دجاج مكروني بالخضار</t>
  </si>
  <si>
    <t>بخاري لحم</t>
  </si>
  <si>
    <t>دجاج تشانجيزي</t>
  </si>
  <si>
    <t>ساندوتش فيلادلفيا لحم بخبز الشوفان</t>
  </si>
  <si>
    <t>داوود باشا</t>
  </si>
  <si>
    <t>ساندوتش الكباب</t>
  </si>
  <si>
    <t>دجاج بكريمة الطماطم</t>
  </si>
  <si>
    <t>الأرز المكسيكي</t>
  </si>
  <si>
    <t>دجاج بالزنجبيل</t>
  </si>
  <si>
    <t>بطاطس مهروسة</t>
  </si>
  <si>
    <t>مسقعة اللحم عالية البروتين</t>
  </si>
  <si>
    <t>كرات اللحم الفرنسية</t>
  </si>
  <si>
    <t>لحم أوريانتل</t>
  </si>
  <si>
    <t>الأرز بالمكسرات</t>
  </si>
  <si>
    <t>مكرونة سباغيتي</t>
  </si>
  <si>
    <t>سليق دجاج</t>
  </si>
  <si>
    <t>دجاج سنغافوري</t>
  </si>
  <si>
    <t>الأرز بالخضار</t>
  </si>
  <si>
    <t>سمك بالشبت والليمون</t>
  </si>
  <si>
    <t>ساندوتش فاهيتا الدجاج بخبز الشوفان</t>
  </si>
  <si>
    <t>ملوخية الدجاج</t>
  </si>
  <si>
    <t>كابلي لحم</t>
  </si>
  <si>
    <t>ساندوتش كباب لحم</t>
  </si>
  <si>
    <t>Base Recipe (1 Portion)</t>
  </si>
  <si>
    <t xml:space="preserve">Required Quantity </t>
  </si>
  <si>
    <t>Conversion Factor</t>
  </si>
  <si>
    <t>Sauce Quantity gm</t>
  </si>
  <si>
    <t>No Cooking</t>
  </si>
  <si>
    <t>سلطة الطحية صغير -   Small Tahina sauce</t>
  </si>
  <si>
    <t>(Foul &amp; Fish) - (فول و سمك)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</si>
  <si>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</si>
  <si>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</si>
  <si>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</si>
  <si>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</si>
  <si>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</si>
  <si>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</si>
  <si>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</si>
  <si>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PreCooking Yield</t>
  </si>
  <si>
    <t>Price Per KG or L</t>
  </si>
  <si>
    <t>Ordering quantity (KG or L)</t>
  </si>
  <si>
    <t>Cost/Unit</t>
  </si>
  <si>
    <t xml:space="preserve">gm </t>
  </si>
  <si>
    <t># Unit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</si>
  <si>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</si>
  <si>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</si>
  <si>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</si>
  <si>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</si>
  <si>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</si>
  <si>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سلطة حمراء صغير- Red sauce Small</t>
  </si>
  <si>
    <t>صوص الزبادي بالخيار -Cucumber yogurt sauce</t>
  </si>
  <si>
    <t>(Kabsa) - (كبسة)</t>
  </si>
  <si>
    <t>صوص الأعشاب - Herbal Sauce</t>
  </si>
  <si>
    <t>دجاج الأعشاب  - Herbal Chicken</t>
  </si>
  <si>
    <t>سلطة حمراء كبير - Red sauce Big</t>
  </si>
  <si>
    <t>كبسة و مندى - Kabsa &amp; Mandi</t>
  </si>
  <si>
    <t>سلطة الطحية كبير -  Big Tahina sauce</t>
  </si>
  <si>
    <t>Mandi - مندى</t>
  </si>
  <si>
    <t>Base Recipe (1 Portion) gm</t>
  </si>
  <si>
    <t xml:space="preserve">Required Count </t>
  </si>
  <si>
    <t>Filling</t>
  </si>
  <si>
    <t xml:space="preserve">Cocktail Sauce unpacked - كوكتيل صوص غير معلب </t>
  </si>
  <si>
    <t>Asian Sandwich - دجاج اسيوى  ساندويتش</t>
  </si>
  <si>
    <t>Sauce/Side</t>
  </si>
  <si>
    <t>صوص الزبادي بالخيار - Cucumber yogurt sauce</t>
  </si>
  <si>
    <t>Zurbian - زربيان</t>
  </si>
  <si>
    <t>مندى و سليق - Mandi &amp; Saleeq</t>
  </si>
  <si>
    <t xml:space="preserve">Cocktail Sauce packed - كوكتيل صوص معلب </t>
  </si>
  <si>
    <t xml:space="preserve"> دجاج باللوز -  Almond Chicken</t>
  </si>
  <si>
    <t xml:space="preserve"> ساندوش فاهيتا  الدجاج  - Chicken Fajita Sandwich</t>
  </si>
  <si>
    <t>Mixed Pickle - طرشي مشكل</t>
  </si>
  <si>
    <t>Maklouba - مقلوبة</t>
  </si>
  <si>
    <t>صوص الشبت - Shabat Sauce</t>
  </si>
  <si>
    <t>ساندويتش باربيكيو - BBQ Sandwich</t>
  </si>
  <si>
    <t xml:space="preserve"> صوص بريانى Biryani yoghurt sauce</t>
  </si>
  <si>
    <t>Chicken Tikka - دجاج تكا</t>
  </si>
  <si>
    <t>أوكتا بوكي بول - Octa PokiPowl</t>
  </si>
  <si>
    <t xml:space="preserve">  سلطة حمراء كبير - Red sauce Big</t>
  </si>
  <si>
    <t xml:space="preserve">   (Boukhary -  بخارى لحم)</t>
  </si>
  <si>
    <t xml:space="preserve">  صوص الزبادي بالخيار - Cucumber yogurt sauce</t>
  </si>
  <si>
    <t xml:space="preserve">  (Boukhary -  بخارى لحم)</t>
  </si>
  <si>
    <t>(Philly cheese sandwich - ساندويتش فلاديلفيا )</t>
  </si>
  <si>
    <t>Sumak Onion -  بصل مع سماق</t>
  </si>
  <si>
    <t>Kebab Sandwich - ساندويتش كباب لحم</t>
  </si>
  <si>
    <t>sauce in sandwich 12.6</t>
  </si>
  <si>
    <t>سلطة الطحية صغير -  Small Tahina sauce</t>
  </si>
  <si>
    <t xml:space="preserve">سمك بالليمون و ساندويتش كباب - Fish with lemon &amp; Sandwich Kebab </t>
  </si>
  <si>
    <t>Fish with lemon - سمك بالليمون</t>
  </si>
  <si>
    <t>سليق دجاج - Chicken Saleeq</t>
  </si>
  <si>
    <t>Kabli - كابلى</t>
  </si>
  <si>
    <t>برجر لحم باربكيو - Beef Burger BBQ</t>
  </si>
  <si>
    <t>كلاسيك برجر دجاج - Classic Chicken Burger</t>
  </si>
  <si>
    <t>برجر لحم مدخن - Beef Burger Smoky</t>
  </si>
  <si>
    <t>برجر دجاج بالعسل والخردل - Chicken Burger Honey Mustard</t>
  </si>
  <si>
    <t>محليات</t>
  </si>
  <si>
    <t>Garlic Powder - ثوم بودرة</t>
  </si>
  <si>
    <t>Onion Powder - بصل بودرة</t>
  </si>
  <si>
    <t>Worcestershire sauce - صوص الورشيستر</t>
  </si>
  <si>
    <t>3540 ML/Carton</t>
  </si>
  <si>
    <t>Garlic - ثوم مقشر</t>
  </si>
  <si>
    <t>Smoked Paprika Powder - بابريكا مدخنة مطحونة</t>
  </si>
  <si>
    <t>Honey - عسل</t>
  </si>
  <si>
    <t>BBQ Sauce - صوص باربيكيو</t>
  </si>
  <si>
    <t>Vinegar - خل</t>
  </si>
  <si>
    <t>15.16 L / Carton</t>
  </si>
  <si>
    <t>16650 L</t>
  </si>
  <si>
    <t>8000 KG/Carton</t>
  </si>
  <si>
    <t>Parsley - بقدونس</t>
  </si>
  <si>
    <t>905 g / Pack</t>
  </si>
  <si>
    <t>Red Cabbage - ملفوف أحمر</t>
  </si>
  <si>
    <t>Carrot - جزر</t>
  </si>
  <si>
    <t>برجر دجاج  باربكيو - Chicken Burger  BBQ</t>
  </si>
  <si>
    <t xml:space="preserve">برجر دجاج العربي - Arabic Chicken Burger </t>
  </si>
  <si>
    <t xml:space="preserve">   (packed -  معلب ) صلصة باربكيو مدخنة - Smoked BBQ Sauce</t>
  </si>
  <si>
    <t xml:space="preserve">  أيولي الثوم - Garlic Aioli  (packed -  معلب )</t>
  </si>
  <si>
    <t>صلصة باربكيو مدخنة - Smoky BBQ Sauce   (packed -  معلب )</t>
  </si>
  <si>
    <t>صلصة العسل والخردل - Honey Mustard Sauce   (packed -  معلب )</t>
  </si>
  <si>
    <t>صلصة الليمون والأعشاب - Lemon Herb Sauce   (packed -  معلب )</t>
  </si>
  <si>
    <t>صلصة الليمون والأعشاب - Lemon Herb Sauce   (unpacked - غير معلب)</t>
  </si>
  <si>
    <t>صلصة العسل والخردل - Honey Mustard Sauce  (unpacked - غير معلب)</t>
  </si>
  <si>
    <t>صلصة باربكيو مدخنة - Smoky BBQ Sauce  (unpacked - غير معلب)</t>
  </si>
  <si>
    <t>سلطة كول سلو - Coleslaw Salad   (unpacked - غير معلب)</t>
  </si>
  <si>
    <t>صلصة باربكيو مدخنة - Smoked BBQ Sauce   (unpacked - غير معلب)</t>
  </si>
  <si>
    <t>صلصة البيت - House Sauce   (unpacked - غير معلب)</t>
  </si>
  <si>
    <t xml:space="preserve">  (packed -  معلب )  هاوس صوص - House Sauce</t>
  </si>
  <si>
    <t xml:space="preserve">برجر دجاج كلاسيك - Classic Chicken Burger    </t>
  </si>
  <si>
    <t>برجر لحم عربي - Beef Burger Arabic</t>
  </si>
  <si>
    <t xml:space="preserve">  أيولي الثوم - Garlic Aioli  (unpacked -  غير معلب )</t>
  </si>
  <si>
    <t>برجر الدجاج العربي</t>
  </si>
  <si>
    <t>Lemon Herb Sauce Packed</t>
  </si>
  <si>
    <t>Lemon Herb Sauce unpacked</t>
  </si>
  <si>
    <t>DAY  ??? ?????</t>
  </si>
  <si>
    <t>Ordering</t>
  </si>
  <si>
    <t>House Sauce Packed</t>
  </si>
  <si>
    <t>House Sauce unpacked</t>
  </si>
  <si>
    <t>Honey Mustard Sauce Packed</t>
  </si>
  <si>
    <t>Honey Mustard Sauce unpacked</t>
  </si>
  <si>
    <t>Smoked Sauce Packed</t>
  </si>
  <si>
    <t>Smoked Sauce unpacked</t>
  </si>
  <si>
    <t>Coleslaw Salad</t>
  </si>
  <si>
    <t>Garlic Aioli (2)</t>
  </si>
  <si>
    <t>BBQ Sauce Packed</t>
  </si>
  <si>
    <t>BBQ Sauce unpacked</t>
  </si>
  <si>
    <t>Garlic Aioli</t>
  </si>
  <si>
    <t>Garlic Aioli unpacked</t>
  </si>
  <si>
    <t>لحم بالمشروم</t>
  </si>
  <si>
    <t>الارز الابيض</t>
  </si>
  <si>
    <t>برجر باربكيو اللحم</t>
  </si>
  <si>
    <t>برجر الدجاج بالهني ماسترد</t>
  </si>
  <si>
    <t>Apple cider vinegar - خل تفاح</t>
  </si>
  <si>
    <t>برجر اللحم العربي</t>
  </si>
  <si>
    <t>دجاج أوريانتل</t>
  </si>
  <si>
    <t>برجر باربكيو الدجاج</t>
  </si>
  <si>
    <t>برجر سموكي لحم</t>
  </si>
  <si>
    <t>نودلز الدجاج و الخضار</t>
  </si>
  <si>
    <t>برجر الدجاج الكلاسيكي</t>
  </si>
  <si>
    <t>Orange - برتقال</t>
  </si>
  <si>
    <t xml:space="preserve">ml </t>
  </si>
  <si>
    <t>Orange Juice - عصير برتقال</t>
  </si>
  <si>
    <t>454 g</t>
  </si>
  <si>
    <t>سمك بالكاري والكريمة</t>
  </si>
  <si>
    <t>Total Weight</t>
  </si>
  <si>
    <t>Sumac - سماق</t>
  </si>
  <si>
    <t>L</t>
  </si>
  <si>
    <t>سمك بالسبانخ والليمون</t>
  </si>
  <si>
    <t>سمك بالكريمة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</si>
</sst>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_-;\-* #,##0.00_-;_-* &quot;-&quot;??_-;_-@_-"/>
    <numFmt numFmtId="165" formatCode="_ * #,##0_ ;_ * \-#,##0_ ;_ * &quot;-&quot;??_ ;_ @_ "/>
    <numFmt numFmtId="166" formatCode="0.0"/>
    <numFmt numFmtId="167" formatCode="0.000"/>
    <numFmt numFmtId="168" formatCode="#,##0.0"/>
    <numFmt numFmtId="169" formatCode="_ * #,##0_ ;_ * \-#,##0_ ;_ * \-??_ ;_ @_ "/>
    <numFmt numFmtId="170" formatCode="_ * #,##0.00_ ;_ * \-#,##0.00_ ;_ * \-??_ ;_ @_ "/>
    <numFmt numFmtId="171" formatCode="_ * #,##0.00_ ;_ * \-#,##0.00_ ;_ * &quot;-&quot;??_ ;_ @_ "/>
    <numFmt numFmtId="172" formatCode="0.0000"/>
    <numFmt numFmtId="173" formatCode="_(* #,##0_);_(* \(#,##0\);_(* &quot;-&quot;??_);_(@_)"/>
    <numFmt numFmtId="174" formatCode="_ * #,##0.000_ ;_ * \-#,##0.000_ ;_ * &quot;-&quot;??_ ;_ @_ 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 Light"/>
      <family val="1"/>
      <scheme val="major"/>
    </font>
    <font>
      <sz val="11"/>
      <color theme="1"/>
      <name val="Arial"/>
      <family val="2"/>
      <charset val="1"/>
    </font>
    <font>
      <b/>
      <sz val="11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rgb="FFDEEBF7"/>
      </patternFill>
    </fill>
    <fill>
      <patternFill patternType="solid">
        <fgColor theme="6" tint="0.79998168889431442"/>
        <bgColor rgb="FFDAE3F3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rgb="FFDAE3F3"/>
      </patternFill>
    </fill>
    <fill>
      <patternFill patternType="solid">
        <fgColor theme="4" tint="-0.499984740745262"/>
        <bgColor rgb="FFA6A6A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/>
    <xf numFmtId="0" fontId="3" fillId="0" borderId="0"/>
    <xf numFmtId="171" fontId="1" fillId="0" borderId="0"/>
    <xf numFmtId="0" fontId="25" fillId="0" borderId="0"/>
  </cellStyleXfs>
  <cellXfs count="158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0" fontId="2" fillId="2" borderId="2" xfId="0" applyFont="1" applyFill="1" applyBorder="1"/>
    <xf numFmtId="165" fontId="0" fillId="0" borderId="6" xfId="1" applyNumberFormat="1" applyFont="1" applyBorder="1"/>
    <xf numFmtId="0" fontId="0" fillId="0" borderId="6" xfId="0" applyBorder="1"/>
    <xf numFmtId="0" fontId="2" fillId="2" borderId="7" xfId="0" applyFont="1" applyFill="1" applyBorder="1"/>
    <xf numFmtId="165" fontId="0" fillId="0" borderId="0" xfId="0" applyNumberFormat="1"/>
    <xf numFmtId="0" fontId="4" fillId="0" borderId="5" xfId="2" applyFont="1" applyBorder="1" applyAlignment="1">
      <alignment horizontal="center" vertical="center" wrapText="1"/>
    </xf>
    <xf numFmtId="165" fontId="4" fillId="0" borderId="5" xfId="2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7" fillId="4" borderId="5" xfId="2" applyFont="1" applyFill="1" applyBorder="1" applyAlignment="1">
      <alignment horizontal="center" vertical="center" wrapText="1"/>
    </xf>
    <xf numFmtId="0" fontId="2" fillId="5" borderId="0" xfId="0" applyFont="1" applyFill="1"/>
    <xf numFmtId="166" fontId="0" fillId="0" borderId="0" xfId="0" applyNumberFormat="1"/>
    <xf numFmtId="0" fontId="9" fillId="0" borderId="0" xfId="0" applyFont="1"/>
    <xf numFmtId="0" fontId="0" fillId="0" borderId="0" xfId="0" applyAlignment="1">
      <alignment vertical="center"/>
    </xf>
    <xf numFmtId="1" fontId="0" fillId="0" borderId="0" xfId="0" applyNumberFormat="1"/>
    <xf numFmtId="0" fontId="2" fillId="5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1" fillId="8" borderId="12" xfId="0" applyFont="1" applyFill="1" applyBorder="1" applyAlignment="1">
      <alignment horizontal="center" vertical="center" wrapText="1"/>
    </xf>
    <xf numFmtId="0" fontId="14" fillId="9" borderId="13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center" vertical="center" wrapText="1"/>
    </xf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17" fillId="0" borderId="0" xfId="0" applyFont="1"/>
    <xf numFmtId="0" fontId="11" fillId="8" borderId="0" xfId="0" applyFont="1" applyFill="1" applyAlignment="1">
      <alignment vertical="center" wrapText="1"/>
    </xf>
    <xf numFmtId="0" fontId="19" fillId="4" borderId="14" xfId="2" applyFont="1" applyFill="1" applyBorder="1" applyAlignment="1">
      <alignment vertical="center" wrapText="1"/>
    </xf>
    <xf numFmtId="0" fontId="19" fillId="4" borderId="10" xfId="2" applyFont="1" applyFill="1" applyBorder="1" applyAlignment="1">
      <alignment vertical="center" wrapText="1"/>
    </xf>
    <xf numFmtId="0" fontId="19" fillId="4" borderId="1" xfId="2" applyFont="1" applyFill="1" applyBorder="1" applyAlignment="1">
      <alignment vertical="center" wrapText="1"/>
    </xf>
    <xf numFmtId="0" fontId="18" fillId="4" borderId="0" xfId="0" applyFont="1" applyFill="1"/>
    <xf numFmtId="0" fontId="18" fillId="4" borderId="10" xfId="0" applyFont="1" applyFill="1" applyBorder="1"/>
    <xf numFmtId="0" fontId="20" fillId="0" borderId="0" xfId="0" applyFont="1"/>
    <xf numFmtId="0" fontId="16" fillId="15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center"/>
    </xf>
    <xf numFmtId="0" fontId="11" fillId="8" borderId="1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center" vertical="center" wrapText="1"/>
    </xf>
    <xf numFmtId="168" fontId="22" fillId="11" borderId="1" xfId="0" applyNumberFormat="1" applyFont="1" applyFill="1" applyBorder="1" applyAlignment="1">
      <alignment horizontal="center" vertical="center" wrapText="1"/>
    </xf>
    <xf numFmtId="168" fontId="22" fillId="12" borderId="1" xfId="0" applyNumberFormat="1" applyFont="1" applyFill="1" applyBorder="1" applyAlignment="1">
      <alignment horizontal="center" vertical="center" wrapText="1"/>
    </xf>
    <xf numFmtId="169" fontId="16" fillId="16" borderId="1" xfId="0" applyNumberFormat="1" applyFont="1" applyFill="1" applyBorder="1" applyAlignment="1">
      <alignment horizontal="center" vertical="center"/>
    </xf>
    <xf numFmtId="170" fontId="16" fillId="16" borderId="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 wrapText="1"/>
    </xf>
    <xf numFmtId="0" fontId="15" fillId="0" borderId="1" xfId="0" applyFont="1" applyBorder="1"/>
    <xf numFmtId="0" fontId="7" fillId="4" borderId="14" xfId="2" applyFont="1" applyFill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/>
    </xf>
    <xf numFmtId="0" fontId="7" fillId="4" borderId="1" xfId="2" applyFon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21" fillId="17" borderId="0" xfId="0" applyFont="1" applyFill="1"/>
    <xf numFmtId="0" fontId="21" fillId="18" borderId="0" xfId="0" applyFont="1" applyFill="1"/>
    <xf numFmtId="167" fontId="21" fillId="18" borderId="0" xfId="0" applyNumberFormat="1" applyFont="1" applyFill="1"/>
    <xf numFmtId="169" fontId="16" fillId="19" borderId="0" xfId="0" applyNumberFormat="1" applyFont="1" applyFill="1"/>
    <xf numFmtId="171" fontId="0" fillId="0" borderId="5" xfId="0" applyNumberFormat="1" applyBorder="1" applyAlignment="1">
      <alignment horizontal="center" vertical="center"/>
    </xf>
    <xf numFmtId="0" fontId="9" fillId="20" borderId="0" xfId="0" applyFont="1" applyFill="1"/>
    <xf numFmtId="0" fontId="0" fillId="20" borderId="0" xfId="0" applyFill="1"/>
    <xf numFmtId="2" fontId="0" fillId="0" borderId="1" xfId="0" applyNumberFormat="1" applyBorder="1"/>
    <xf numFmtId="172" fontId="0" fillId="0" borderId="1" xfId="0" applyNumberFormat="1" applyBorder="1" applyAlignment="1">
      <alignment horizontal="center"/>
    </xf>
    <xf numFmtId="0" fontId="2" fillId="0" borderId="0" xfId="0" applyFont="1"/>
    <xf numFmtId="172" fontId="0" fillId="0" borderId="1" xfId="0" applyNumberFormat="1" applyBorder="1"/>
    <xf numFmtId="173" fontId="0" fillId="0" borderId="0" xfId="1" applyNumberFormat="1" applyFont="1"/>
    <xf numFmtId="164" fontId="0" fillId="0" borderId="0" xfId="0" applyNumberFormat="1"/>
    <xf numFmtId="1" fontId="0" fillId="0" borderId="1" xfId="0" applyNumberFormat="1" applyBorder="1"/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5" xfId="0" applyNumberFormat="1" applyBorder="1"/>
    <xf numFmtId="166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8" xfId="0" applyNumberFormat="1" applyBorder="1"/>
    <xf numFmtId="0" fontId="24" fillId="21" borderId="0" xfId="0" applyFont="1" applyFill="1" applyAlignment="1">
      <alignment horizontal="center" vertical="center" wrapText="1"/>
    </xf>
    <xf numFmtId="0" fontId="0" fillId="22" borderId="0" xfId="0" applyFill="1"/>
    <xf numFmtId="0" fontId="0" fillId="23" borderId="0" xfId="0" applyFill="1"/>
    <xf numFmtId="0" fontId="0" fillId="1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15" fillId="27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 vertical="center"/>
    </xf>
    <xf numFmtId="0" fontId="23" fillId="27" borderId="0" xfId="0" applyFont="1" applyFill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1" fillId="0" borderId="1" xfId="0" applyFont="1" applyBorder="1" applyAlignment="1">
      <alignment horizontal="left" vertical="center" wrapText="1"/>
    </xf>
    <xf numFmtId="0" fontId="21" fillId="0" borderId="1" xfId="0" applyFont="1" applyBorder="1" applyAlignment="1">
      <alignment vertical="center" wrapText="1"/>
    </xf>
    <xf numFmtId="0" fontId="21" fillId="28" borderId="1" xfId="0" applyFont="1" applyFill="1" applyBorder="1" applyAlignment="1">
      <alignment horizontal="left" vertical="center" wrapText="1"/>
    </xf>
    <xf numFmtId="0" fontId="13" fillId="28" borderId="1" xfId="0" applyFont="1" applyFill="1" applyBorder="1" applyAlignment="1">
      <alignment horizontal="left" vertical="center" wrapText="1"/>
    </xf>
    <xf numFmtId="0" fontId="21" fillId="28" borderId="1" xfId="0" applyFont="1" applyFill="1" applyBorder="1" applyAlignment="1">
      <alignment horizontal="center" vertical="center" wrapText="1"/>
    </xf>
    <xf numFmtId="168" fontId="22" fillId="28" borderId="1" xfId="0" applyNumberFormat="1" applyFont="1" applyFill="1" applyBorder="1" applyAlignment="1">
      <alignment horizontal="center" vertical="center" wrapText="1"/>
    </xf>
    <xf numFmtId="0" fontId="15" fillId="29" borderId="1" xfId="0" applyFont="1" applyFill="1" applyBorder="1"/>
    <xf numFmtId="169" fontId="16" fillId="30" borderId="1" xfId="0" applyNumberFormat="1" applyFont="1" applyFill="1" applyBorder="1" applyAlignment="1">
      <alignment horizontal="center" vertical="center"/>
    </xf>
    <xf numFmtId="170" fontId="16" fillId="30" borderId="1" xfId="0" applyNumberFormat="1" applyFont="1" applyFill="1" applyBorder="1" applyAlignment="1">
      <alignment horizontal="center" vertical="center"/>
    </xf>
    <xf numFmtId="169" fontId="16" fillId="31" borderId="0" xfId="0" applyNumberFormat="1" applyFont="1" applyFill="1"/>
    <xf numFmtId="0" fontId="21" fillId="29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/>
    <xf numFmtId="0" fontId="25" fillId="0" borderId="1" xfId="4" applyBorder="1" applyAlignment="1">
      <alignment vertical="center"/>
    </xf>
    <xf numFmtId="2" fontId="0" fillId="0" borderId="0" xfId="0" applyNumberFormat="1"/>
    <xf numFmtId="0" fontId="12" fillId="32" borderId="0" xfId="0" applyFont="1" applyFill="1" applyAlignment="1">
      <alignment horizontal="left" vertical="center" wrapText="1"/>
    </xf>
    <xf numFmtId="0" fontId="12" fillId="32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left" vertical="center" wrapText="1"/>
    </xf>
    <xf numFmtId="0" fontId="12" fillId="13" borderId="0" xfId="0" applyFont="1" applyFill="1" applyAlignment="1">
      <alignment horizontal="center" vertical="center" wrapText="1"/>
    </xf>
    <xf numFmtId="0" fontId="12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15" fillId="14" borderId="1" xfId="0" applyFont="1" applyFill="1" applyBorder="1" applyAlignment="1">
      <alignment horizontal="center"/>
    </xf>
    <xf numFmtId="169" fontId="26" fillId="16" borderId="1" xfId="0" applyNumberFormat="1" applyFont="1" applyFill="1" applyBorder="1" applyAlignment="1">
      <alignment horizontal="center" vertical="center"/>
    </xf>
    <xf numFmtId="170" fontId="26" fillId="16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74" fontId="0" fillId="0" borderId="1" xfId="0" applyNumberFormat="1" applyBorder="1" applyAlignment="1">
      <alignment horizontal="center"/>
    </xf>
    <xf numFmtId="174" fontId="0" fillId="0" borderId="2" xfId="0" applyNumberFormat="1" applyBorder="1" applyAlignment="1">
      <alignment horizontal="center"/>
    </xf>
    <xf numFmtId="174" fontId="1" fillId="0" borderId="1" xfId="0" applyNumberFormat="1" applyFont="1" applyBorder="1" applyAlignment="1">
      <alignment horizontal="center"/>
    </xf>
    <xf numFmtId="174" fontId="1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23" fillId="14" borderId="1" xfId="0" applyFont="1" applyFill="1" applyBorder="1"/>
    <xf numFmtId="165" fontId="23" fillId="14" borderId="1" xfId="0" applyNumberFormat="1" applyFont="1" applyFill="1" applyBorder="1"/>
    <xf numFmtId="0" fontId="7" fillId="2" borderId="3" xfId="2" applyFont="1" applyFill="1" applyBorder="1" applyAlignment="1">
      <alignment horizontal="center"/>
    </xf>
    <xf numFmtId="0" fontId="0" fillId="0" borderId="3" xfId="0" applyBorder="1"/>
    <xf numFmtId="0" fontId="5" fillId="33" borderId="8" xfId="2" applyFont="1" applyFill="1" applyBorder="1" applyAlignment="1">
      <alignment horizontal="center" vertical="center" wrapText="1"/>
    </xf>
    <xf numFmtId="0" fontId="0" fillId="33" borderId="8" xfId="0" applyFill="1" applyBorder="1"/>
    <xf numFmtId="0" fontId="7" fillId="2" borderId="11" xfId="2" applyFont="1" applyFill="1" applyBorder="1" applyAlignment="1">
      <alignment horizontal="center"/>
    </xf>
    <xf numFmtId="0" fontId="0" fillId="0" borderId="11" xfId="0" applyBorder="1"/>
    <xf numFmtId="0" fontId="5" fillId="33" borderId="5" xfId="2" applyFont="1" applyFill="1" applyBorder="1" applyAlignment="1">
      <alignment horizontal="center" vertical="center" wrapText="1"/>
    </xf>
    <xf numFmtId="0" fontId="0" fillId="33" borderId="9" xfId="0" applyFill="1" applyBorder="1"/>
    <xf numFmtId="0" fontId="5" fillId="33" borderId="3" xfId="2" applyFont="1" applyFill="1" applyBorder="1" applyAlignment="1">
      <alignment horizontal="center" vertical="center" wrapText="1"/>
    </xf>
    <xf numFmtId="0" fontId="0" fillId="33" borderId="3" xfId="0" applyFill="1" applyBorder="1"/>
    <xf numFmtId="0" fontId="5" fillId="33" borderId="14" xfId="2" applyFont="1" applyFill="1" applyBorder="1" applyAlignment="1">
      <alignment horizontal="center" vertical="center" wrapText="1"/>
    </xf>
    <xf numFmtId="0" fontId="5" fillId="33" borderId="16" xfId="2" applyFont="1" applyFill="1" applyBorder="1" applyAlignment="1">
      <alignment horizontal="center" vertical="center" wrapText="1"/>
    </xf>
    <xf numFmtId="0" fontId="0" fillId="33" borderId="4" xfId="0" applyFill="1" applyBorder="1"/>
    <xf numFmtId="0" fontId="5" fillId="4" borderId="3" xfId="2" applyFont="1" applyFill="1" applyBorder="1" applyAlignment="1">
      <alignment horizontal="center" vertical="center" wrapText="1"/>
    </xf>
    <xf numFmtId="0" fontId="5" fillId="4" borderId="8" xfId="2" applyFont="1" applyFill="1" applyBorder="1" applyAlignment="1">
      <alignment horizontal="center" vertical="center" wrapText="1"/>
    </xf>
    <xf numFmtId="0" fontId="0" fillId="0" borderId="8" xfId="0" applyBorder="1"/>
    <xf numFmtId="0" fontId="5" fillId="4" borderId="5" xfId="2" applyFont="1" applyFill="1" applyBorder="1" applyAlignment="1">
      <alignment horizontal="center" vertical="center" wrapText="1"/>
    </xf>
    <xf numFmtId="0" fontId="0" fillId="0" borderId="9" xfId="0" applyBorder="1"/>
    <xf numFmtId="0" fontId="5" fillId="4" borderId="11" xfId="2" applyFont="1" applyFill="1" applyBorder="1" applyAlignment="1">
      <alignment horizontal="center" vertical="center" wrapText="1"/>
    </xf>
    <xf numFmtId="0" fontId="5" fillId="4" borderId="14" xfId="2" applyFont="1" applyFill="1" applyBorder="1" applyAlignment="1">
      <alignment horizontal="center" vertical="center" wrapText="1"/>
    </xf>
    <xf numFmtId="0" fontId="5" fillId="4" borderId="16" xfId="2" applyFont="1" applyFill="1" applyBorder="1" applyAlignment="1">
      <alignment horizontal="center" vertical="center" wrapText="1"/>
    </xf>
    <xf numFmtId="0" fontId="0" fillId="0" borderId="4" xfId="0" applyBorder="1"/>
  </cellXfs>
  <cellStyles count="5">
    <cellStyle name="Comma" xfId="1" builtinId="3"/>
    <cellStyle name="Comma 2" xfId="3" xr:uid="{00000000-0005-0000-0000-000003000000}"/>
    <cellStyle name="Normal" xfId="0" builtinId="0"/>
    <cellStyle name="Normal 2" xfId="4" xr:uid="{EC773217-C71B-45E2-8596-CB3257E3F9FB}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210703</xdr:colOff>
      <xdr:row>1</xdr:row>
      <xdr:rowOff>149129</xdr:rowOff>
    </xdr:from>
    <xdr:to>
      <xdr:col>24</xdr:col>
      <xdr:colOff>174721</xdr:colOff>
      <xdr:row>5</xdr:row>
      <xdr:rowOff>121103</xdr:rowOff>
    </xdr:to>
    <xdr:pic macro="[0]!RecalcWeights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40643" y="503189"/>
          <a:ext cx="1303290" cy="710883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20</xdr:col>
      <xdr:colOff>43665</xdr:colOff>
      <xdr:row>9</xdr:row>
      <xdr:rowOff>0</xdr:rowOff>
    </xdr:from>
    <xdr:to>
      <xdr:col>23</xdr:col>
      <xdr:colOff>154487</xdr:colOff>
      <xdr:row>11</xdr:row>
      <xdr:rowOff>135776</xdr:rowOff>
    </xdr:to>
    <xdr:sp macro="[0]!ExportSau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A2C3AA-4579-4624-9DD8-537D66199FB2}"/>
            </a:ext>
          </a:extLst>
        </xdr:cNvPr>
        <xdr:cNvSpPr/>
      </xdr:nvSpPr>
      <xdr:spPr>
        <a:xfrm>
          <a:off x="23629379" y="1968500"/>
          <a:ext cx="818394" cy="49863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27214</xdr:colOff>
      <xdr:row>14</xdr:row>
      <xdr:rowOff>27741</xdr:rowOff>
    </xdr:from>
    <xdr:to>
      <xdr:col>23</xdr:col>
      <xdr:colOff>225959</xdr:colOff>
      <xdr:row>19</xdr:row>
      <xdr:rowOff>13722</xdr:rowOff>
    </xdr:to>
    <xdr:sp macro="[0]!UpdateRecipeData" textlink="">
      <xdr:nvSpPr>
        <xdr:cNvPr id="4" name="Lightning Bolt 3">
          <a:extLst>
            <a:ext uri="{FF2B5EF4-FFF2-40B4-BE49-F238E27FC236}">
              <a16:creationId xmlns:a16="http://schemas.microsoft.com/office/drawing/2014/main" id="{811EE6F3-594B-4732-8BE8-C0A67777D327}"/>
            </a:ext>
          </a:extLst>
        </xdr:cNvPr>
        <xdr:cNvSpPr/>
      </xdr:nvSpPr>
      <xdr:spPr>
        <a:xfrm>
          <a:off x="23848785" y="2903384"/>
          <a:ext cx="670460" cy="893124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D355D5-C58B-41E2-8E1D-38165D44C41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f995636a-c246-44ab-8832-e8e23f192e6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-0.249977111117893"/>
  </sheetPr>
  <dimension ref="A1:AI84"/>
  <sheetViews>
    <sheetView tabSelected="1" topLeftCell="L1" zoomScale="70" zoomScaleNormal="70" workbookViewId="0">
      <pane ySplit="1" topLeftCell="A2" activePane="bottomLeft" state="frozen"/>
      <selection pane="bottomLeft" activeCell="Q8" sqref="Q8"/>
    </sheetView>
  </sheetViews>
  <sheetFormatPr defaultRowHeight="15" x14ac:dyDescent="0.25"/>
  <cols>
    <col min="1" max="1" width="41.85546875" bestFit="1" customWidth="1"/>
    <col min="2" max="2" width="27.5703125" customWidth="1"/>
    <col min="3" max="3" width="8" customWidth="1"/>
    <col min="4" max="4" width="14" customWidth="1"/>
    <col min="5" max="5" width="15.7109375" customWidth="1"/>
    <col min="6" max="6" width="13.140625" customWidth="1"/>
    <col min="7" max="7" width="18.42578125" customWidth="1"/>
    <col min="8" max="8" width="29.42578125" customWidth="1"/>
    <col min="9" max="9" width="22.140625" customWidth="1"/>
    <col min="10" max="10" width="33.42578125" customWidth="1"/>
    <col min="11" max="11" width="17.5703125" customWidth="1"/>
    <col min="12" max="12" width="19" customWidth="1"/>
    <col min="13" max="15" width="5.85546875" customWidth="1"/>
    <col min="16" max="16" width="4.42578125" customWidth="1"/>
    <col min="17" max="17" width="19.42578125" customWidth="1"/>
    <col min="18" max="18" width="6.140625" customWidth="1"/>
    <col min="19" max="26" width="3.140625" customWidth="1"/>
    <col min="27" max="27" width="29.7109375" customWidth="1"/>
    <col min="28" max="29" width="14" customWidth="1"/>
    <col min="30" max="30" width="3.5703125" customWidth="1"/>
    <col min="31" max="31" width="25.42578125" customWidth="1"/>
    <col min="33" max="33" width="2.85546875" customWidth="1"/>
    <col min="34" max="34" width="30.7109375" customWidth="1"/>
  </cols>
  <sheetData>
    <row r="1" spans="1:35" ht="40.5" customHeight="1" thickBot="1" x14ac:dyDescent="0.3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3" t="s">
        <v>6</v>
      </c>
      <c r="H1" s="44" t="s">
        <v>7</v>
      </c>
      <c r="I1" s="43" t="s">
        <v>8</v>
      </c>
      <c r="J1" s="43" t="s">
        <v>9</v>
      </c>
      <c r="K1" s="45" t="s">
        <v>10</v>
      </c>
      <c r="L1" s="45" t="s">
        <v>11</v>
      </c>
      <c r="M1" s="45" t="s">
        <v>12</v>
      </c>
      <c r="N1" s="45" t="s">
        <v>13</v>
      </c>
      <c r="O1" s="28" t="s">
        <v>14</v>
      </c>
      <c r="Q1" s="27" t="s">
        <v>15</v>
      </c>
      <c r="R1" s="29">
        <v>4</v>
      </c>
      <c r="AA1" s="36" t="s">
        <v>16</v>
      </c>
      <c r="AB1" s="36"/>
      <c r="AC1" s="36"/>
      <c r="AE1" s="84" t="s">
        <v>17</v>
      </c>
      <c r="AF1" s="84" t="s">
        <v>18</v>
      </c>
      <c r="AH1" s="84" t="s">
        <v>17</v>
      </c>
      <c r="AI1" s="84" t="s">
        <v>18</v>
      </c>
    </row>
    <row r="2" spans="1:35" x14ac:dyDescent="0.25">
      <c r="A2" s="53"/>
      <c r="B2" s="53"/>
      <c r="C2" s="53"/>
      <c r="D2" s="53"/>
      <c r="E2" s="53"/>
      <c r="F2" s="53"/>
      <c r="G2" s="43"/>
      <c r="H2" s="44"/>
      <c r="I2" s="43"/>
      <c r="J2" s="43"/>
      <c r="K2" s="53"/>
      <c r="L2" s="53"/>
      <c r="M2" s="53"/>
      <c r="N2" s="53"/>
      <c r="O2" s="53"/>
      <c r="AA2" s="30" t="s">
        <v>19</v>
      </c>
      <c r="AB2" s="30" t="s">
        <v>293</v>
      </c>
      <c r="AC2" s="30" t="s">
        <v>20</v>
      </c>
      <c r="AE2" s="85" t="s">
        <v>21</v>
      </c>
      <c r="AF2" s="85">
        <v>55</v>
      </c>
      <c r="AH2" s="86" t="s">
        <v>22</v>
      </c>
      <c r="AI2" s="86">
        <v>91</v>
      </c>
    </row>
    <row r="3" spans="1:35" x14ac:dyDescent="0.25">
      <c r="A3" s="47" t="s">
        <v>23</v>
      </c>
      <c r="B3" s="46" t="s">
        <v>24</v>
      </c>
      <c r="C3" s="48" t="s">
        <v>25</v>
      </c>
      <c r="D3" s="49">
        <v>5451.5</v>
      </c>
      <c r="E3" s="50">
        <v>24179.495626822158</v>
      </c>
      <c r="F3" s="54">
        <v>1</v>
      </c>
      <c r="G3" s="51">
        <v>10000</v>
      </c>
      <c r="H3" s="51" t="s">
        <v>26</v>
      </c>
      <c r="I3" s="52">
        <v>66.959999999999994</v>
      </c>
      <c r="J3" s="52">
        <v>6.6959999999999997</v>
      </c>
      <c r="K3" s="66">
        <f>(E3/F3)/G3</f>
        <v>2.4179495626822156</v>
      </c>
      <c r="L3" s="66">
        <f>(D3/F3)/G3</f>
        <v>0.54515000000000002</v>
      </c>
      <c r="M3" s="66" t="s">
        <v>27</v>
      </c>
      <c r="N3" s="66">
        <f>K3*I3</f>
        <v>161.90590271720114</v>
      </c>
      <c r="O3" s="66">
        <f>L3*I3</f>
        <v>36.503243999999995</v>
      </c>
      <c r="AA3" s="25" t="s">
        <v>294</v>
      </c>
      <c r="AB3" s="26"/>
      <c r="AC3" s="30"/>
      <c r="AE3" s="85" t="s">
        <v>29</v>
      </c>
      <c r="AF3" s="85">
        <v>51</v>
      </c>
      <c r="AH3" s="86" t="s">
        <v>30</v>
      </c>
      <c r="AI3" s="86">
        <v>62</v>
      </c>
    </row>
    <row r="4" spans="1:35" x14ac:dyDescent="0.25">
      <c r="A4" s="97"/>
      <c r="B4" s="98"/>
      <c r="C4" s="99"/>
      <c r="D4" s="100"/>
      <c r="E4" s="100"/>
      <c r="F4" s="101"/>
      <c r="G4" s="102"/>
      <c r="H4" s="102"/>
      <c r="I4" s="103"/>
      <c r="J4" s="103"/>
      <c r="K4" s="104"/>
      <c r="L4" s="104"/>
      <c r="M4" s="104"/>
      <c r="N4" s="104"/>
      <c r="O4" s="104"/>
      <c r="AA4" s="115" t="s">
        <v>28</v>
      </c>
      <c r="AB4" s="116">
        <v>1</v>
      </c>
      <c r="AC4" s="116">
        <f>AF2+AF12</f>
        <v>215</v>
      </c>
      <c r="AE4" s="85" t="s">
        <v>32</v>
      </c>
      <c r="AF4" s="85">
        <v>187</v>
      </c>
      <c r="AH4" s="86" t="s">
        <v>33</v>
      </c>
      <c r="AI4" s="86">
        <v>199</v>
      </c>
    </row>
    <row r="5" spans="1:35" x14ac:dyDescent="0.25">
      <c r="A5" s="95" t="s">
        <v>34</v>
      </c>
      <c r="B5" s="46" t="s">
        <v>35</v>
      </c>
      <c r="C5" s="48" t="s">
        <v>36</v>
      </c>
      <c r="D5" s="49">
        <v>559.8066298342543</v>
      </c>
      <c r="E5" s="50">
        <v>3276.3737971391147</v>
      </c>
      <c r="F5" s="54">
        <v>1</v>
      </c>
      <c r="G5" s="51">
        <v>12000</v>
      </c>
      <c r="H5" s="51" t="s">
        <v>37</v>
      </c>
      <c r="I5" s="52">
        <v>60</v>
      </c>
      <c r="J5" s="52">
        <v>5</v>
      </c>
      <c r="K5" s="66">
        <f t="shared" ref="K5:K14" si="0">(E5/F5)/G5</f>
        <v>0.27303114976159287</v>
      </c>
      <c r="L5" s="66">
        <f t="shared" ref="L5:L14" si="1">(D5/F5)/G5</f>
        <v>4.6650552486187859E-2</v>
      </c>
      <c r="M5" s="66" t="s">
        <v>38</v>
      </c>
      <c r="N5" s="66">
        <f t="shared" ref="N5:N14" si="2">K5*I5</f>
        <v>16.381868985695572</v>
      </c>
      <c r="O5" s="66">
        <f t="shared" ref="O5:O14" si="3">L5*I5</f>
        <v>2.7990331491712714</v>
      </c>
      <c r="AA5" s="115" t="s">
        <v>31</v>
      </c>
      <c r="AB5" s="116">
        <v>1</v>
      </c>
      <c r="AC5" s="116">
        <f>AF2+AF12</f>
        <v>215</v>
      </c>
      <c r="AE5" s="85" t="s">
        <v>40</v>
      </c>
      <c r="AF5" s="85">
        <v>162</v>
      </c>
      <c r="AH5" s="86" t="s">
        <v>41</v>
      </c>
      <c r="AI5" s="86">
        <v>24</v>
      </c>
    </row>
    <row r="6" spans="1:35" x14ac:dyDescent="0.25">
      <c r="A6" s="95" t="s">
        <v>42</v>
      </c>
      <c r="B6" s="46" t="s">
        <v>35</v>
      </c>
      <c r="C6" s="48" t="s">
        <v>25</v>
      </c>
      <c r="D6" s="49">
        <v>10426.726289255765</v>
      </c>
      <c r="E6" s="50">
        <v>56500.558226024725</v>
      </c>
      <c r="F6" s="54">
        <v>1</v>
      </c>
      <c r="G6" s="51">
        <v>14800</v>
      </c>
      <c r="H6" s="51" t="s">
        <v>43</v>
      </c>
      <c r="I6" s="52">
        <v>95</v>
      </c>
      <c r="J6" s="52">
        <v>6.4189189189189184</v>
      </c>
      <c r="K6" s="66">
        <f t="shared" si="0"/>
        <v>3.8176052855422111</v>
      </c>
      <c r="L6" s="66">
        <f t="shared" si="1"/>
        <v>0.70450853305782191</v>
      </c>
      <c r="M6" s="66" t="s">
        <v>38</v>
      </c>
      <c r="N6" s="66">
        <f t="shared" si="2"/>
        <v>362.67250212651004</v>
      </c>
      <c r="O6" s="66">
        <f t="shared" si="3"/>
        <v>66.928310640493081</v>
      </c>
      <c r="AA6" s="115" t="s">
        <v>39</v>
      </c>
      <c r="AB6" s="116">
        <v>1</v>
      </c>
      <c r="AC6" s="116">
        <f>AF7</f>
        <v>139</v>
      </c>
      <c r="AE6" s="85" t="s">
        <v>41</v>
      </c>
      <c r="AF6" s="85">
        <v>25</v>
      </c>
      <c r="AH6" s="86" t="s">
        <v>45</v>
      </c>
      <c r="AI6" s="86">
        <v>175</v>
      </c>
    </row>
    <row r="7" spans="1:35" x14ac:dyDescent="0.25">
      <c r="A7" s="95" t="s">
        <v>264</v>
      </c>
      <c r="B7" s="46" t="s">
        <v>35</v>
      </c>
      <c r="C7" s="48" t="s">
        <v>36</v>
      </c>
      <c r="D7" s="49">
        <v>0</v>
      </c>
      <c r="E7" s="50">
        <v>5561.5724914035636</v>
      </c>
      <c r="F7" s="54">
        <v>1</v>
      </c>
      <c r="G7" s="51">
        <v>15160</v>
      </c>
      <c r="H7" s="51" t="s">
        <v>266</v>
      </c>
      <c r="I7" s="52">
        <v>265</v>
      </c>
      <c r="J7" s="52">
        <v>17.480211081794195</v>
      </c>
      <c r="K7" s="66">
        <f t="shared" ref="K7" si="4">(E7/F7)/G7</f>
        <v>0.36685834376012955</v>
      </c>
      <c r="L7" s="66">
        <f t="shared" ref="L7" si="5">(D7/F7)/G7</f>
        <v>0</v>
      </c>
      <c r="M7" s="66" t="s">
        <v>38</v>
      </c>
      <c r="N7" s="66">
        <f t="shared" ref="N7" si="6">K7*I7</f>
        <v>97.217461096434334</v>
      </c>
      <c r="O7" s="66">
        <f t="shared" ref="O7" si="7">L7*I7</f>
        <v>0</v>
      </c>
      <c r="AA7" s="115" t="s">
        <v>44</v>
      </c>
      <c r="AB7" s="116">
        <v>1</v>
      </c>
      <c r="AC7" s="116">
        <f>AF19</f>
        <v>117</v>
      </c>
      <c r="AE7" s="85" t="s">
        <v>49</v>
      </c>
      <c r="AF7" s="85">
        <v>139</v>
      </c>
      <c r="AH7" s="86" t="s">
        <v>50</v>
      </c>
      <c r="AI7" s="86">
        <v>96</v>
      </c>
    </row>
    <row r="8" spans="1:35" x14ac:dyDescent="0.25">
      <c r="A8" s="95" t="s">
        <v>311</v>
      </c>
      <c r="B8" s="46" t="s">
        <v>35</v>
      </c>
      <c r="C8" s="48" t="s">
        <v>36</v>
      </c>
      <c r="D8" s="49">
        <v>0</v>
      </c>
      <c r="E8" s="50">
        <v>202.18818380743983</v>
      </c>
      <c r="F8" s="54">
        <v>1</v>
      </c>
      <c r="G8" s="125">
        <v>16650</v>
      </c>
      <c r="H8" s="125" t="s">
        <v>267</v>
      </c>
      <c r="I8" s="126">
        <v>36</v>
      </c>
      <c r="J8" s="126">
        <v>2.1621621621621623</v>
      </c>
      <c r="K8" s="66">
        <f t="shared" ref="K8:K10" si="8">(E8/F8)/G8</f>
        <v>1.2143434462909299E-2</v>
      </c>
      <c r="L8" s="66">
        <f t="shared" ref="L8:L10" si="9">(D8/F8)/G8</f>
        <v>0</v>
      </c>
      <c r="M8" s="66" t="s">
        <v>38</v>
      </c>
      <c r="N8" s="66">
        <f t="shared" ref="N8:N10" si="10">K8*I8</f>
        <v>0.43716364066473479</v>
      </c>
      <c r="O8" s="66">
        <f t="shared" ref="O8:O10" si="11">L8*I8</f>
        <v>0</v>
      </c>
      <c r="AA8" s="115" t="s">
        <v>48</v>
      </c>
      <c r="AB8" s="116">
        <v>1</v>
      </c>
      <c r="AC8" s="116">
        <f>AF7+AF21</f>
        <v>224</v>
      </c>
      <c r="AE8" s="85" t="s">
        <v>55</v>
      </c>
      <c r="AF8" s="85">
        <v>139</v>
      </c>
      <c r="AH8" s="86" t="s">
        <v>56</v>
      </c>
      <c r="AI8" s="86">
        <v>66</v>
      </c>
    </row>
    <row r="9" spans="1:35" x14ac:dyDescent="0.25">
      <c r="A9" s="95" t="s">
        <v>259</v>
      </c>
      <c r="B9" s="46" t="s">
        <v>35</v>
      </c>
      <c r="C9" s="48" t="s">
        <v>25</v>
      </c>
      <c r="D9" s="49">
        <v>0</v>
      </c>
      <c r="E9" s="50">
        <v>297.68041237113403</v>
      </c>
      <c r="F9" s="54">
        <v>1</v>
      </c>
      <c r="G9" s="51">
        <v>3540</v>
      </c>
      <c r="H9" s="51" t="s">
        <v>260</v>
      </c>
      <c r="I9" s="52">
        <v>125</v>
      </c>
      <c r="J9" s="52">
        <v>35.310734463276837</v>
      </c>
      <c r="K9" s="66">
        <f t="shared" si="8"/>
        <v>8.4090511969246898E-2</v>
      </c>
      <c r="L9" s="66">
        <f t="shared" si="9"/>
        <v>0</v>
      </c>
      <c r="M9" s="66" t="s">
        <v>142</v>
      </c>
      <c r="N9" s="66">
        <f t="shared" si="10"/>
        <v>10.511313996155863</v>
      </c>
      <c r="O9" s="66">
        <f t="shared" si="11"/>
        <v>0</v>
      </c>
      <c r="AA9" s="115" t="s">
        <v>54</v>
      </c>
      <c r="AB9" s="116">
        <v>1</v>
      </c>
      <c r="AC9" s="116">
        <f>AF21</f>
        <v>85</v>
      </c>
      <c r="AE9" s="85" t="s">
        <v>60</v>
      </c>
      <c r="AF9" s="85">
        <v>112</v>
      </c>
      <c r="AH9" s="86" t="s">
        <v>41</v>
      </c>
      <c r="AI9" s="86">
        <v>30</v>
      </c>
    </row>
    <row r="10" spans="1:35" x14ac:dyDescent="0.25">
      <c r="A10" s="95" t="s">
        <v>265</v>
      </c>
      <c r="B10" s="46" t="s">
        <v>35</v>
      </c>
      <c r="C10" s="48" t="s">
        <v>36</v>
      </c>
      <c r="D10" s="49">
        <v>108.94985915492961</v>
      </c>
      <c r="E10" s="50">
        <v>226.52414486921529</v>
      </c>
      <c r="F10" s="54">
        <v>1</v>
      </c>
      <c r="G10" s="51">
        <v>16650</v>
      </c>
      <c r="H10" s="51" t="s">
        <v>267</v>
      </c>
      <c r="I10" s="52">
        <v>36</v>
      </c>
      <c r="J10" s="52">
        <v>2.1621621621621623</v>
      </c>
      <c r="K10" s="66">
        <f t="shared" si="8"/>
        <v>1.3605053745898816E-2</v>
      </c>
      <c r="L10" s="66">
        <f t="shared" si="9"/>
        <v>6.543535084380157E-3</v>
      </c>
      <c r="M10" s="66" t="s">
        <v>38</v>
      </c>
      <c r="N10" s="66">
        <f t="shared" si="10"/>
        <v>0.48978193485235738</v>
      </c>
      <c r="O10" s="66">
        <f t="shared" si="11"/>
        <v>0.23556726303768566</v>
      </c>
      <c r="AA10" s="115" t="s">
        <v>59</v>
      </c>
      <c r="AB10" s="116">
        <v>1</v>
      </c>
      <c r="AC10" s="116">
        <f>AF23+AF3</f>
        <v>106</v>
      </c>
      <c r="AE10" s="85" t="s">
        <v>63</v>
      </c>
      <c r="AF10" s="85">
        <v>14</v>
      </c>
      <c r="AH10" s="86" t="s">
        <v>64</v>
      </c>
      <c r="AI10" s="86">
        <v>149</v>
      </c>
    </row>
    <row r="11" spans="1:35" x14ac:dyDescent="0.25">
      <c r="A11" s="95" t="s">
        <v>46</v>
      </c>
      <c r="B11" s="46" t="s">
        <v>35</v>
      </c>
      <c r="C11" s="48" t="s">
        <v>25</v>
      </c>
      <c r="D11" s="49">
        <v>476.34414542862237</v>
      </c>
      <c r="E11" s="50">
        <v>3683.6459626778337</v>
      </c>
      <c r="F11" s="54">
        <v>1</v>
      </c>
      <c r="G11" s="51">
        <v>15120</v>
      </c>
      <c r="H11" s="51" t="s">
        <v>47</v>
      </c>
      <c r="I11" s="52">
        <v>170</v>
      </c>
      <c r="J11" s="52">
        <v>11.243386243386244</v>
      </c>
      <c r="K11" s="66">
        <f t="shared" si="0"/>
        <v>0.24362737848398372</v>
      </c>
      <c r="L11" s="66">
        <f t="shared" si="1"/>
        <v>3.1504242422527931E-2</v>
      </c>
      <c r="M11" s="66" t="s">
        <v>38</v>
      </c>
      <c r="N11" s="66">
        <f t="shared" si="2"/>
        <v>41.416654342277234</v>
      </c>
      <c r="O11" s="66">
        <f t="shared" si="3"/>
        <v>5.3557212118297484</v>
      </c>
      <c r="AA11" s="115" t="s">
        <v>291</v>
      </c>
      <c r="AB11" s="116">
        <v>1</v>
      </c>
      <c r="AC11" s="116">
        <f>AF24</f>
        <v>148</v>
      </c>
      <c r="AE11" s="85" t="s">
        <v>65</v>
      </c>
      <c r="AF11" s="85">
        <v>98</v>
      </c>
      <c r="AH11" s="86" t="s">
        <v>55</v>
      </c>
      <c r="AI11" s="86">
        <v>149</v>
      </c>
    </row>
    <row r="12" spans="1:35" x14ac:dyDescent="0.25">
      <c r="A12" s="96" t="s">
        <v>51</v>
      </c>
      <c r="B12" s="46" t="s">
        <v>35</v>
      </c>
      <c r="C12" s="48" t="s">
        <v>25</v>
      </c>
      <c r="D12" s="49">
        <v>0</v>
      </c>
      <c r="E12" s="50">
        <v>7585.0645605508289</v>
      </c>
      <c r="F12" s="54">
        <v>1</v>
      </c>
      <c r="G12" s="51">
        <v>16000</v>
      </c>
      <c r="H12" s="51" t="s">
        <v>52</v>
      </c>
      <c r="I12" s="52">
        <v>160</v>
      </c>
      <c r="J12" s="52">
        <v>10</v>
      </c>
      <c r="K12" s="66">
        <f t="shared" si="0"/>
        <v>0.47406653503442681</v>
      </c>
      <c r="L12" s="66">
        <f t="shared" si="1"/>
        <v>0</v>
      </c>
      <c r="M12" s="66" t="s">
        <v>53</v>
      </c>
      <c r="N12" s="66">
        <f t="shared" si="2"/>
        <v>75.850645605508291</v>
      </c>
      <c r="O12" s="66">
        <f t="shared" si="3"/>
        <v>0</v>
      </c>
      <c r="AA12" s="115" t="s">
        <v>292</v>
      </c>
      <c r="AB12" s="116">
        <v>1</v>
      </c>
      <c r="AC12" s="116">
        <f>AF24</f>
        <v>148</v>
      </c>
      <c r="AE12" s="85" t="s">
        <v>68</v>
      </c>
      <c r="AF12" s="85">
        <v>160</v>
      </c>
      <c r="AH12" s="86" t="s">
        <v>69</v>
      </c>
      <c r="AI12" s="86">
        <v>107</v>
      </c>
    </row>
    <row r="13" spans="1:35" x14ac:dyDescent="0.25">
      <c r="A13" s="95" t="s">
        <v>57</v>
      </c>
      <c r="B13" s="46" t="s">
        <v>35</v>
      </c>
      <c r="C13" s="48" t="s">
        <v>36</v>
      </c>
      <c r="D13" s="49">
        <v>509.80645161290317</v>
      </c>
      <c r="E13" s="50">
        <v>1344.3156989247311</v>
      </c>
      <c r="F13" s="54">
        <v>1</v>
      </c>
      <c r="G13" s="51">
        <v>2130</v>
      </c>
      <c r="H13" s="51" t="s">
        <v>58</v>
      </c>
      <c r="I13" s="52">
        <v>125</v>
      </c>
      <c r="J13" s="52">
        <v>58.685446009389672</v>
      </c>
      <c r="K13" s="66">
        <f t="shared" si="0"/>
        <v>0.63113413095057802</v>
      </c>
      <c r="L13" s="66">
        <f t="shared" si="1"/>
        <v>0.23934575193094046</v>
      </c>
      <c r="M13" s="66" t="s">
        <v>38</v>
      </c>
      <c r="N13" s="66">
        <f t="shared" si="2"/>
        <v>78.891766368822246</v>
      </c>
      <c r="O13" s="66">
        <f t="shared" si="3"/>
        <v>29.918218991367556</v>
      </c>
      <c r="AA13" s="117" t="s">
        <v>70</v>
      </c>
      <c r="AB13" s="118">
        <v>2</v>
      </c>
      <c r="AC13" s="118">
        <f>AF42</f>
        <v>183</v>
      </c>
      <c r="AE13" s="85" t="s">
        <v>41</v>
      </c>
      <c r="AF13" s="85">
        <v>19</v>
      </c>
      <c r="AH13" s="86" t="s">
        <v>41</v>
      </c>
      <c r="AI13" s="86">
        <v>14</v>
      </c>
    </row>
    <row r="14" spans="1:35" x14ac:dyDescent="0.25">
      <c r="A14" s="95" t="s">
        <v>61</v>
      </c>
      <c r="B14" s="46" t="s">
        <v>35</v>
      </c>
      <c r="C14" s="48" t="s">
        <v>36</v>
      </c>
      <c r="D14" s="49">
        <v>1233.116129032258</v>
      </c>
      <c r="E14" s="50">
        <v>6061.6586631193877</v>
      </c>
      <c r="F14" s="54">
        <v>1</v>
      </c>
      <c r="G14" s="51">
        <v>20000</v>
      </c>
      <c r="H14" s="51" t="s">
        <v>62</v>
      </c>
      <c r="I14" s="52">
        <v>65</v>
      </c>
      <c r="J14" s="52">
        <v>3.25</v>
      </c>
      <c r="K14" s="66">
        <f t="shared" si="0"/>
        <v>0.3030829331559694</v>
      </c>
      <c r="L14" s="66">
        <f t="shared" si="1"/>
        <v>6.16558064516129E-2</v>
      </c>
      <c r="M14" s="66" t="s">
        <v>38</v>
      </c>
      <c r="N14" s="66">
        <f t="shared" si="2"/>
        <v>19.700390655138012</v>
      </c>
      <c r="O14" s="66">
        <f t="shared" si="3"/>
        <v>4.0076274193548382</v>
      </c>
      <c r="AA14" s="117" t="s">
        <v>73</v>
      </c>
      <c r="AB14" s="118">
        <v>2</v>
      </c>
      <c r="AC14" s="118">
        <f>AF42</f>
        <v>183</v>
      </c>
      <c r="AE14" s="85" t="s">
        <v>74</v>
      </c>
      <c r="AF14" s="85">
        <v>141</v>
      </c>
      <c r="AH14" s="86" t="s">
        <v>75</v>
      </c>
      <c r="AI14" s="86">
        <v>93</v>
      </c>
    </row>
    <row r="15" spans="1:35" x14ac:dyDescent="0.25">
      <c r="A15" s="105"/>
      <c r="B15" s="98"/>
      <c r="C15" s="99"/>
      <c r="D15" s="100"/>
      <c r="E15" s="100"/>
      <c r="F15" s="101"/>
      <c r="G15" s="102"/>
      <c r="H15" s="102"/>
      <c r="I15" s="103"/>
      <c r="J15" s="103"/>
      <c r="K15" s="104"/>
      <c r="L15" s="104"/>
      <c r="M15" s="104"/>
      <c r="N15" s="104"/>
      <c r="O15" s="104"/>
      <c r="AA15" s="87" t="s">
        <v>295</v>
      </c>
      <c r="AB15" s="118">
        <v>2</v>
      </c>
      <c r="AC15" s="118">
        <f>AF47</f>
        <v>173</v>
      </c>
      <c r="AE15" s="85" t="s">
        <v>78</v>
      </c>
      <c r="AF15" s="85">
        <v>163</v>
      </c>
      <c r="AH15" s="86" t="s">
        <v>165</v>
      </c>
      <c r="AI15" s="86">
        <v>69</v>
      </c>
    </row>
    <row r="16" spans="1:35" x14ac:dyDescent="0.25">
      <c r="A16" s="95" t="s">
        <v>66</v>
      </c>
      <c r="B16" s="46" t="s">
        <v>67</v>
      </c>
      <c r="C16" s="48" t="s">
        <v>36</v>
      </c>
      <c r="D16" s="49">
        <v>1313.55</v>
      </c>
      <c r="E16" s="50">
        <v>18759.494857837184</v>
      </c>
      <c r="F16" s="54">
        <v>1</v>
      </c>
      <c r="G16" s="51">
        <v>1000</v>
      </c>
      <c r="H16" s="51" t="s">
        <v>325</v>
      </c>
      <c r="I16" s="52">
        <v>0</v>
      </c>
      <c r="J16" s="52">
        <v>0</v>
      </c>
      <c r="K16" s="66">
        <f>(E16/F16)/G16</f>
        <v>18.759494857837183</v>
      </c>
      <c r="L16" s="66">
        <f>(D16/F16)/G16</f>
        <v>1.31355</v>
      </c>
      <c r="M16" s="66" t="s">
        <v>27</v>
      </c>
      <c r="N16" s="66">
        <f>K16*I16</f>
        <v>0</v>
      </c>
      <c r="O16" s="66">
        <f>L16*I16</f>
        <v>0</v>
      </c>
      <c r="AA16" s="87" t="s">
        <v>296</v>
      </c>
      <c r="AB16" s="118">
        <v>2</v>
      </c>
      <c r="AC16" s="118">
        <f>AF47</f>
        <v>173</v>
      </c>
      <c r="AE16" s="85" t="s">
        <v>75</v>
      </c>
      <c r="AF16" s="85">
        <v>163</v>
      </c>
      <c r="AH16" s="86" t="s">
        <v>56</v>
      </c>
      <c r="AI16" s="86">
        <v>65</v>
      </c>
    </row>
    <row r="17" spans="1:35" x14ac:dyDescent="0.25">
      <c r="A17" s="105"/>
      <c r="B17" s="98"/>
      <c r="C17" s="99"/>
      <c r="D17" s="100"/>
      <c r="E17" s="100"/>
      <c r="F17" s="101"/>
      <c r="G17" s="102"/>
      <c r="H17" s="102"/>
      <c r="I17" s="103"/>
      <c r="J17" s="103"/>
      <c r="K17" s="104"/>
      <c r="L17" s="104"/>
      <c r="M17" s="104"/>
      <c r="N17" s="104"/>
      <c r="O17" s="104"/>
      <c r="AA17" s="87" t="s">
        <v>297</v>
      </c>
      <c r="AB17" s="118">
        <v>2</v>
      </c>
      <c r="AC17" s="118">
        <f>AF48</f>
        <v>143</v>
      </c>
      <c r="AE17" s="85" t="s">
        <v>86</v>
      </c>
      <c r="AF17" s="85">
        <v>174</v>
      </c>
      <c r="AH17" s="86" t="s">
        <v>41</v>
      </c>
      <c r="AI17" s="86">
        <v>4</v>
      </c>
    </row>
    <row r="18" spans="1:35" x14ac:dyDescent="0.25">
      <c r="A18" s="95" t="s">
        <v>324</v>
      </c>
      <c r="B18" s="46" t="s">
        <v>71</v>
      </c>
      <c r="C18" s="48" t="s">
        <v>25</v>
      </c>
      <c r="D18" s="49">
        <v>0</v>
      </c>
      <c r="E18" s="50">
        <v>29.507445589919818</v>
      </c>
      <c r="F18" s="54">
        <v>1</v>
      </c>
      <c r="G18" s="51">
        <v>1000</v>
      </c>
      <c r="H18" s="51" t="s">
        <v>72</v>
      </c>
      <c r="I18" s="52">
        <v>5</v>
      </c>
      <c r="J18" s="52">
        <v>5</v>
      </c>
      <c r="K18" s="66">
        <f t="shared" ref="K18:K26" si="12">(E18/F18)/G18</f>
        <v>2.9507445589919818E-2</v>
      </c>
      <c r="L18" s="66">
        <f t="shared" ref="L18:L26" si="13">(D18/F18)/G18</f>
        <v>0</v>
      </c>
      <c r="M18" s="66" t="s">
        <v>27</v>
      </c>
      <c r="N18" s="66">
        <f t="shared" ref="N18:N26" si="14">K18*I18</f>
        <v>0.14753722794959909</v>
      </c>
      <c r="O18" s="66">
        <f t="shared" ref="O18:O26" si="15">L18*I18</f>
        <v>0</v>
      </c>
      <c r="AA18" s="87" t="s">
        <v>298</v>
      </c>
      <c r="AB18" s="118">
        <v>2</v>
      </c>
      <c r="AC18" s="118">
        <f>AF48</f>
        <v>143</v>
      </c>
      <c r="AE18" s="85" t="s">
        <v>56</v>
      </c>
      <c r="AF18" s="85">
        <v>174</v>
      </c>
      <c r="AH18" s="86" t="s">
        <v>87</v>
      </c>
      <c r="AI18" s="86">
        <v>101</v>
      </c>
    </row>
    <row r="19" spans="1:35" x14ac:dyDescent="0.25">
      <c r="A19" s="95" t="s">
        <v>76</v>
      </c>
      <c r="B19" s="46" t="s">
        <v>71</v>
      </c>
      <c r="C19" s="48" t="s">
        <v>25</v>
      </c>
      <c r="D19" s="49">
        <v>0</v>
      </c>
      <c r="E19" s="50">
        <v>70.717349949874077</v>
      </c>
      <c r="F19" s="54">
        <v>1</v>
      </c>
      <c r="G19" s="51">
        <v>1000</v>
      </c>
      <c r="H19" s="51" t="s">
        <v>72</v>
      </c>
      <c r="I19" s="52">
        <v>31</v>
      </c>
      <c r="J19" s="52">
        <v>31</v>
      </c>
      <c r="K19" s="66">
        <f t="shared" si="12"/>
        <v>7.0717349949874081E-2</v>
      </c>
      <c r="L19" s="66">
        <f t="shared" si="13"/>
        <v>0</v>
      </c>
      <c r="M19" s="66" t="s">
        <v>27</v>
      </c>
      <c r="N19" s="66">
        <f t="shared" si="14"/>
        <v>2.1922378484460965</v>
      </c>
      <c r="O19" s="66">
        <f t="shared" si="15"/>
        <v>0</v>
      </c>
      <c r="AA19" s="89" t="s">
        <v>77</v>
      </c>
      <c r="AB19" s="119">
        <v>3</v>
      </c>
      <c r="AC19" s="119">
        <f>AF71</f>
        <v>109</v>
      </c>
      <c r="AE19" s="85" t="s">
        <v>93</v>
      </c>
      <c r="AF19" s="85">
        <v>117</v>
      </c>
      <c r="AH19" s="86" t="s">
        <v>56</v>
      </c>
      <c r="AI19" s="86">
        <v>101</v>
      </c>
    </row>
    <row r="20" spans="1:35" x14ac:dyDescent="0.25">
      <c r="A20" s="95" t="s">
        <v>80</v>
      </c>
      <c r="B20" s="46" t="s">
        <v>71</v>
      </c>
      <c r="C20" s="48" t="s">
        <v>25</v>
      </c>
      <c r="D20" s="49">
        <v>6.95</v>
      </c>
      <c r="E20" s="50">
        <v>61.63739368165249</v>
      </c>
      <c r="F20" s="54">
        <v>1</v>
      </c>
      <c r="G20" s="51">
        <v>1000</v>
      </c>
      <c r="H20" s="51" t="s">
        <v>72</v>
      </c>
      <c r="I20" s="52">
        <v>8</v>
      </c>
      <c r="J20" s="52">
        <v>8</v>
      </c>
      <c r="K20" s="66">
        <f t="shared" si="12"/>
        <v>6.163739368165249E-2</v>
      </c>
      <c r="L20" s="66">
        <f t="shared" si="13"/>
        <v>6.9500000000000004E-3</v>
      </c>
      <c r="M20" s="66" t="s">
        <v>27</v>
      </c>
      <c r="N20" s="66">
        <f t="shared" si="14"/>
        <v>0.49309914945321992</v>
      </c>
      <c r="O20" s="66">
        <f t="shared" si="15"/>
        <v>5.5600000000000004E-2</v>
      </c>
      <c r="AA20" s="89" t="s">
        <v>81</v>
      </c>
      <c r="AB20" s="119">
        <v>3</v>
      </c>
      <c r="AC20" s="119">
        <f>AF71+AF69</f>
        <v>210</v>
      </c>
      <c r="AE20" s="85" t="s">
        <v>95</v>
      </c>
      <c r="AF20" s="85">
        <v>117</v>
      </c>
      <c r="AH20" s="86" t="s">
        <v>326</v>
      </c>
      <c r="AI20" s="86">
        <v>220</v>
      </c>
    </row>
    <row r="21" spans="1:35" x14ac:dyDescent="0.25">
      <c r="A21" s="95" t="s">
        <v>83</v>
      </c>
      <c r="B21" s="46" t="s">
        <v>71</v>
      </c>
      <c r="C21" s="48" t="s">
        <v>25</v>
      </c>
      <c r="D21" s="49">
        <v>0</v>
      </c>
      <c r="E21" s="50">
        <v>1.19</v>
      </c>
      <c r="F21" s="54">
        <v>1</v>
      </c>
      <c r="G21" s="51">
        <v>2724</v>
      </c>
      <c r="H21" s="51" t="s">
        <v>84</v>
      </c>
      <c r="I21" s="52">
        <v>175</v>
      </c>
      <c r="J21" s="52">
        <v>64.243759177679877</v>
      </c>
      <c r="K21" s="66">
        <f t="shared" si="12"/>
        <v>4.368575624082232E-4</v>
      </c>
      <c r="L21" s="66">
        <f t="shared" si="13"/>
        <v>0</v>
      </c>
      <c r="M21" s="66" t="s">
        <v>38</v>
      </c>
      <c r="N21" s="66">
        <f t="shared" si="14"/>
        <v>7.6450073421439058E-2</v>
      </c>
      <c r="O21" s="66">
        <f t="shared" si="15"/>
        <v>0</v>
      </c>
      <c r="AA21" s="89" t="s">
        <v>85</v>
      </c>
      <c r="AB21" s="119">
        <v>3</v>
      </c>
      <c r="AC21" s="119">
        <f>AF51</f>
        <v>192</v>
      </c>
      <c r="AE21" s="85" t="s">
        <v>101</v>
      </c>
      <c r="AF21" s="85">
        <v>85</v>
      </c>
      <c r="AH21" s="86" t="s">
        <v>96</v>
      </c>
      <c r="AI21" s="86">
        <v>220</v>
      </c>
    </row>
    <row r="22" spans="1:35" x14ac:dyDescent="0.25">
      <c r="A22" s="95" t="s">
        <v>262</v>
      </c>
      <c r="B22" s="46" t="s">
        <v>71</v>
      </c>
      <c r="C22" s="48" t="s">
        <v>25</v>
      </c>
      <c r="D22" s="49">
        <v>0</v>
      </c>
      <c r="E22" s="50">
        <v>298.29744295092212</v>
      </c>
      <c r="F22" s="54">
        <v>1</v>
      </c>
      <c r="G22" s="125">
        <v>454</v>
      </c>
      <c r="H22" s="125" t="s">
        <v>321</v>
      </c>
      <c r="I22" s="126">
        <v>44</v>
      </c>
      <c r="J22" s="52">
        <v>96.916299559471369</v>
      </c>
      <c r="K22" s="66">
        <f t="shared" si="12"/>
        <v>0.65704282588308838</v>
      </c>
      <c r="L22" s="66">
        <f t="shared" si="13"/>
        <v>0</v>
      </c>
      <c r="M22" s="66" t="s">
        <v>38</v>
      </c>
      <c r="N22" s="66">
        <f t="shared" si="14"/>
        <v>28.909884338855889</v>
      </c>
      <c r="O22" s="66">
        <f t="shared" si="15"/>
        <v>0</v>
      </c>
      <c r="AA22" s="89" t="s">
        <v>103</v>
      </c>
      <c r="AB22" s="119">
        <v>3</v>
      </c>
      <c r="AC22" s="119">
        <f>AF56</f>
        <v>114</v>
      </c>
      <c r="AE22" s="85" t="s">
        <v>55</v>
      </c>
      <c r="AF22" s="85">
        <v>85</v>
      </c>
      <c r="AH22" s="86" t="s">
        <v>102</v>
      </c>
      <c r="AI22" s="86">
        <v>160</v>
      </c>
    </row>
    <row r="23" spans="1:35" x14ac:dyDescent="0.25">
      <c r="A23" s="95" t="s">
        <v>257</v>
      </c>
      <c r="B23" s="46" t="s">
        <v>71</v>
      </c>
      <c r="C23" s="48" t="s">
        <v>25</v>
      </c>
      <c r="D23" s="49">
        <v>0</v>
      </c>
      <c r="E23" s="50">
        <v>415.2546980854197</v>
      </c>
      <c r="F23" s="54">
        <v>1</v>
      </c>
      <c r="G23" s="51">
        <v>1000</v>
      </c>
      <c r="H23" s="51" t="s">
        <v>72</v>
      </c>
      <c r="I23" s="52">
        <v>10</v>
      </c>
      <c r="J23" s="52">
        <v>10</v>
      </c>
      <c r="K23" s="66">
        <f t="shared" ref="K23" si="16">(E23/F23)/G23</f>
        <v>0.4152546980854197</v>
      </c>
      <c r="L23" s="66">
        <f t="shared" ref="L23" si="17">(D23/F23)/G23</f>
        <v>0</v>
      </c>
      <c r="M23" s="66" t="s">
        <v>72</v>
      </c>
      <c r="N23" s="66">
        <f t="shared" ref="N23" si="18">K23*I23</f>
        <v>4.152546980854197</v>
      </c>
      <c r="O23" s="66">
        <f t="shared" ref="O23" si="19">L23*I23</f>
        <v>0</v>
      </c>
      <c r="AA23" s="89" t="s">
        <v>90</v>
      </c>
      <c r="AB23" s="120">
        <v>3</v>
      </c>
      <c r="AC23" s="120">
        <f>AF73+AF50</f>
        <v>118</v>
      </c>
      <c r="AE23" s="85" t="s">
        <v>110</v>
      </c>
      <c r="AF23" s="85">
        <v>55</v>
      </c>
      <c r="AH23" s="86" t="s">
        <v>104</v>
      </c>
      <c r="AI23" s="86">
        <v>160</v>
      </c>
    </row>
    <row r="24" spans="1:35" x14ac:dyDescent="0.25">
      <c r="A24" s="95" t="s">
        <v>258</v>
      </c>
      <c r="B24" s="46" t="s">
        <v>71</v>
      </c>
      <c r="C24" s="48" t="s">
        <v>25</v>
      </c>
      <c r="D24" s="49">
        <v>0</v>
      </c>
      <c r="E24" s="50">
        <v>297.68041237113403</v>
      </c>
      <c r="F24" s="54">
        <v>1</v>
      </c>
      <c r="G24" s="51">
        <v>1000</v>
      </c>
      <c r="H24" s="51" t="s">
        <v>72</v>
      </c>
      <c r="I24" s="52">
        <v>12</v>
      </c>
      <c r="J24" s="52">
        <v>12</v>
      </c>
      <c r="K24" s="66">
        <f t="shared" ref="K24" si="20">(E24/F24)/G24</f>
        <v>0.29768041237113402</v>
      </c>
      <c r="L24" s="66">
        <f t="shared" ref="L24" si="21">(D24/F24)/G24</f>
        <v>0</v>
      </c>
      <c r="M24" s="66" t="s">
        <v>72</v>
      </c>
      <c r="N24" s="66">
        <f t="shared" ref="N24" si="22">K24*I24</f>
        <v>3.572164948453608</v>
      </c>
      <c r="O24" s="66">
        <f t="shared" ref="O24" si="23">L24*I24</f>
        <v>0</v>
      </c>
      <c r="AA24" s="89" t="s">
        <v>92</v>
      </c>
      <c r="AB24" s="120">
        <v>3</v>
      </c>
      <c r="AC24" s="120">
        <f>AF73+AF50</f>
        <v>118</v>
      </c>
      <c r="AE24" s="85" t="s">
        <v>290</v>
      </c>
      <c r="AF24" s="85">
        <v>148</v>
      </c>
      <c r="AH24" s="86" t="s">
        <v>111</v>
      </c>
      <c r="AI24" s="86">
        <v>137</v>
      </c>
    </row>
    <row r="25" spans="1:35" x14ac:dyDescent="0.25">
      <c r="A25" s="95" t="s">
        <v>88</v>
      </c>
      <c r="B25" s="46" t="s">
        <v>71</v>
      </c>
      <c r="C25" s="48" t="s">
        <v>25</v>
      </c>
      <c r="D25" s="49">
        <v>55.674765421293522</v>
      </c>
      <c r="E25" s="50">
        <v>665.49246120660416</v>
      </c>
      <c r="F25" s="54">
        <v>1</v>
      </c>
      <c r="G25" s="51">
        <v>50000</v>
      </c>
      <c r="H25" s="51" t="s">
        <v>89</v>
      </c>
      <c r="I25" s="52">
        <v>37</v>
      </c>
      <c r="J25" s="52">
        <v>0.74</v>
      </c>
      <c r="K25" s="66">
        <f t="shared" si="12"/>
        <v>1.3309849224132083E-2</v>
      </c>
      <c r="L25" s="66">
        <f t="shared" si="13"/>
        <v>1.1134953084258705E-3</v>
      </c>
      <c r="M25" s="66" t="s">
        <v>27</v>
      </c>
      <c r="N25" s="66">
        <f t="shared" si="14"/>
        <v>0.49246442129288709</v>
      </c>
      <c r="O25" s="66">
        <f t="shared" si="15"/>
        <v>4.1199326411757206E-2</v>
      </c>
      <c r="AA25" s="89" t="s">
        <v>299</v>
      </c>
      <c r="AB25" s="120">
        <v>3</v>
      </c>
      <c r="AC25" s="120">
        <f>AF74</f>
        <v>213</v>
      </c>
      <c r="AH25" s="86" t="s">
        <v>55</v>
      </c>
      <c r="AI25" s="86">
        <v>137</v>
      </c>
    </row>
    <row r="26" spans="1:35" x14ac:dyDescent="0.25">
      <c r="A26" s="95" t="s">
        <v>91</v>
      </c>
      <c r="B26" s="46" t="s">
        <v>71</v>
      </c>
      <c r="C26" s="48" t="s">
        <v>25</v>
      </c>
      <c r="D26" s="49">
        <v>3.6171617161716165</v>
      </c>
      <c r="E26" s="50">
        <v>3.6171617161716165</v>
      </c>
      <c r="F26" s="54">
        <v>1</v>
      </c>
      <c r="G26" s="51">
        <v>1000</v>
      </c>
      <c r="H26" s="51" t="s">
        <v>72</v>
      </c>
      <c r="I26" s="52">
        <v>47</v>
      </c>
      <c r="J26" s="52">
        <v>47</v>
      </c>
      <c r="K26" s="66">
        <f t="shared" si="12"/>
        <v>3.6171617161716166E-3</v>
      </c>
      <c r="L26" s="66">
        <f t="shared" si="13"/>
        <v>3.6171617161716166E-3</v>
      </c>
      <c r="M26" s="66" t="s">
        <v>27</v>
      </c>
      <c r="N26" s="66">
        <f t="shared" si="14"/>
        <v>0.17000660066006598</v>
      </c>
      <c r="O26" s="66">
        <f t="shared" si="15"/>
        <v>0.17000660066006598</v>
      </c>
      <c r="AA26" s="89" t="s">
        <v>300</v>
      </c>
      <c r="AB26" s="120">
        <v>3</v>
      </c>
      <c r="AC26" s="120">
        <f>AF74</f>
        <v>213</v>
      </c>
      <c r="AE26" s="87" t="s">
        <v>116</v>
      </c>
      <c r="AF26" s="87">
        <v>240</v>
      </c>
      <c r="AH26" s="86" t="s">
        <v>117</v>
      </c>
      <c r="AI26" s="86">
        <v>73</v>
      </c>
    </row>
    <row r="27" spans="1:35" x14ac:dyDescent="0.25">
      <c r="A27" s="105"/>
      <c r="B27" s="98"/>
      <c r="C27" s="99"/>
      <c r="D27" s="100"/>
      <c r="E27" s="100"/>
      <c r="F27" s="101"/>
      <c r="G27" s="102"/>
      <c r="H27" s="102"/>
      <c r="I27" s="103"/>
      <c r="J27" s="103"/>
      <c r="K27" s="104"/>
      <c r="L27" s="104"/>
      <c r="M27" s="104"/>
      <c r="N27" s="104"/>
      <c r="O27" s="104"/>
      <c r="AA27" s="86" t="s">
        <v>94</v>
      </c>
      <c r="AB27" s="121">
        <v>4</v>
      </c>
      <c r="AC27" s="121">
        <f>AI24</f>
        <v>137</v>
      </c>
      <c r="AE27" s="87" t="s">
        <v>40</v>
      </c>
      <c r="AF27" s="87">
        <v>223</v>
      </c>
      <c r="AH27" s="86" t="s">
        <v>316</v>
      </c>
      <c r="AI27" s="86">
        <v>171</v>
      </c>
    </row>
    <row r="28" spans="1:35" x14ac:dyDescent="0.25">
      <c r="A28" s="95" t="s">
        <v>97</v>
      </c>
      <c r="B28" s="46" t="s">
        <v>98</v>
      </c>
      <c r="C28" s="48" t="s">
        <v>25</v>
      </c>
      <c r="D28" s="49">
        <v>0</v>
      </c>
      <c r="E28" s="50">
        <v>2.7768000000000002</v>
      </c>
      <c r="F28" s="54">
        <v>1</v>
      </c>
      <c r="G28" s="51">
        <v>100</v>
      </c>
      <c r="H28" s="51" t="s">
        <v>99</v>
      </c>
      <c r="I28" s="52">
        <v>3.5</v>
      </c>
      <c r="J28" s="52">
        <v>35</v>
      </c>
      <c r="K28" s="66">
        <f>(E28/F28)/G28</f>
        <v>2.7768000000000001E-2</v>
      </c>
      <c r="L28" s="66">
        <f>(D28/F28)/G28</f>
        <v>0</v>
      </c>
      <c r="M28" s="66" t="s">
        <v>53</v>
      </c>
      <c r="N28" s="66">
        <f>K28*I28</f>
        <v>9.7187999999999997E-2</v>
      </c>
      <c r="O28" s="66">
        <f>L28*I28</f>
        <v>0</v>
      </c>
      <c r="AA28" s="86" t="s">
        <v>100</v>
      </c>
      <c r="AB28" s="121">
        <v>4</v>
      </c>
      <c r="AC28" s="121">
        <f>AI26+AI3</f>
        <v>135</v>
      </c>
      <c r="AE28" s="87" t="s">
        <v>41</v>
      </c>
      <c r="AF28" s="87">
        <v>17</v>
      </c>
      <c r="AH28" s="86" t="s">
        <v>317</v>
      </c>
      <c r="AI28" s="86">
        <v>191</v>
      </c>
    </row>
    <row r="29" spans="1:35" x14ac:dyDescent="0.25">
      <c r="A29" s="105"/>
      <c r="B29" s="98"/>
      <c r="C29" s="99"/>
      <c r="D29" s="100"/>
      <c r="E29" s="100"/>
      <c r="F29" s="101"/>
      <c r="G29" s="102"/>
      <c r="H29" s="102"/>
      <c r="I29" s="103"/>
      <c r="J29" s="103"/>
      <c r="K29" s="104"/>
      <c r="L29" s="104"/>
      <c r="M29" s="104"/>
      <c r="N29" s="104"/>
      <c r="O29" s="104"/>
      <c r="AA29" s="86" t="s">
        <v>109</v>
      </c>
      <c r="AB29" s="121">
        <v>4</v>
      </c>
      <c r="AC29" s="121">
        <f>AI22</f>
        <v>160</v>
      </c>
      <c r="AE29" s="87" t="s">
        <v>125</v>
      </c>
      <c r="AF29" s="87">
        <v>266</v>
      </c>
    </row>
    <row r="30" spans="1:35" x14ac:dyDescent="0.25">
      <c r="A30" s="95" t="s">
        <v>105</v>
      </c>
      <c r="B30" s="46" t="s">
        <v>106</v>
      </c>
      <c r="C30" s="48" t="s">
        <v>25</v>
      </c>
      <c r="D30" s="49">
        <v>0</v>
      </c>
      <c r="E30" s="50">
        <v>1000.0000000000001</v>
      </c>
      <c r="F30" s="54">
        <v>1</v>
      </c>
      <c r="G30" s="51">
        <v>10000</v>
      </c>
      <c r="H30" s="51" t="s">
        <v>107</v>
      </c>
      <c r="I30" s="52">
        <v>42</v>
      </c>
      <c r="J30" s="52">
        <v>4.2</v>
      </c>
      <c r="K30" s="66">
        <f>(E30/F30)/G30</f>
        <v>0.1</v>
      </c>
      <c r="L30" s="66">
        <f>(D30/F30)/G30</f>
        <v>0</v>
      </c>
      <c r="M30" s="66" t="s">
        <v>108</v>
      </c>
      <c r="N30" s="66">
        <f>K30*I30</f>
        <v>4.2</v>
      </c>
      <c r="O30" s="66">
        <f>L30*I30</f>
        <v>0</v>
      </c>
      <c r="AA30" s="86" t="s">
        <v>113</v>
      </c>
      <c r="AB30" s="121">
        <v>4</v>
      </c>
      <c r="AC30" s="121">
        <f>AI22</f>
        <v>160</v>
      </c>
      <c r="AE30" s="87" t="s">
        <v>63</v>
      </c>
      <c r="AF30" s="87">
        <v>13</v>
      </c>
      <c r="AH30" s="88" t="s">
        <v>22</v>
      </c>
      <c r="AI30" s="88">
        <v>113</v>
      </c>
    </row>
    <row r="31" spans="1:35" x14ac:dyDescent="0.25">
      <c r="A31" s="95" t="s">
        <v>112</v>
      </c>
      <c r="B31" s="46" t="s">
        <v>106</v>
      </c>
      <c r="C31" s="48" t="s">
        <v>25</v>
      </c>
      <c r="D31" s="49">
        <v>0</v>
      </c>
      <c r="E31" s="50">
        <v>1000.0000000000001</v>
      </c>
      <c r="F31" s="54">
        <v>1</v>
      </c>
      <c r="G31" s="51">
        <v>10000</v>
      </c>
      <c r="H31" s="51" t="s">
        <v>107</v>
      </c>
      <c r="I31" s="52">
        <v>42</v>
      </c>
      <c r="J31" s="52">
        <v>4.2</v>
      </c>
      <c r="K31" s="66">
        <f>(E31/F31)/G31</f>
        <v>0.1</v>
      </c>
      <c r="L31" s="66">
        <f>(D31/F31)/G31</f>
        <v>0</v>
      </c>
      <c r="M31" s="66" t="s">
        <v>108</v>
      </c>
      <c r="N31" s="66">
        <f>K31*I31</f>
        <v>4.2</v>
      </c>
      <c r="O31" s="66">
        <f>L31*I31</f>
        <v>0</v>
      </c>
      <c r="AA31" s="86" t="s">
        <v>301</v>
      </c>
      <c r="AB31" s="121">
        <v>4</v>
      </c>
      <c r="AC31" s="121">
        <f>AI28</f>
        <v>191</v>
      </c>
      <c r="AE31" s="87" t="s">
        <v>135</v>
      </c>
      <c r="AF31" s="87">
        <v>253</v>
      </c>
      <c r="AH31" s="88" t="s">
        <v>126</v>
      </c>
      <c r="AI31" s="88">
        <v>59</v>
      </c>
    </row>
    <row r="32" spans="1:35" x14ac:dyDescent="0.25">
      <c r="A32" s="95" t="s">
        <v>114</v>
      </c>
      <c r="B32" s="46" t="s">
        <v>106</v>
      </c>
      <c r="C32" s="48" t="s">
        <v>25</v>
      </c>
      <c r="D32" s="49">
        <v>0</v>
      </c>
      <c r="E32" s="50">
        <v>1000.0000000000001</v>
      </c>
      <c r="F32" s="54">
        <v>1</v>
      </c>
      <c r="G32" s="51">
        <v>10000</v>
      </c>
      <c r="H32" s="51" t="s">
        <v>107</v>
      </c>
      <c r="I32" s="52">
        <v>60</v>
      </c>
      <c r="J32" s="52">
        <v>6</v>
      </c>
      <c r="K32" s="66">
        <f>(E32/F32)/G32</f>
        <v>0.1</v>
      </c>
      <c r="L32" s="66">
        <f>(D32/F32)/G32</f>
        <v>0</v>
      </c>
      <c r="M32" s="66" t="s">
        <v>108</v>
      </c>
      <c r="N32" s="66">
        <f>K32*I32</f>
        <v>6</v>
      </c>
      <c r="O32" s="66">
        <f>L32*I32</f>
        <v>0</v>
      </c>
      <c r="AA32" s="86" t="s">
        <v>302</v>
      </c>
      <c r="AB32" s="121">
        <v>4</v>
      </c>
      <c r="AC32" s="121">
        <f>AI28</f>
        <v>191</v>
      </c>
      <c r="AE32" s="87" t="s">
        <v>140</v>
      </c>
      <c r="AF32" s="87">
        <v>187</v>
      </c>
      <c r="AH32" s="88" t="s">
        <v>131</v>
      </c>
      <c r="AI32" s="88">
        <v>79</v>
      </c>
    </row>
    <row r="33" spans="1:35" x14ac:dyDescent="0.25">
      <c r="A33" s="105"/>
      <c r="B33" s="98"/>
      <c r="C33" s="99"/>
      <c r="D33" s="100"/>
      <c r="E33" s="100"/>
      <c r="F33" s="101"/>
      <c r="G33" s="102"/>
      <c r="H33" s="102"/>
      <c r="I33" s="103"/>
      <c r="J33" s="103"/>
      <c r="K33" s="104"/>
      <c r="L33" s="104"/>
      <c r="M33" s="104"/>
      <c r="N33" s="104"/>
      <c r="O33" s="104"/>
      <c r="AA33" s="88" t="s">
        <v>115</v>
      </c>
      <c r="AB33" s="122">
        <v>5</v>
      </c>
      <c r="AC33" s="122">
        <f>AI52</f>
        <v>109</v>
      </c>
      <c r="AE33" s="87" t="s">
        <v>41</v>
      </c>
      <c r="AF33" s="87">
        <v>16</v>
      </c>
      <c r="AH33" s="88" t="s">
        <v>136</v>
      </c>
      <c r="AI33" s="88">
        <v>73</v>
      </c>
    </row>
    <row r="34" spans="1:35" x14ac:dyDescent="0.25">
      <c r="A34" s="95" t="s">
        <v>263</v>
      </c>
      <c r="B34" s="46" t="s">
        <v>256</v>
      </c>
      <c r="C34" s="48" t="s">
        <v>25</v>
      </c>
      <c r="D34" s="49">
        <v>0</v>
      </c>
      <c r="E34" s="50">
        <v>1727.4014670723839</v>
      </c>
      <c r="F34" s="54">
        <v>1</v>
      </c>
      <c r="G34" s="51">
        <v>8000</v>
      </c>
      <c r="H34" s="51" t="s">
        <v>268</v>
      </c>
      <c r="I34" s="52">
        <v>136</v>
      </c>
      <c r="J34" s="52">
        <v>17</v>
      </c>
      <c r="K34" s="66">
        <f>(E34/F34)/G34</f>
        <v>0.21592518338404798</v>
      </c>
      <c r="L34" s="66">
        <f>(D34/F34)/G34</f>
        <v>0</v>
      </c>
      <c r="M34" s="66" t="s">
        <v>72</v>
      </c>
      <c r="N34" s="66">
        <f>K34*I34</f>
        <v>29.365824940230524</v>
      </c>
      <c r="O34" s="66">
        <f>L34*I34</f>
        <v>0</v>
      </c>
      <c r="AA34" s="88" t="s">
        <v>118</v>
      </c>
      <c r="AB34" s="122">
        <v>5</v>
      </c>
      <c r="AC34" s="122">
        <f>AI52</f>
        <v>109</v>
      </c>
      <c r="AE34" s="87" t="s">
        <v>75</v>
      </c>
      <c r="AF34" s="87">
        <v>171</v>
      </c>
      <c r="AH34" s="88" t="s">
        <v>63</v>
      </c>
      <c r="AI34" s="88">
        <v>6</v>
      </c>
    </row>
    <row r="35" spans="1:35" x14ac:dyDescent="0.25">
      <c r="A35" s="105"/>
      <c r="B35" s="98"/>
      <c r="C35" s="99"/>
      <c r="D35" s="100"/>
      <c r="E35" s="100"/>
      <c r="F35" s="101"/>
      <c r="G35" s="102"/>
      <c r="H35" s="102"/>
      <c r="I35" s="103"/>
      <c r="J35" s="103"/>
      <c r="K35" s="104"/>
      <c r="L35" s="104"/>
      <c r="M35" s="104"/>
      <c r="N35" s="104"/>
      <c r="O35" s="104"/>
      <c r="AA35" s="88" t="s">
        <v>123</v>
      </c>
      <c r="AB35" s="122">
        <v>5</v>
      </c>
      <c r="AC35" s="122">
        <f>AI58+AI31</f>
        <v>97</v>
      </c>
      <c r="AE35" s="87" t="s">
        <v>147</v>
      </c>
      <c r="AF35" s="87">
        <v>75</v>
      </c>
      <c r="AH35" s="88" t="s">
        <v>144</v>
      </c>
      <c r="AI35" s="88">
        <v>234</v>
      </c>
    </row>
    <row r="36" spans="1:35" x14ac:dyDescent="0.25">
      <c r="A36" s="95" t="s">
        <v>119</v>
      </c>
      <c r="B36" s="46" t="s">
        <v>120</v>
      </c>
      <c r="C36" s="48" t="s">
        <v>25</v>
      </c>
      <c r="D36" s="49">
        <v>2.7800000000000002</v>
      </c>
      <c r="E36" s="50">
        <v>14.160000000000002</v>
      </c>
      <c r="F36" s="54">
        <v>1</v>
      </c>
      <c r="G36" s="51">
        <v>200</v>
      </c>
      <c r="H36" s="51" t="s">
        <v>121</v>
      </c>
      <c r="I36" s="52">
        <v>4</v>
      </c>
      <c r="J36" s="52">
        <v>20</v>
      </c>
      <c r="K36" s="66">
        <f>(E36/F36)/G36</f>
        <v>7.0800000000000016E-2</v>
      </c>
      <c r="L36" s="66">
        <f>(D36/F36)/G36</f>
        <v>1.3900000000000001E-2</v>
      </c>
      <c r="M36" s="66" t="s">
        <v>122</v>
      </c>
      <c r="N36" s="66">
        <f>K36*I36</f>
        <v>0.28320000000000006</v>
      </c>
      <c r="O36" s="66">
        <f>L36*I36</f>
        <v>5.5600000000000004E-2</v>
      </c>
      <c r="AA36" s="88" t="s">
        <v>303</v>
      </c>
      <c r="AB36" s="122">
        <v>5</v>
      </c>
      <c r="AC36" s="122">
        <f>AI57</f>
        <v>166</v>
      </c>
      <c r="AE36" s="87" t="s">
        <v>56</v>
      </c>
      <c r="AF36" s="87">
        <v>75</v>
      </c>
      <c r="AH36" s="88" t="s">
        <v>56</v>
      </c>
      <c r="AI36" s="88">
        <v>219</v>
      </c>
    </row>
    <row r="37" spans="1:35" x14ac:dyDescent="0.25">
      <c r="A37" s="105"/>
      <c r="B37" s="98"/>
      <c r="C37" s="99"/>
      <c r="D37" s="100"/>
      <c r="E37" s="100"/>
      <c r="F37" s="101"/>
      <c r="G37" s="102"/>
      <c r="H37" s="102"/>
      <c r="I37" s="103"/>
      <c r="J37" s="103"/>
      <c r="K37" s="104"/>
      <c r="L37" s="104"/>
      <c r="M37" s="104"/>
      <c r="N37" s="104"/>
      <c r="O37" s="104"/>
      <c r="AA37" s="88" t="s">
        <v>304</v>
      </c>
      <c r="AB37" s="122">
        <v>5</v>
      </c>
      <c r="AC37" s="122">
        <f>AI57</f>
        <v>166</v>
      </c>
      <c r="AE37" s="87" t="s">
        <v>150</v>
      </c>
      <c r="AF37" s="87">
        <v>119</v>
      </c>
      <c r="AH37" s="88" t="s">
        <v>41</v>
      </c>
      <c r="AI37" s="88">
        <v>15</v>
      </c>
    </row>
    <row r="38" spans="1:35" x14ac:dyDescent="0.25">
      <c r="A38" s="95" t="s">
        <v>127</v>
      </c>
      <c r="B38" s="46" t="s">
        <v>128</v>
      </c>
      <c r="C38" s="48" t="s">
        <v>25</v>
      </c>
      <c r="D38" s="49">
        <v>0</v>
      </c>
      <c r="E38" s="50">
        <v>33.458750000000002</v>
      </c>
      <c r="F38" s="54">
        <v>0.43</v>
      </c>
      <c r="G38" s="51">
        <v>900</v>
      </c>
      <c r="H38" s="51" t="s">
        <v>129</v>
      </c>
      <c r="I38" s="52">
        <v>3</v>
      </c>
      <c r="J38" s="52">
        <f>I38/(G38/1000)</f>
        <v>3.333333333333333</v>
      </c>
      <c r="K38" s="66">
        <f t="shared" ref="K38:K45" si="24">(E38/F38)/G38</f>
        <v>8.6456718346253236E-2</v>
      </c>
      <c r="L38" s="66">
        <f t="shared" ref="L38:L44" si="25">(D38/F38)/G38</f>
        <v>0</v>
      </c>
      <c r="M38" s="66" t="s">
        <v>122</v>
      </c>
      <c r="N38" s="66">
        <f t="shared" ref="N38:N45" si="26">K38*I38</f>
        <v>0.25937015503875971</v>
      </c>
      <c r="O38" s="66">
        <f t="shared" ref="O38:O44" si="27">L38*I38</f>
        <v>0</v>
      </c>
      <c r="AA38" s="90" t="s">
        <v>124</v>
      </c>
      <c r="AB38" s="123">
        <v>6</v>
      </c>
      <c r="AC38" s="123">
        <f>AI61+AI83</f>
        <v>110</v>
      </c>
      <c r="AE38" s="87" t="s">
        <v>151</v>
      </c>
      <c r="AF38" s="87">
        <v>119</v>
      </c>
      <c r="AH38" s="88" t="s">
        <v>149</v>
      </c>
      <c r="AI38" s="88">
        <v>113</v>
      </c>
    </row>
    <row r="39" spans="1:35" x14ac:dyDescent="0.25">
      <c r="A39" s="95" t="s">
        <v>132</v>
      </c>
      <c r="B39" s="46" t="s">
        <v>128</v>
      </c>
      <c r="C39" s="48" t="s">
        <v>25</v>
      </c>
      <c r="D39" s="49">
        <v>0</v>
      </c>
      <c r="E39" s="50">
        <v>246.45124999999999</v>
      </c>
      <c r="F39" s="54">
        <v>0.94</v>
      </c>
      <c r="G39" s="51">
        <v>825</v>
      </c>
      <c r="H39" s="51" t="s">
        <v>133</v>
      </c>
      <c r="I39" s="52">
        <v>3</v>
      </c>
      <c r="J39" s="52">
        <v>3.6363636363636371</v>
      </c>
      <c r="K39" s="66">
        <f t="shared" si="24"/>
        <v>0.31779658284977436</v>
      </c>
      <c r="L39" s="66">
        <f t="shared" si="25"/>
        <v>0</v>
      </c>
      <c r="M39" s="66" t="s">
        <v>122</v>
      </c>
      <c r="N39" s="66">
        <f t="shared" si="26"/>
        <v>0.95338974854932301</v>
      </c>
      <c r="O39" s="66">
        <f t="shared" si="27"/>
        <v>0</v>
      </c>
      <c r="AA39" s="90" t="s">
        <v>130</v>
      </c>
      <c r="AB39" s="123">
        <v>6</v>
      </c>
      <c r="AC39" s="123">
        <f>AI61+AI74+AI83</f>
        <v>365</v>
      </c>
      <c r="AE39" s="87" t="s">
        <v>152</v>
      </c>
      <c r="AF39" s="87">
        <v>140</v>
      </c>
      <c r="AH39" s="88" t="s">
        <v>104</v>
      </c>
      <c r="AI39" s="88">
        <v>113</v>
      </c>
    </row>
    <row r="40" spans="1:35" x14ac:dyDescent="0.25">
      <c r="A40" s="95" t="s">
        <v>137</v>
      </c>
      <c r="B40" s="46" t="s">
        <v>128</v>
      </c>
      <c r="C40" s="48" t="s">
        <v>25</v>
      </c>
      <c r="D40" s="49">
        <v>68.5</v>
      </c>
      <c r="E40" s="50">
        <v>236.86734693877548</v>
      </c>
      <c r="F40" s="54">
        <v>0.71</v>
      </c>
      <c r="G40" s="51">
        <v>1000</v>
      </c>
      <c r="H40" s="51" t="s">
        <v>138</v>
      </c>
      <c r="I40" s="52">
        <v>3</v>
      </c>
      <c r="J40" s="52">
        <f>I40/(G40/1000)</f>
        <v>3</v>
      </c>
      <c r="K40" s="66">
        <f t="shared" si="24"/>
        <v>0.33361598160390915</v>
      </c>
      <c r="L40" s="66">
        <f t="shared" si="25"/>
        <v>9.647887323943663E-2</v>
      </c>
      <c r="M40" s="66" t="s">
        <v>122</v>
      </c>
      <c r="N40" s="66">
        <f t="shared" si="26"/>
        <v>1.0008479448117273</v>
      </c>
      <c r="O40" s="66">
        <f t="shared" si="27"/>
        <v>0.28943661971830992</v>
      </c>
      <c r="AA40" s="90" t="s">
        <v>134</v>
      </c>
      <c r="AB40" s="123">
        <v>6</v>
      </c>
      <c r="AC40" s="123">
        <f>AI74</f>
        <v>255</v>
      </c>
      <c r="AE40" s="87" t="s">
        <v>56</v>
      </c>
      <c r="AF40" s="87">
        <v>129</v>
      </c>
      <c r="AH40" s="88" t="s">
        <v>322</v>
      </c>
      <c r="AI40" s="88">
        <v>190</v>
      </c>
    </row>
    <row r="41" spans="1:35" x14ac:dyDescent="0.25">
      <c r="A41" s="95" t="s">
        <v>141</v>
      </c>
      <c r="B41" s="46" t="s">
        <v>128</v>
      </c>
      <c r="C41" s="48" t="s">
        <v>25</v>
      </c>
      <c r="D41" s="49">
        <v>750.6</v>
      </c>
      <c r="E41" s="50">
        <v>3823.2000000000003</v>
      </c>
      <c r="F41" s="54">
        <v>0.8</v>
      </c>
      <c r="G41" s="51">
        <v>1000</v>
      </c>
      <c r="H41" s="51" t="s">
        <v>142</v>
      </c>
      <c r="I41" s="52">
        <v>3</v>
      </c>
      <c r="J41" s="52">
        <f>I41/(G41/1000)</f>
        <v>3</v>
      </c>
      <c r="K41" s="66">
        <f t="shared" si="24"/>
        <v>4.7789999999999999</v>
      </c>
      <c r="L41" s="66">
        <f t="shared" si="25"/>
        <v>0.93825000000000003</v>
      </c>
      <c r="M41" s="66" t="s">
        <v>27</v>
      </c>
      <c r="N41" s="66">
        <f t="shared" si="26"/>
        <v>14.337</v>
      </c>
      <c r="O41" s="66">
        <f t="shared" si="27"/>
        <v>2.8147500000000001</v>
      </c>
      <c r="AA41" s="90" t="s">
        <v>139</v>
      </c>
      <c r="AB41" s="123">
        <v>6</v>
      </c>
      <c r="AC41" s="123">
        <f>AI79</f>
        <v>79</v>
      </c>
      <c r="AE41" s="87" t="s">
        <v>41</v>
      </c>
      <c r="AF41" s="87">
        <v>11</v>
      </c>
      <c r="AH41" s="88" t="s">
        <v>153</v>
      </c>
      <c r="AI41" s="88">
        <v>178</v>
      </c>
    </row>
    <row r="42" spans="1:35" x14ac:dyDescent="0.25">
      <c r="A42" s="95" t="s">
        <v>145</v>
      </c>
      <c r="B42" s="46" t="s">
        <v>128</v>
      </c>
      <c r="C42" s="48" t="s">
        <v>25</v>
      </c>
      <c r="D42" s="49">
        <v>0</v>
      </c>
      <c r="E42" s="50">
        <v>247.73999999999998</v>
      </c>
      <c r="F42" s="54">
        <v>0.96</v>
      </c>
      <c r="G42" s="51">
        <v>1000</v>
      </c>
      <c r="H42" s="51" t="s">
        <v>142</v>
      </c>
      <c r="I42" s="52">
        <v>4</v>
      </c>
      <c r="J42" s="52">
        <f>I42/(G42/1000)</f>
        <v>4</v>
      </c>
      <c r="K42" s="66">
        <f t="shared" si="24"/>
        <v>0.25806249999999997</v>
      </c>
      <c r="L42" s="66">
        <f t="shared" si="25"/>
        <v>0</v>
      </c>
      <c r="M42" s="66" t="s">
        <v>27</v>
      </c>
      <c r="N42" s="66">
        <f t="shared" si="26"/>
        <v>1.0322499999999999</v>
      </c>
      <c r="O42" s="66">
        <f t="shared" si="27"/>
        <v>0</v>
      </c>
      <c r="AA42" s="90" t="s">
        <v>143</v>
      </c>
      <c r="AB42" s="123">
        <v>6</v>
      </c>
      <c r="AC42" s="123">
        <f>AI81</f>
        <v>130</v>
      </c>
      <c r="AE42" s="87" t="s">
        <v>155</v>
      </c>
      <c r="AF42" s="87">
        <v>183</v>
      </c>
      <c r="AH42" s="88" t="s">
        <v>41</v>
      </c>
      <c r="AI42" s="88">
        <v>12</v>
      </c>
    </row>
    <row r="43" spans="1:35" x14ac:dyDescent="0.25">
      <c r="A43" s="95" t="s">
        <v>146</v>
      </c>
      <c r="B43" s="46" t="s">
        <v>128</v>
      </c>
      <c r="C43" s="48" t="s">
        <v>25</v>
      </c>
      <c r="D43" s="49">
        <v>0</v>
      </c>
      <c r="E43" s="50">
        <v>1090.4925544100802</v>
      </c>
      <c r="F43" s="54">
        <v>0.9</v>
      </c>
      <c r="G43" s="51">
        <v>1000</v>
      </c>
      <c r="H43" s="51" t="s">
        <v>142</v>
      </c>
      <c r="I43" s="52">
        <v>3</v>
      </c>
      <c r="J43" s="52">
        <f>I43/(G43/1000)</f>
        <v>3</v>
      </c>
      <c r="K43" s="66">
        <f t="shared" si="24"/>
        <v>1.211658393788978</v>
      </c>
      <c r="L43" s="66">
        <f t="shared" si="25"/>
        <v>0</v>
      </c>
      <c r="M43" s="66" t="s">
        <v>27</v>
      </c>
      <c r="N43" s="66">
        <f t="shared" si="26"/>
        <v>3.6349751813669338</v>
      </c>
      <c r="O43" s="66">
        <f t="shared" si="27"/>
        <v>0</v>
      </c>
      <c r="AA43" s="90" t="s">
        <v>305</v>
      </c>
      <c r="AB43" s="123">
        <v>6</v>
      </c>
      <c r="AC43" s="123">
        <f>AI84</f>
        <v>198</v>
      </c>
      <c r="AE43" s="87" t="s">
        <v>55</v>
      </c>
      <c r="AF43" s="87">
        <v>183</v>
      </c>
      <c r="AH43" s="88" t="s">
        <v>154</v>
      </c>
      <c r="AI43" s="88">
        <v>138</v>
      </c>
    </row>
    <row r="44" spans="1:35" x14ac:dyDescent="0.25">
      <c r="A44" s="95" t="s">
        <v>148</v>
      </c>
      <c r="B44" s="46" t="s">
        <v>128</v>
      </c>
      <c r="C44" s="48" t="s">
        <v>25</v>
      </c>
      <c r="D44" s="49">
        <v>0</v>
      </c>
      <c r="E44" s="50">
        <v>36613.700000000004</v>
      </c>
      <c r="F44" s="54">
        <v>0.98</v>
      </c>
      <c r="G44" s="51">
        <v>1000</v>
      </c>
      <c r="H44" s="51" t="s">
        <v>142</v>
      </c>
      <c r="I44" s="52">
        <v>3.5</v>
      </c>
      <c r="J44" s="52">
        <f>I44/(G44/1000)</f>
        <v>3.5</v>
      </c>
      <c r="K44" s="66">
        <f t="shared" si="24"/>
        <v>37.360918367346947</v>
      </c>
      <c r="L44" s="66">
        <f t="shared" si="25"/>
        <v>0</v>
      </c>
      <c r="M44" s="66" t="s">
        <v>27</v>
      </c>
      <c r="N44" s="66">
        <f t="shared" si="26"/>
        <v>130.76321428571433</v>
      </c>
      <c r="O44" s="66">
        <f t="shared" si="27"/>
        <v>0</v>
      </c>
      <c r="AA44" s="90" t="s">
        <v>306</v>
      </c>
      <c r="AB44" s="123">
        <v>6</v>
      </c>
      <c r="AC44" s="123">
        <f>AI84</f>
        <v>198</v>
      </c>
      <c r="AE44" s="87" t="s">
        <v>307</v>
      </c>
      <c r="AF44" s="87">
        <v>109</v>
      </c>
      <c r="AH44" s="88" t="s">
        <v>156</v>
      </c>
      <c r="AI44" s="88">
        <v>122</v>
      </c>
    </row>
    <row r="45" spans="1:35" x14ac:dyDescent="0.25">
      <c r="A45" s="95" t="s">
        <v>261</v>
      </c>
      <c r="B45" s="46" t="s">
        <v>128</v>
      </c>
      <c r="C45" s="48" t="s">
        <v>25</v>
      </c>
      <c r="D45" s="49">
        <v>373.2044198895029</v>
      </c>
      <c r="E45" s="50">
        <v>1149.3065734581128</v>
      </c>
      <c r="F45" s="54">
        <v>1</v>
      </c>
      <c r="G45" s="51">
        <v>1000</v>
      </c>
      <c r="H45" s="51" t="s">
        <v>72</v>
      </c>
      <c r="I45" s="52">
        <v>10.5</v>
      </c>
      <c r="J45" s="52">
        <f t="shared" ref="J45" si="28">I45/(G45/1000)</f>
        <v>10.5</v>
      </c>
      <c r="K45" s="66">
        <f t="shared" si="24"/>
        <v>1.1493065734581127</v>
      </c>
      <c r="L45" s="66">
        <f>(D45/F45)/G45</f>
        <v>0.37320441988950293</v>
      </c>
      <c r="M45" s="66" t="s">
        <v>72</v>
      </c>
      <c r="N45" s="66">
        <f t="shared" si="26"/>
        <v>12.067719021310184</v>
      </c>
      <c r="O45" s="66">
        <v>0</v>
      </c>
      <c r="AE45" s="87" t="s">
        <v>41</v>
      </c>
      <c r="AF45" s="87">
        <v>19</v>
      </c>
      <c r="AH45" s="88" t="s">
        <v>41</v>
      </c>
      <c r="AI45" s="88">
        <v>16</v>
      </c>
    </row>
    <row r="46" spans="1:35" x14ac:dyDescent="0.25">
      <c r="A46" s="95" t="s">
        <v>269</v>
      </c>
      <c r="B46" s="46" t="s">
        <v>128</v>
      </c>
      <c r="C46" s="48" t="s">
        <v>25</v>
      </c>
      <c r="D46" s="49">
        <v>0</v>
      </c>
      <c r="E46" s="50">
        <v>168.36734693877548</v>
      </c>
      <c r="F46" s="54">
        <v>0.65</v>
      </c>
      <c r="G46" s="51">
        <v>905</v>
      </c>
      <c r="H46" s="51" t="s">
        <v>270</v>
      </c>
      <c r="I46" s="52">
        <v>3.5</v>
      </c>
      <c r="J46" s="52">
        <v>3.5</v>
      </c>
      <c r="K46" s="66">
        <f>(E46/F46)/G46</f>
        <v>0.28621733436255925</v>
      </c>
      <c r="L46" s="66">
        <f t="shared" ref="L46" si="29">(D46/F46)/G46</f>
        <v>0</v>
      </c>
      <c r="M46" s="66" t="s">
        <v>122</v>
      </c>
      <c r="N46" s="66">
        <f t="shared" ref="N46" si="30">K46*I46</f>
        <v>1.0017606702689574</v>
      </c>
      <c r="O46" s="66">
        <f>L46*I46</f>
        <v>0</v>
      </c>
      <c r="AE46" s="87" t="s">
        <v>308</v>
      </c>
      <c r="AF46" s="87">
        <v>90</v>
      </c>
      <c r="AH46" s="88" t="s">
        <v>157</v>
      </c>
      <c r="AI46" s="88">
        <v>76</v>
      </c>
    </row>
    <row r="47" spans="1:35" x14ac:dyDescent="0.25">
      <c r="A47" s="95" t="s">
        <v>271</v>
      </c>
      <c r="B47" s="46" t="s">
        <v>128</v>
      </c>
      <c r="C47" s="48" t="s">
        <v>25</v>
      </c>
      <c r="D47" s="49">
        <v>1634.2478873239438</v>
      </c>
      <c r="E47" s="50">
        <v>1634.2478873239438</v>
      </c>
      <c r="F47" s="54">
        <v>0.88</v>
      </c>
      <c r="G47" s="51">
        <v>1000</v>
      </c>
      <c r="H47" s="51" t="s">
        <v>72</v>
      </c>
      <c r="I47" s="52">
        <v>3</v>
      </c>
      <c r="J47" s="52">
        <f t="shared" ref="J47:J48" si="31">I47/(G47/1000)</f>
        <v>3</v>
      </c>
      <c r="K47" s="66"/>
      <c r="L47" s="66">
        <f>(D47/F47)/G47</f>
        <v>1.857099871959027</v>
      </c>
      <c r="M47" s="66" t="s">
        <v>142</v>
      </c>
      <c r="N47" s="66"/>
      <c r="O47" s="66">
        <f t="shared" ref="O47:O48" si="32">L47*I47</f>
        <v>5.5712996158770807</v>
      </c>
      <c r="AE47" s="87" t="s">
        <v>309</v>
      </c>
      <c r="AF47" s="87">
        <v>173</v>
      </c>
      <c r="AH47" s="88" t="s">
        <v>56</v>
      </c>
      <c r="AI47" s="88">
        <v>72</v>
      </c>
    </row>
    <row r="48" spans="1:35" x14ac:dyDescent="0.25">
      <c r="A48" s="95" t="s">
        <v>272</v>
      </c>
      <c r="B48" s="46" t="s">
        <v>128</v>
      </c>
      <c r="C48" s="48" t="s">
        <v>25</v>
      </c>
      <c r="D48" s="49">
        <v>1634.2478873239438</v>
      </c>
      <c r="E48" s="50">
        <v>1634.2478873239438</v>
      </c>
      <c r="F48" s="54">
        <v>0.84</v>
      </c>
      <c r="G48" s="51">
        <v>1000</v>
      </c>
      <c r="H48" s="51" t="s">
        <v>142</v>
      </c>
      <c r="I48" s="52">
        <v>2.6</v>
      </c>
      <c r="J48" s="52">
        <f t="shared" si="31"/>
        <v>2.6</v>
      </c>
      <c r="K48" s="66">
        <f>(E48/F48)/G48</f>
        <v>1.9455331991951714</v>
      </c>
      <c r="L48" s="66">
        <f t="shared" ref="L48" si="33">(D48/F48)/G48</f>
        <v>1.9455331991951714</v>
      </c>
      <c r="M48" s="66" t="s">
        <v>142</v>
      </c>
      <c r="N48" s="66">
        <f t="shared" ref="N48" si="34">K48*I48</f>
        <v>5.0583863179074458</v>
      </c>
      <c r="O48" s="66">
        <f t="shared" si="32"/>
        <v>5.0583863179074458</v>
      </c>
      <c r="AE48" s="87" t="s">
        <v>310</v>
      </c>
      <c r="AF48" s="87">
        <v>143</v>
      </c>
      <c r="AH48" s="88" t="s">
        <v>41</v>
      </c>
      <c r="AI48" s="88">
        <v>4</v>
      </c>
    </row>
    <row r="49" spans="1:35" x14ac:dyDescent="0.25">
      <c r="A49" s="95" t="s">
        <v>318</v>
      </c>
      <c r="B49" s="46" t="s">
        <v>128</v>
      </c>
      <c r="C49" s="48" t="s">
        <v>25</v>
      </c>
      <c r="D49" s="49">
        <v>108.94985915492961</v>
      </c>
      <c r="E49" s="50">
        <v>108.94985915492961</v>
      </c>
      <c r="F49" s="54">
        <v>0.38</v>
      </c>
      <c r="G49" s="51">
        <v>1000</v>
      </c>
      <c r="H49" s="51" t="s">
        <v>72</v>
      </c>
      <c r="I49" s="52">
        <v>4.5</v>
      </c>
      <c r="J49" s="52">
        <f t="shared" ref="J49" si="35">I49/(G49/1000)</f>
        <v>4.5</v>
      </c>
      <c r="K49" s="66">
        <f t="shared" ref="K49" si="36">(E49/F49)/G49</f>
        <v>0.28671015567086738</v>
      </c>
      <c r="L49" s="66">
        <f t="shared" ref="L49" si="37">(D49/F49)/G49</f>
        <v>0.28671015567086738</v>
      </c>
      <c r="M49" s="66" t="s">
        <v>27</v>
      </c>
      <c r="N49" s="66">
        <f>K49*I49</f>
        <v>1.2901957005189033</v>
      </c>
      <c r="O49" s="66">
        <f>L49*I49</f>
        <v>1.2901957005189033</v>
      </c>
      <c r="AH49" s="88" t="s">
        <v>160</v>
      </c>
      <c r="AI49" s="88">
        <v>344</v>
      </c>
    </row>
    <row r="50" spans="1:35" x14ac:dyDescent="0.25">
      <c r="AE50" s="89" t="s">
        <v>158</v>
      </c>
      <c r="AF50" s="89">
        <v>52</v>
      </c>
      <c r="AH50" s="88" t="s">
        <v>161</v>
      </c>
      <c r="AI50" s="88">
        <v>58</v>
      </c>
    </row>
    <row r="51" spans="1:35" x14ac:dyDescent="0.25">
      <c r="AE51" s="89" t="s">
        <v>159</v>
      </c>
      <c r="AF51" s="89">
        <v>192</v>
      </c>
      <c r="AH51" s="88" t="s">
        <v>40</v>
      </c>
      <c r="AI51" s="88">
        <v>58</v>
      </c>
    </row>
    <row r="52" spans="1:35" x14ac:dyDescent="0.25">
      <c r="AE52" s="89" t="s">
        <v>41</v>
      </c>
      <c r="AF52" s="89">
        <v>19</v>
      </c>
      <c r="AH52" s="88" t="s">
        <v>164</v>
      </c>
      <c r="AI52" s="88">
        <v>109</v>
      </c>
    </row>
    <row r="53" spans="1:35" x14ac:dyDescent="0.25">
      <c r="AE53" s="89" t="s">
        <v>162</v>
      </c>
      <c r="AF53" s="89">
        <v>173</v>
      </c>
      <c r="AH53" s="88" t="s">
        <v>55</v>
      </c>
      <c r="AI53" s="88">
        <v>109</v>
      </c>
    </row>
    <row r="54" spans="1:35" x14ac:dyDescent="0.25">
      <c r="AE54" s="89" t="s">
        <v>163</v>
      </c>
      <c r="AF54" s="89">
        <v>162</v>
      </c>
      <c r="AH54" s="88" t="s">
        <v>313</v>
      </c>
      <c r="AI54" s="88">
        <v>99</v>
      </c>
    </row>
    <row r="55" spans="1:35" x14ac:dyDescent="0.25">
      <c r="AE55" s="89" t="s">
        <v>55</v>
      </c>
      <c r="AF55" s="89">
        <v>162</v>
      </c>
      <c r="AH55" s="88" t="s">
        <v>41</v>
      </c>
      <c r="AI55" s="88">
        <v>18</v>
      </c>
    </row>
    <row r="56" spans="1:35" x14ac:dyDescent="0.25">
      <c r="AE56" s="89" t="s">
        <v>79</v>
      </c>
      <c r="AF56" s="89">
        <v>114</v>
      </c>
      <c r="AH56" s="88" t="s">
        <v>180</v>
      </c>
      <c r="AI56" s="88">
        <v>81</v>
      </c>
    </row>
    <row r="57" spans="1:35" x14ac:dyDescent="0.25">
      <c r="AE57" s="89" t="s">
        <v>41</v>
      </c>
      <c r="AF57" s="89">
        <v>10</v>
      </c>
      <c r="AH57" s="88" t="s">
        <v>314</v>
      </c>
      <c r="AI57" s="88">
        <v>166</v>
      </c>
    </row>
    <row r="58" spans="1:35" x14ac:dyDescent="0.25">
      <c r="AE58" s="89" t="s">
        <v>82</v>
      </c>
      <c r="AF58" s="89">
        <v>104</v>
      </c>
      <c r="AH58" s="88" t="s">
        <v>166</v>
      </c>
      <c r="AI58" s="88">
        <v>38</v>
      </c>
    </row>
    <row r="59" spans="1:35" x14ac:dyDescent="0.25">
      <c r="AE59" s="89" t="s">
        <v>167</v>
      </c>
      <c r="AF59" s="89">
        <v>195</v>
      </c>
    </row>
    <row r="60" spans="1:35" x14ac:dyDescent="0.25">
      <c r="AE60" s="89" t="s">
        <v>41</v>
      </c>
      <c r="AF60" s="89">
        <v>21</v>
      </c>
      <c r="AH60" s="90" t="s">
        <v>22</v>
      </c>
      <c r="AI60" s="90">
        <v>99</v>
      </c>
    </row>
    <row r="61" spans="1:35" x14ac:dyDescent="0.25">
      <c r="AE61" s="89" t="s">
        <v>75</v>
      </c>
      <c r="AF61" s="89">
        <v>174</v>
      </c>
      <c r="AH61" s="90" t="s">
        <v>168</v>
      </c>
      <c r="AI61" s="90">
        <v>52</v>
      </c>
    </row>
    <row r="62" spans="1:35" x14ac:dyDescent="0.25">
      <c r="AE62" s="89" t="s">
        <v>327</v>
      </c>
      <c r="AF62" s="89">
        <v>169</v>
      </c>
      <c r="AH62" s="90" t="s">
        <v>169</v>
      </c>
      <c r="AI62" s="90">
        <v>169</v>
      </c>
    </row>
    <row r="63" spans="1:35" x14ac:dyDescent="0.25">
      <c r="AE63" s="89" t="s">
        <v>41</v>
      </c>
      <c r="AF63" s="89">
        <v>21</v>
      </c>
      <c r="AH63" s="90" t="s">
        <v>41</v>
      </c>
      <c r="AI63" s="90">
        <v>24</v>
      </c>
    </row>
    <row r="64" spans="1:35" x14ac:dyDescent="0.25">
      <c r="AE64" s="89" t="s">
        <v>172</v>
      </c>
      <c r="AF64" s="89">
        <v>148</v>
      </c>
      <c r="AH64" s="90" t="s">
        <v>170</v>
      </c>
      <c r="AI64" s="90">
        <v>145</v>
      </c>
    </row>
    <row r="65" spans="31:35" x14ac:dyDescent="0.25">
      <c r="AE65" s="89" t="s">
        <v>173</v>
      </c>
      <c r="AF65" s="89">
        <v>141</v>
      </c>
      <c r="AH65" s="90" t="s">
        <v>171</v>
      </c>
      <c r="AI65" s="90">
        <v>254</v>
      </c>
    </row>
    <row r="66" spans="31:35" x14ac:dyDescent="0.25">
      <c r="AE66" s="89" t="s">
        <v>56</v>
      </c>
      <c r="AF66" s="89">
        <v>141</v>
      </c>
      <c r="AH66" s="90" t="s">
        <v>56</v>
      </c>
      <c r="AI66" s="90">
        <v>238</v>
      </c>
    </row>
    <row r="67" spans="31:35" x14ac:dyDescent="0.25">
      <c r="AE67" s="89" t="s">
        <v>175</v>
      </c>
      <c r="AF67" s="89">
        <v>220</v>
      </c>
      <c r="AH67" s="90" t="s">
        <v>41</v>
      </c>
      <c r="AI67" s="90">
        <v>16</v>
      </c>
    </row>
    <row r="68" spans="31:35" x14ac:dyDescent="0.25">
      <c r="AE68" s="89" t="s">
        <v>176</v>
      </c>
      <c r="AF68" s="89">
        <v>220</v>
      </c>
      <c r="AH68" s="90" t="s">
        <v>174</v>
      </c>
      <c r="AI68" s="90">
        <v>136</v>
      </c>
    </row>
    <row r="69" spans="31:35" x14ac:dyDescent="0.25">
      <c r="AE69" s="89" t="s">
        <v>178</v>
      </c>
      <c r="AF69" s="89">
        <v>101</v>
      </c>
      <c r="AH69" s="90" t="s">
        <v>41</v>
      </c>
      <c r="AI69" s="90">
        <v>15</v>
      </c>
    </row>
    <row r="70" spans="31:35" x14ac:dyDescent="0.25">
      <c r="AE70" s="89" t="s">
        <v>55</v>
      </c>
      <c r="AF70" s="89">
        <v>101</v>
      </c>
      <c r="AH70" s="90" t="s">
        <v>177</v>
      </c>
      <c r="AI70" s="90">
        <v>121</v>
      </c>
    </row>
    <row r="71" spans="31:35" x14ac:dyDescent="0.25">
      <c r="AE71" s="89" t="s">
        <v>101</v>
      </c>
      <c r="AF71" s="89">
        <v>109</v>
      </c>
      <c r="AH71" s="90" t="s">
        <v>179</v>
      </c>
      <c r="AI71" s="90">
        <v>104</v>
      </c>
    </row>
    <row r="72" spans="31:35" x14ac:dyDescent="0.25">
      <c r="AE72" s="89" t="s">
        <v>55</v>
      </c>
      <c r="AF72" s="89">
        <v>109</v>
      </c>
      <c r="AH72" s="90" t="s">
        <v>41</v>
      </c>
      <c r="AI72" s="90">
        <v>15</v>
      </c>
    </row>
    <row r="73" spans="31:35" x14ac:dyDescent="0.25">
      <c r="AE73" s="89" t="s">
        <v>182</v>
      </c>
      <c r="AF73" s="89">
        <v>66</v>
      </c>
      <c r="AH73" s="90" t="s">
        <v>180</v>
      </c>
      <c r="AI73" s="90">
        <v>89</v>
      </c>
    </row>
    <row r="74" spans="31:35" x14ac:dyDescent="0.25">
      <c r="AE74" s="89" t="s">
        <v>315</v>
      </c>
      <c r="AF74" s="89">
        <v>213</v>
      </c>
      <c r="AH74" s="90" t="s">
        <v>181</v>
      </c>
      <c r="AI74" s="90">
        <v>255</v>
      </c>
    </row>
    <row r="75" spans="31:35" x14ac:dyDescent="0.25">
      <c r="AH75" s="90" t="s">
        <v>41</v>
      </c>
      <c r="AI75" s="90">
        <v>18</v>
      </c>
    </row>
    <row r="76" spans="31:35" x14ac:dyDescent="0.25">
      <c r="AH76" s="90" t="s">
        <v>74</v>
      </c>
      <c r="AI76" s="90">
        <v>237</v>
      </c>
    </row>
    <row r="77" spans="31:35" x14ac:dyDescent="0.25">
      <c r="AH77" s="90" t="s">
        <v>183</v>
      </c>
      <c r="AI77" s="90">
        <v>136</v>
      </c>
    </row>
    <row r="78" spans="31:35" x14ac:dyDescent="0.25">
      <c r="AH78" s="90" t="s">
        <v>56</v>
      </c>
      <c r="AI78" s="90">
        <v>136</v>
      </c>
    </row>
    <row r="79" spans="31:35" x14ac:dyDescent="0.25">
      <c r="AH79" s="90" t="s">
        <v>178</v>
      </c>
      <c r="AI79" s="90">
        <v>79</v>
      </c>
    </row>
    <row r="80" spans="31:35" x14ac:dyDescent="0.25">
      <c r="AH80" s="90" t="s">
        <v>55</v>
      </c>
      <c r="AI80" s="90">
        <v>79</v>
      </c>
    </row>
    <row r="81" spans="34:35" x14ac:dyDescent="0.25">
      <c r="AH81" s="90" t="s">
        <v>184</v>
      </c>
      <c r="AI81" s="90">
        <v>130</v>
      </c>
    </row>
    <row r="82" spans="34:35" x14ac:dyDescent="0.25">
      <c r="AH82" s="90" t="s">
        <v>55</v>
      </c>
      <c r="AI82" s="90">
        <v>130</v>
      </c>
    </row>
    <row r="83" spans="34:35" x14ac:dyDescent="0.25">
      <c r="AH83" s="90" t="s">
        <v>185</v>
      </c>
      <c r="AI83" s="90">
        <v>58</v>
      </c>
    </row>
    <row r="84" spans="34:35" x14ac:dyDescent="0.25">
      <c r="AH84" s="90" t="s">
        <v>312</v>
      </c>
      <c r="AI84" s="90">
        <v>198</v>
      </c>
    </row>
  </sheetData>
  <autoFilter ref="A1:O49" xr:uid="{00000000-0009-0000-0000-000000000000}"/>
  <pageMargins left="0.75" right="0.75" top="1" bottom="1" header="0.5" footer="0.5"/>
  <ignoredErrors>
    <ignoredError sqref="AC8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00B050"/>
    <pageSetUpPr fitToPage="1"/>
  </sheetPr>
  <dimension ref="A1:Y27"/>
  <sheetViews>
    <sheetView topLeftCell="B1"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3.140625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1.85546875" customWidth="1"/>
    <col min="17" max="17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217</v>
      </c>
      <c r="F1" s="17" t="s">
        <v>188</v>
      </c>
      <c r="G1" s="10">
        <f>D1/B1</f>
        <v>217</v>
      </c>
      <c r="H1" s="17" t="s">
        <v>189</v>
      </c>
      <c r="I1" s="21">
        <v>20</v>
      </c>
      <c r="J1" s="1"/>
      <c r="K1" s="23" t="s">
        <v>190</v>
      </c>
      <c r="U1" s="91" t="s">
        <v>20</v>
      </c>
      <c r="V1" s="92">
        <v>215</v>
      </c>
    </row>
    <row r="2" spans="1:25" ht="14.25" customHeight="1" x14ac:dyDescent="0.25">
      <c r="A2" s="40"/>
      <c r="B2" s="138" t="s">
        <v>191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38" t="s">
        <v>192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34</v>
      </c>
      <c r="C5" s="16" t="s">
        <v>36</v>
      </c>
      <c r="D5" s="15">
        <v>1.215066828675577</v>
      </c>
      <c r="E5" s="12">
        <f t="shared" ref="E5:E10" si="0">$G$1</f>
        <v>217</v>
      </c>
      <c r="F5" s="13">
        <v>1</v>
      </c>
      <c r="G5" s="12">
        <f t="shared" ref="G5:G10" si="1">E5*D5</f>
        <v>263.66950182260024</v>
      </c>
      <c r="H5" s="56">
        <f t="shared" ref="H5:H10" si="2">G5*F5</f>
        <v>263.66950182260024</v>
      </c>
      <c r="I5" s="60">
        <f>VLOOKUP(B5,Ordering!$A$1:$J$45,6,FALSE)</f>
        <v>1</v>
      </c>
      <c r="J5" s="58">
        <f>VLOOKUP(B5,Ordering!$A$1:$J$45,10,FALSE)</f>
        <v>5</v>
      </c>
      <c r="K5" s="15">
        <f t="shared" ref="K5:K10" si="3">((H5/(I5))/1000)</f>
        <v>0.26366950182260024</v>
      </c>
      <c r="L5" s="70">
        <f t="shared" ref="L5:L10" si="4">J5*K5</f>
        <v>1.3183475091130012</v>
      </c>
    </row>
    <row r="6" spans="1:25" ht="14.85" customHeight="1" x14ac:dyDescent="0.25">
      <c r="A6" s="11"/>
      <c r="B6" s="11" t="s">
        <v>80</v>
      </c>
      <c r="C6" s="16" t="s">
        <v>204</v>
      </c>
      <c r="D6" s="15">
        <v>2.430133657351154E-2</v>
      </c>
      <c r="E6" s="12">
        <f t="shared" si="0"/>
        <v>217</v>
      </c>
      <c r="F6" s="13">
        <v>1</v>
      </c>
      <c r="G6" s="12">
        <f t="shared" si="1"/>
        <v>5.2733900364520041</v>
      </c>
      <c r="H6" s="56">
        <f t="shared" si="2"/>
        <v>5.2733900364520041</v>
      </c>
      <c r="I6" s="60">
        <f>VLOOKUP(B6,Ordering!$A$1:$J$45,6,FALSE)</f>
        <v>1</v>
      </c>
      <c r="J6" s="58">
        <f>VLOOKUP(B6,Ordering!$A$1:$J$45,10,FALSE)</f>
        <v>8</v>
      </c>
      <c r="K6" s="15">
        <f t="shared" si="3"/>
        <v>5.2733900364520039E-3</v>
      </c>
      <c r="L6" s="70">
        <f t="shared" si="4"/>
        <v>4.2187120291616031E-2</v>
      </c>
    </row>
    <row r="7" spans="1:25" ht="14.85" customHeight="1" x14ac:dyDescent="0.25">
      <c r="A7" s="11"/>
      <c r="B7" s="11" t="s">
        <v>88</v>
      </c>
      <c r="C7" s="16" t="s">
        <v>204</v>
      </c>
      <c r="D7" s="15">
        <v>8.910490076954232E-2</v>
      </c>
      <c r="E7" s="12">
        <f t="shared" si="0"/>
        <v>217</v>
      </c>
      <c r="F7" s="13">
        <v>1</v>
      </c>
      <c r="G7" s="12">
        <f t="shared" si="1"/>
        <v>19.335763466990684</v>
      </c>
      <c r="H7" s="56">
        <f t="shared" si="2"/>
        <v>19.335763466990684</v>
      </c>
      <c r="I7" s="60">
        <f>VLOOKUP(B7,Ordering!$A$1:$J$45,6,FALSE)</f>
        <v>1</v>
      </c>
      <c r="J7" s="58">
        <f>VLOOKUP(B7,Ordering!$A$1:$J$45,10,FALSE)</f>
        <v>0.74</v>
      </c>
      <c r="K7" s="15">
        <f t="shared" si="3"/>
        <v>1.9335763466990685E-2</v>
      </c>
      <c r="L7" s="70">
        <f t="shared" si="4"/>
        <v>1.4308464965573106E-2</v>
      </c>
      <c r="P7" s="35"/>
      <c r="V7" s="68"/>
    </row>
    <row r="8" spans="1:25" ht="14.85" customHeight="1" x14ac:dyDescent="0.25">
      <c r="A8" s="11"/>
      <c r="B8" s="11" t="s">
        <v>66</v>
      </c>
      <c r="C8" s="16" t="s">
        <v>36</v>
      </c>
      <c r="D8" s="15">
        <v>10.54678007290401</v>
      </c>
      <c r="E8" s="12">
        <f t="shared" si="0"/>
        <v>217</v>
      </c>
      <c r="F8" s="13">
        <v>1</v>
      </c>
      <c r="G8" s="12">
        <f t="shared" si="1"/>
        <v>2288.6512758201702</v>
      </c>
      <c r="H8" s="56">
        <f t="shared" si="2"/>
        <v>2288.6512758201702</v>
      </c>
      <c r="I8" s="60">
        <f>VLOOKUP(B8,Ordering!$A$1:$J$45,6,FALSE)</f>
        <v>1</v>
      </c>
      <c r="J8" s="58">
        <f>VLOOKUP(B8,Ordering!$A$1:$J$45,10,FALSE)</f>
        <v>0</v>
      </c>
      <c r="K8" s="15">
        <f t="shared" si="3"/>
        <v>2.28865127582017</v>
      </c>
      <c r="L8" s="70">
        <f t="shared" si="4"/>
        <v>0</v>
      </c>
      <c r="V8" s="63" t="s">
        <v>205</v>
      </c>
      <c r="W8" s="64">
        <v>1</v>
      </c>
      <c r="X8" s="63" t="s">
        <v>203</v>
      </c>
      <c r="Y8" s="65">
        <f>(SUM(L5:L10)/Q20)*W8</f>
        <v>8.8093479141352765E-2</v>
      </c>
    </row>
    <row r="9" spans="1:25" ht="14.85" customHeight="1" x14ac:dyDescent="0.25">
      <c r="A9" s="11"/>
      <c r="B9" s="11" t="s">
        <v>76</v>
      </c>
      <c r="C9" s="16" t="s">
        <v>204</v>
      </c>
      <c r="D9" s="15">
        <v>2.430133657351154E-2</v>
      </c>
      <c r="E9" s="12">
        <f t="shared" si="0"/>
        <v>217</v>
      </c>
      <c r="F9" s="13">
        <v>1</v>
      </c>
      <c r="G9" s="12">
        <f t="shared" si="1"/>
        <v>5.2733900364520041</v>
      </c>
      <c r="H9" s="56">
        <f t="shared" si="2"/>
        <v>5.2733900364520041</v>
      </c>
      <c r="I9" s="60">
        <f>VLOOKUP(B9,Ordering!$A$1:$J$45,6,FALSE)</f>
        <v>1</v>
      </c>
      <c r="J9" s="58">
        <f>VLOOKUP(B9,Ordering!$A$1:$J$45,10,FALSE)</f>
        <v>31</v>
      </c>
      <c r="K9" s="15">
        <f t="shared" si="3"/>
        <v>5.2733900364520039E-3</v>
      </c>
      <c r="L9" s="70">
        <f t="shared" si="4"/>
        <v>0.16347509113001213</v>
      </c>
    </row>
    <row r="10" spans="1:25" ht="14.85" customHeight="1" x14ac:dyDescent="0.25">
      <c r="A10" s="11"/>
      <c r="B10" s="11" t="s">
        <v>51</v>
      </c>
      <c r="C10" s="16" t="s">
        <v>204</v>
      </c>
      <c r="D10" s="15">
        <v>8.1004455245038471</v>
      </c>
      <c r="E10" s="12">
        <f t="shared" si="0"/>
        <v>217</v>
      </c>
      <c r="F10" s="13">
        <v>1</v>
      </c>
      <c r="G10" s="12">
        <f t="shared" si="1"/>
        <v>1757.7966788173349</v>
      </c>
      <c r="H10" s="56">
        <f t="shared" si="2"/>
        <v>1757.7966788173349</v>
      </c>
      <c r="I10" s="60">
        <f>VLOOKUP(B10,Ordering!$A$1:$J$45,6,FALSE)</f>
        <v>1</v>
      </c>
      <c r="J10" s="58">
        <f>VLOOKUP(B10,Ordering!$A$1:$J$45,10,FALSE)</f>
        <v>10</v>
      </c>
      <c r="K10" s="15">
        <f t="shared" si="3"/>
        <v>1.7577966788173349</v>
      </c>
      <c r="L10" s="70">
        <f t="shared" si="4"/>
        <v>17.577966788173349</v>
      </c>
    </row>
    <row r="11" spans="1:25" x14ac:dyDescent="0.25">
      <c r="B11" s="57" t="s">
        <v>189</v>
      </c>
      <c r="C11" s="132" t="s">
        <v>204</v>
      </c>
      <c r="D11" s="127">
        <f>$I$1</f>
        <v>20</v>
      </c>
      <c r="E11" s="133"/>
      <c r="F11" s="133"/>
      <c r="G11" s="134" t="s">
        <v>323</v>
      </c>
      <c r="H11" s="135">
        <f>SUM(H5:H10)</f>
        <v>4340</v>
      </c>
    </row>
    <row r="12" spans="1:25" ht="14.85" customHeight="1" x14ac:dyDescent="0.25">
      <c r="M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215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217</v>
      </c>
    </row>
    <row r="21" spans="11:17" x14ac:dyDescent="0.25">
      <c r="P21" s="61" t="s">
        <v>203</v>
      </c>
      <c r="Q21" s="67">
        <f>SUM(L5:L10)</f>
        <v>19.116284973673551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1">
    <tabColor rgb="FF00B050"/>
    <pageSetUpPr fitToPage="1"/>
  </sheetPr>
  <dimension ref="A1:Y27"/>
  <sheetViews>
    <sheetView zoomScale="70" zoomScaleNormal="70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217</v>
      </c>
      <c r="F1" s="17" t="s">
        <v>188</v>
      </c>
      <c r="G1" s="10">
        <f>D1/B1</f>
        <v>217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215</v>
      </c>
    </row>
    <row r="2" spans="1:25" ht="14.25" customHeight="1" x14ac:dyDescent="0.25">
      <c r="A2" s="39"/>
      <c r="B2" s="142" t="s">
        <v>211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38" t="s">
        <v>192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148</v>
      </c>
      <c r="C5" s="16" t="s">
        <v>204</v>
      </c>
      <c r="D5" s="15">
        <v>19.3</v>
      </c>
      <c r="E5" s="12">
        <f t="shared" ref="E5:E10" si="0">$G$1</f>
        <v>217</v>
      </c>
      <c r="F5" s="13">
        <v>1</v>
      </c>
      <c r="G5" s="12">
        <f t="shared" ref="G5:G10" si="1">E5*D5</f>
        <v>4188.1000000000004</v>
      </c>
      <c r="H5" s="56">
        <f t="shared" ref="H5:H10" si="2">G5*F5</f>
        <v>4188.1000000000004</v>
      </c>
      <c r="I5" s="11">
        <f>VLOOKUP(B5,Ordering!$A$1:$J$45,6,FALSE)</f>
        <v>0.98</v>
      </c>
      <c r="J5" s="58">
        <f>VLOOKUP(B5,Ordering!$A$1:$J$45,10,FALSE)</f>
        <v>3.5</v>
      </c>
      <c r="K5" s="15">
        <f t="shared" ref="K5:K10" si="3">((H5/(I5))/1000)</f>
        <v>4.2735714285714295</v>
      </c>
      <c r="L5" s="70">
        <f t="shared" ref="L5:L10" si="4">J5*K5</f>
        <v>14.957500000000003</v>
      </c>
    </row>
    <row r="6" spans="1:25" ht="14.85" customHeight="1" x14ac:dyDescent="0.25">
      <c r="A6" s="11"/>
      <c r="B6" s="11" t="s">
        <v>145</v>
      </c>
      <c r="C6" s="16" t="s">
        <v>204</v>
      </c>
      <c r="D6" s="15">
        <v>0.11</v>
      </c>
      <c r="E6" s="12">
        <f t="shared" si="0"/>
        <v>217</v>
      </c>
      <c r="F6" s="13">
        <v>1</v>
      </c>
      <c r="G6" s="12">
        <f t="shared" si="1"/>
        <v>23.87</v>
      </c>
      <c r="H6" s="56">
        <f t="shared" si="2"/>
        <v>23.87</v>
      </c>
      <c r="I6" s="11">
        <f>VLOOKUP(B6,Ordering!$A$1:$J$45,6,FALSE)</f>
        <v>0.96</v>
      </c>
      <c r="J6" s="58">
        <f>VLOOKUP(B6,Ordering!$A$1:$J$45,10,FALSE)</f>
        <v>4</v>
      </c>
      <c r="K6" s="15">
        <f t="shared" si="3"/>
        <v>2.4864583333333336E-2</v>
      </c>
      <c r="L6" s="70">
        <f t="shared" si="4"/>
        <v>9.9458333333333343E-2</v>
      </c>
    </row>
    <row r="7" spans="1:25" ht="14.85" customHeight="1" x14ac:dyDescent="0.25">
      <c r="A7" s="11"/>
      <c r="B7" s="11" t="s">
        <v>132</v>
      </c>
      <c r="C7" s="16" t="s">
        <v>204</v>
      </c>
      <c r="D7" s="15">
        <v>0.12</v>
      </c>
      <c r="E7" s="12">
        <f t="shared" si="0"/>
        <v>217</v>
      </c>
      <c r="F7" s="13">
        <v>1</v>
      </c>
      <c r="G7" s="12">
        <f t="shared" si="1"/>
        <v>26.04</v>
      </c>
      <c r="H7" s="56">
        <f t="shared" si="2"/>
        <v>26.04</v>
      </c>
      <c r="I7" s="11">
        <f>VLOOKUP(B7,Ordering!$A$1:$J$45,6,FALSE)</f>
        <v>0.94</v>
      </c>
      <c r="J7" s="58">
        <f>VLOOKUP(B7,Ordering!$A$1:$J$45,10,FALSE)</f>
        <v>3.6363636363636371</v>
      </c>
      <c r="K7" s="15">
        <f t="shared" si="3"/>
        <v>2.7702127659574468E-2</v>
      </c>
      <c r="L7" s="70">
        <f t="shared" si="4"/>
        <v>0.1007350096711799</v>
      </c>
      <c r="R7" s="35"/>
    </row>
    <row r="8" spans="1:25" ht="14.85" customHeight="1" x14ac:dyDescent="0.25">
      <c r="A8" s="11"/>
      <c r="B8" s="11" t="s">
        <v>97</v>
      </c>
      <c r="C8" s="16" t="s">
        <v>204</v>
      </c>
      <c r="D8" s="71">
        <v>6.9999999999999999E-4</v>
      </c>
      <c r="E8" s="12">
        <f t="shared" si="0"/>
        <v>217</v>
      </c>
      <c r="F8" s="13">
        <v>1</v>
      </c>
      <c r="G8" s="128">
        <f t="shared" si="1"/>
        <v>0.15190000000000001</v>
      </c>
      <c r="H8" s="129">
        <f t="shared" si="2"/>
        <v>0.15190000000000001</v>
      </c>
      <c r="I8" s="11">
        <f>VLOOKUP(B8,Ordering!$A$1:$J$45,6,FALSE)</f>
        <v>1</v>
      </c>
      <c r="J8" s="58">
        <f>VLOOKUP(B8,Ordering!$A$1:$J$45,10,FALSE)</f>
        <v>35</v>
      </c>
      <c r="K8" s="71">
        <f t="shared" si="3"/>
        <v>1.5190000000000001E-4</v>
      </c>
      <c r="L8" s="70">
        <f t="shared" si="4"/>
        <v>5.3165E-3</v>
      </c>
      <c r="V8" s="63" t="s">
        <v>205</v>
      </c>
      <c r="W8" s="64">
        <v>1</v>
      </c>
      <c r="X8" s="63" t="s">
        <v>203</v>
      </c>
      <c r="Y8" s="65">
        <f>(SUM(L5:L10)/Q20)*W8</f>
        <v>6.9924461396334167E-2</v>
      </c>
    </row>
    <row r="9" spans="1:25" ht="14.85" customHeight="1" x14ac:dyDescent="0.25">
      <c r="A9" s="11"/>
      <c r="B9" s="11" t="s">
        <v>88</v>
      </c>
      <c r="C9" s="16" t="s">
        <v>204</v>
      </c>
      <c r="D9" s="15">
        <v>6.6000000000000003E-2</v>
      </c>
      <c r="E9" s="12">
        <f t="shared" si="0"/>
        <v>217</v>
      </c>
      <c r="F9" s="13">
        <v>1</v>
      </c>
      <c r="G9" s="12">
        <f t="shared" si="1"/>
        <v>14.322000000000001</v>
      </c>
      <c r="H9" s="56">
        <f t="shared" si="2"/>
        <v>14.322000000000001</v>
      </c>
      <c r="I9" s="11">
        <f>VLOOKUP(B9,Ordering!$A$1:$J$45,6,FALSE)</f>
        <v>1</v>
      </c>
      <c r="J9" s="58">
        <f>VLOOKUP(B9,Ordering!$A$1:$J$45,10,FALSE)</f>
        <v>0.74</v>
      </c>
      <c r="K9" s="15">
        <f t="shared" si="3"/>
        <v>1.4322000000000001E-2</v>
      </c>
      <c r="L9" s="70">
        <f t="shared" si="4"/>
        <v>1.0598280000000002E-2</v>
      </c>
    </row>
    <row r="10" spans="1:25" ht="14.85" customHeight="1" x14ac:dyDescent="0.25">
      <c r="A10" s="11"/>
      <c r="B10" s="11" t="s">
        <v>66</v>
      </c>
      <c r="C10" s="16" t="s">
        <v>36</v>
      </c>
      <c r="D10" s="15">
        <v>0.40899999999999997</v>
      </c>
      <c r="E10" s="12">
        <f t="shared" si="0"/>
        <v>217</v>
      </c>
      <c r="F10" s="13">
        <v>1</v>
      </c>
      <c r="G10" s="12">
        <f t="shared" si="1"/>
        <v>88.753</v>
      </c>
      <c r="H10" s="56">
        <f t="shared" si="2"/>
        <v>88.753</v>
      </c>
      <c r="I10" s="11">
        <f>VLOOKUP(B10,Ordering!$A$1:$J$45,6,FALSE)</f>
        <v>1</v>
      </c>
      <c r="J10" s="58">
        <f>VLOOKUP(B10,Ordering!$A$1:$J$45,10,FALSE)</f>
        <v>0</v>
      </c>
      <c r="K10" s="15">
        <f t="shared" si="3"/>
        <v>8.8752999999999999E-2</v>
      </c>
      <c r="L10" s="73">
        <f t="shared" si="4"/>
        <v>0</v>
      </c>
    </row>
    <row r="11" spans="1:25" x14ac:dyDescent="0.25">
      <c r="B11" s="57" t="s">
        <v>189</v>
      </c>
      <c r="C11" s="132" t="s">
        <v>204</v>
      </c>
      <c r="D11" s="127">
        <f>$I$1</f>
        <v>20</v>
      </c>
      <c r="E11" s="133"/>
      <c r="F11" s="133"/>
      <c r="G11" s="134" t="s">
        <v>323</v>
      </c>
      <c r="H11" s="135">
        <f>SUM(H5:H10)</f>
        <v>4341.2368999999999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215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217</v>
      </c>
    </row>
    <row r="21" spans="11:17" x14ac:dyDescent="0.25">
      <c r="P21" s="61" t="s">
        <v>203</v>
      </c>
      <c r="Q21" s="62">
        <f>SUM(L5:L10)</f>
        <v>15.173608123004515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  <pageSetUpPr fitToPage="1"/>
  </sheetPr>
  <dimension ref="A1:Y27"/>
  <sheetViews>
    <sheetView zoomScale="70" zoomScaleNormal="70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141</v>
      </c>
      <c r="F1" s="17" t="s">
        <v>188</v>
      </c>
      <c r="G1" s="10">
        <f>D1/B1</f>
        <v>141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139</v>
      </c>
    </row>
    <row r="2" spans="1:25" ht="14.25" customHeight="1" x14ac:dyDescent="0.25">
      <c r="A2" s="37"/>
      <c r="B2" s="138" t="s">
        <v>212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38"/>
      <c r="B3" s="144" t="s">
        <v>213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23</v>
      </c>
      <c r="C5" s="16" t="s">
        <v>204</v>
      </c>
      <c r="D5" s="15">
        <v>20</v>
      </c>
      <c r="E5" s="12">
        <f t="shared" ref="E5:E10" si="0">$G$1</f>
        <v>141</v>
      </c>
      <c r="F5" s="13">
        <v>1</v>
      </c>
      <c r="G5" s="12">
        <f t="shared" ref="G5:G10" si="1">E5*D5</f>
        <v>2820</v>
      </c>
      <c r="H5" s="56">
        <f t="shared" ref="H5:H10" si="2">G5*F5</f>
        <v>2820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((H5/(I5))/1000)</f>
        <v>2.82</v>
      </c>
      <c r="L5" s="59">
        <f t="shared" ref="L5:L10" si="4">J5*K5</f>
        <v>18.882719999999999</v>
      </c>
    </row>
    <row r="6" spans="1:25" ht="14.85" customHeight="1" x14ac:dyDescent="0.25">
      <c r="A6" s="11"/>
      <c r="B6" s="11" t="s">
        <v>141</v>
      </c>
      <c r="C6" s="16" t="s">
        <v>204</v>
      </c>
      <c r="D6" s="15">
        <v>5.4</v>
      </c>
      <c r="E6" s="12">
        <f t="shared" si="0"/>
        <v>141</v>
      </c>
      <c r="F6" s="13">
        <v>1</v>
      </c>
      <c r="G6" s="12">
        <f t="shared" si="1"/>
        <v>761.40000000000009</v>
      </c>
      <c r="H6" s="56">
        <f t="shared" si="2"/>
        <v>761.40000000000009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0.9517500000000001</v>
      </c>
      <c r="L6" s="59">
        <f t="shared" si="4"/>
        <v>2.8552500000000003</v>
      </c>
    </row>
    <row r="7" spans="1:25" ht="14.85" customHeight="1" x14ac:dyDescent="0.25">
      <c r="A7" s="11"/>
      <c r="B7" s="11" t="s">
        <v>80</v>
      </c>
      <c r="C7" s="16" t="s">
        <v>204</v>
      </c>
      <c r="D7" s="15">
        <v>0.05</v>
      </c>
      <c r="E7" s="12">
        <f t="shared" si="0"/>
        <v>141</v>
      </c>
      <c r="F7" s="13">
        <v>1</v>
      </c>
      <c r="G7" s="12">
        <f t="shared" si="1"/>
        <v>7.0500000000000007</v>
      </c>
      <c r="H7" s="56">
        <f t="shared" si="2"/>
        <v>7.0500000000000007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7.0500000000000007E-3</v>
      </c>
      <c r="L7" s="59">
        <f t="shared" si="4"/>
        <v>5.6400000000000006E-2</v>
      </c>
      <c r="R7" s="35"/>
      <c r="V7" s="69"/>
    </row>
    <row r="8" spans="1:25" ht="14.85" customHeight="1" x14ac:dyDescent="0.25">
      <c r="A8" s="11"/>
      <c r="B8" s="11" t="s">
        <v>119</v>
      </c>
      <c r="C8" s="16" t="s">
        <v>204</v>
      </c>
      <c r="D8" s="15">
        <v>0.02</v>
      </c>
      <c r="E8" s="12">
        <f t="shared" si="0"/>
        <v>141</v>
      </c>
      <c r="F8" s="13">
        <v>1</v>
      </c>
      <c r="G8" s="12">
        <f t="shared" si="1"/>
        <v>2.82</v>
      </c>
      <c r="H8" s="56">
        <f t="shared" si="2"/>
        <v>2.82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2.82E-3</v>
      </c>
      <c r="L8" s="59">
        <f t="shared" si="4"/>
        <v>5.6399999999999999E-2</v>
      </c>
      <c r="V8" s="63" t="s">
        <v>205</v>
      </c>
      <c r="W8" s="64">
        <v>1</v>
      </c>
      <c r="X8" s="63" t="s">
        <v>203</v>
      </c>
      <c r="Y8" s="65">
        <f>(SUM(L5:L10)/Q20)*W8</f>
        <v>0.15502920000000001</v>
      </c>
    </row>
    <row r="9" spans="1:25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141</v>
      </c>
      <c r="F9" s="13">
        <v>1</v>
      </c>
      <c r="G9" s="12">
        <f t="shared" si="1"/>
        <v>1332.4499999999998</v>
      </c>
      <c r="H9" s="56">
        <f t="shared" si="2"/>
        <v>1332.4499999999998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1.3324499999999999</v>
      </c>
      <c r="L9" s="59">
        <f t="shared" si="4"/>
        <v>0</v>
      </c>
    </row>
    <row r="10" spans="1:25" ht="14.85" customHeight="1" x14ac:dyDescent="0.25">
      <c r="A10" s="11"/>
      <c r="B10" s="11" t="s">
        <v>88</v>
      </c>
      <c r="C10" s="16" t="s">
        <v>204</v>
      </c>
      <c r="D10" s="15">
        <v>0.08</v>
      </c>
      <c r="E10" s="12">
        <f t="shared" si="0"/>
        <v>141</v>
      </c>
      <c r="F10" s="13">
        <v>1</v>
      </c>
      <c r="G10" s="12">
        <f t="shared" si="1"/>
        <v>11.28</v>
      </c>
      <c r="H10" s="56">
        <f t="shared" si="2"/>
        <v>11.28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1.128E-2</v>
      </c>
      <c r="L10" s="59">
        <f t="shared" si="4"/>
        <v>8.3472000000000008E-3</v>
      </c>
    </row>
    <row r="11" spans="1:25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4935</v>
      </c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/>
      <c r="Q17" s="3"/>
    </row>
    <row r="18" spans="11:17" ht="14.85" customHeight="1" thickBot="1" x14ac:dyDescent="0.3">
      <c r="P18" s="4" t="s">
        <v>208</v>
      </c>
      <c r="Q18" s="5">
        <f>V1</f>
        <v>139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141</v>
      </c>
    </row>
    <row r="21" spans="11:17" x14ac:dyDescent="0.25">
      <c r="P21" s="61" t="s">
        <v>203</v>
      </c>
      <c r="Q21" s="67">
        <f>SUM(L5:L10)</f>
        <v>21.8591172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rgb="FF00B050"/>
    <pageSetUpPr fitToPage="1"/>
  </sheetPr>
  <dimension ref="A1:Y27"/>
  <sheetViews>
    <sheetView topLeftCell="B1"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119</v>
      </c>
      <c r="F1" s="17" t="s">
        <v>188</v>
      </c>
      <c r="G1" s="10">
        <f>D1/B1</f>
        <v>119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117</v>
      </c>
    </row>
    <row r="2" spans="1:25" ht="14.25" customHeight="1" x14ac:dyDescent="0.25">
      <c r="A2" s="39"/>
      <c r="B2" s="146" t="s">
        <v>214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44" t="s">
        <v>215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42</v>
      </c>
      <c r="C5" s="16" t="s">
        <v>204</v>
      </c>
      <c r="D5" s="15">
        <v>19.420000000000002</v>
      </c>
      <c r="E5" s="12">
        <f>$G$1</f>
        <v>119</v>
      </c>
      <c r="F5" s="13">
        <v>1</v>
      </c>
      <c r="G5" s="12">
        <f>E5*D5</f>
        <v>2310.98</v>
      </c>
      <c r="H5" s="56">
        <f>G5*F5</f>
        <v>2310.98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((H5/(I5))/1000)</f>
        <v>2.3109799999999998</v>
      </c>
      <c r="L5" s="59">
        <f>J5*K5</f>
        <v>14.83399324324324</v>
      </c>
    </row>
    <row r="6" spans="1:25" ht="14.85" customHeight="1" x14ac:dyDescent="0.25">
      <c r="A6" s="11"/>
      <c r="B6" s="11" t="s">
        <v>57</v>
      </c>
      <c r="C6" s="16" t="s">
        <v>36</v>
      </c>
      <c r="D6" s="24">
        <v>0.08</v>
      </c>
      <c r="E6" s="12">
        <f>$G$1</f>
        <v>119</v>
      </c>
      <c r="F6" s="13">
        <v>1</v>
      </c>
      <c r="G6" s="12">
        <f>E6*D6</f>
        <v>9.52</v>
      </c>
      <c r="H6" s="56">
        <f>G6*F6</f>
        <v>9.52</v>
      </c>
      <c r="I6" s="11">
        <f>VLOOKUP(B6,Ordering!$A$1:$J$45,6,FALSE)</f>
        <v>1</v>
      </c>
      <c r="J6" s="58">
        <f>VLOOKUP(B6,Ordering!$A$1:$J$45,10,FALSE)</f>
        <v>58.685446009389672</v>
      </c>
      <c r="K6" s="58">
        <f>((H6/(I6))/1000)</f>
        <v>9.5199999999999989E-3</v>
      </c>
      <c r="L6" s="59">
        <f>J6*K6</f>
        <v>0.55868544600938963</v>
      </c>
    </row>
    <row r="7" spans="1:25" ht="14.85" customHeight="1" x14ac:dyDescent="0.25">
      <c r="A7" s="11"/>
      <c r="B7" s="11" t="s">
        <v>51</v>
      </c>
      <c r="C7" s="16" t="s">
        <v>204</v>
      </c>
      <c r="D7" s="24">
        <v>0.4</v>
      </c>
      <c r="E7" s="12">
        <f>$G$1</f>
        <v>119</v>
      </c>
      <c r="F7" s="13">
        <v>1</v>
      </c>
      <c r="G7" s="12">
        <f>E7*D7</f>
        <v>47.6</v>
      </c>
      <c r="H7" s="56">
        <f>G7*F7</f>
        <v>47.6</v>
      </c>
      <c r="I7" s="11">
        <f>VLOOKUP(B7,Ordering!$A$1:$J$45,6,FALSE)</f>
        <v>1</v>
      </c>
      <c r="J7" s="58">
        <f>VLOOKUP(B7,Ordering!$A$1:$J$45,10,FALSE)</f>
        <v>10</v>
      </c>
      <c r="K7" s="58">
        <f>((H7/(I7))/1000)</f>
        <v>4.7600000000000003E-2</v>
      </c>
      <c r="L7" s="59">
        <f>J7*K7</f>
        <v>0.47600000000000003</v>
      </c>
      <c r="V7" s="69"/>
    </row>
    <row r="8" spans="1:25" ht="14.85" customHeight="1" x14ac:dyDescent="0.25">
      <c r="A8" s="11"/>
      <c r="B8" s="11" t="s">
        <v>83</v>
      </c>
      <c r="C8" s="16" t="s">
        <v>204</v>
      </c>
      <c r="D8" s="24">
        <v>0.01</v>
      </c>
      <c r="E8" s="12">
        <f>$G$1</f>
        <v>119</v>
      </c>
      <c r="F8" s="13">
        <v>1</v>
      </c>
      <c r="G8" s="12">
        <f>E8*D8</f>
        <v>1.19</v>
      </c>
      <c r="H8" s="56">
        <f>G8*F8</f>
        <v>1.19</v>
      </c>
      <c r="I8" s="11">
        <f>VLOOKUP(B8,Ordering!$A$1:$J$45,6,FALSE)</f>
        <v>1</v>
      </c>
      <c r="J8" s="58">
        <f>VLOOKUP(B8,Ordering!$A$1:$J$45,10,FALSE)</f>
        <v>64.243759177679877</v>
      </c>
      <c r="K8" s="58">
        <f>((H8/(I8))/1000)</f>
        <v>1.1899999999999999E-3</v>
      </c>
      <c r="L8" s="59">
        <f>J8*K8</f>
        <v>7.6450073421439044E-2</v>
      </c>
      <c r="V8" s="63" t="s">
        <v>205</v>
      </c>
      <c r="W8" s="64">
        <v>1</v>
      </c>
      <c r="X8" s="63" t="s">
        <v>203</v>
      </c>
      <c r="Y8" s="65">
        <f>(SUM(L5:L9)/Q20)*W8</f>
        <v>0.13444267867793336</v>
      </c>
    </row>
    <row r="9" spans="1:25" ht="14.85" customHeight="1" x14ac:dyDescent="0.25">
      <c r="A9" s="11"/>
      <c r="B9" s="11" t="s">
        <v>34</v>
      </c>
      <c r="C9" s="16" t="s">
        <v>36</v>
      </c>
      <c r="D9" s="24">
        <v>0.09</v>
      </c>
      <c r="E9" s="12">
        <f>$G$1</f>
        <v>119</v>
      </c>
      <c r="F9" s="13">
        <v>1</v>
      </c>
      <c r="G9" s="12">
        <f>E9*D9</f>
        <v>10.709999999999999</v>
      </c>
      <c r="H9" s="56">
        <f>G9*F9</f>
        <v>10.709999999999999</v>
      </c>
      <c r="I9" s="11">
        <f>VLOOKUP(B9,Ordering!$A$1:$J$45,6,FALSE)</f>
        <v>1</v>
      </c>
      <c r="J9" s="58">
        <f>VLOOKUP(B9,Ordering!$A$1:$J$45,10,FALSE)</f>
        <v>5</v>
      </c>
      <c r="K9" s="58">
        <f>((H9/(I9))/1000)</f>
        <v>1.0709999999999999E-2</v>
      </c>
      <c r="L9" s="59">
        <f>J9*K9</f>
        <v>5.3549999999999993E-2</v>
      </c>
    </row>
    <row r="10" spans="1:25" x14ac:dyDescent="0.25">
      <c r="B10" s="57" t="s">
        <v>189</v>
      </c>
      <c r="C10" s="132" t="s">
        <v>204</v>
      </c>
      <c r="D10" s="127">
        <f>$I$1</f>
        <v>20</v>
      </c>
      <c r="E10" s="133"/>
      <c r="F10" s="133"/>
      <c r="G10" s="134" t="s">
        <v>323</v>
      </c>
      <c r="H10" s="135">
        <f>SUM(H5:H9)</f>
        <v>2380</v>
      </c>
      <c r="J10" s="19"/>
      <c r="K10" s="19"/>
      <c r="L10" s="19"/>
    </row>
    <row r="11" spans="1:25" x14ac:dyDescent="0.25"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117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119</v>
      </c>
    </row>
    <row r="21" spans="11:17" x14ac:dyDescent="0.25">
      <c r="P21" s="61" t="s">
        <v>203</v>
      </c>
      <c r="Q21" s="67">
        <f>SUM(L5:L9)</f>
        <v>15.99867876267407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00B050"/>
    <pageSetUpPr fitToPage="1"/>
  </sheetPr>
  <dimension ref="A1:Y27"/>
  <sheetViews>
    <sheetView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226</v>
      </c>
      <c r="F1" s="17" t="s">
        <v>188</v>
      </c>
      <c r="G1" s="10">
        <f>D1/B1</f>
        <v>226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224</v>
      </c>
    </row>
    <row r="2" spans="1:25" ht="14.25" customHeight="1" x14ac:dyDescent="0.25">
      <c r="A2" s="41"/>
      <c r="B2" s="142" t="s">
        <v>216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47" t="s">
        <v>217</v>
      </c>
      <c r="C3" s="145"/>
      <c r="D3" s="145"/>
      <c r="E3" s="145"/>
      <c r="F3" s="145"/>
      <c r="G3" s="145"/>
      <c r="H3" s="148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148</v>
      </c>
      <c r="C5" s="16" t="s">
        <v>204</v>
      </c>
      <c r="D5" s="15">
        <v>33.700000000000003</v>
      </c>
      <c r="E5" s="12">
        <f t="shared" ref="E5:E10" si="0">$G$1</f>
        <v>226</v>
      </c>
      <c r="F5" s="13">
        <v>1</v>
      </c>
      <c r="G5" s="12">
        <f t="shared" ref="G5:G10" si="1">E5*D5</f>
        <v>7616.2000000000007</v>
      </c>
      <c r="H5" s="56">
        <f t="shared" ref="H5:H10" si="2">G5*F5</f>
        <v>7616.2000000000007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((H5/(I5))/1000)</f>
        <v>7.771632653061225</v>
      </c>
      <c r="L5" s="59">
        <f t="shared" ref="L5:L10" si="4">J5*K5</f>
        <v>27.200714285714287</v>
      </c>
    </row>
    <row r="6" spans="1:25" ht="14.85" customHeight="1" x14ac:dyDescent="0.25">
      <c r="A6" s="11"/>
      <c r="B6" s="11" t="s">
        <v>145</v>
      </c>
      <c r="C6" s="16" t="s">
        <v>204</v>
      </c>
      <c r="D6" s="15">
        <v>0.24</v>
      </c>
      <c r="E6" s="12">
        <f t="shared" si="0"/>
        <v>226</v>
      </c>
      <c r="F6" s="13">
        <v>1</v>
      </c>
      <c r="G6" s="12">
        <f t="shared" si="1"/>
        <v>54.239999999999995</v>
      </c>
      <c r="H6" s="56">
        <f t="shared" si="2"/>
        <v>54.239999999999995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5.6500000000000002E-2</v>
      </c>
      <c r="L6" s="59">
        <f t="shared" si="4"/>
        <v>0.22600000000000001</v>
      </c>
    </row>
    <row r="7" spans="1:25" ht="14.85" customHeight="1" x14ac:dyDescent="0.25">
      <c r="A7" s="11"/>
      <c r="B7" s="11" t="s">
        <v>132</v>
      </c>
      <c r="C7" s="16" t="s">
        <v>204</v>
      </c>
      <c r="D7" s="15">
        <v>0.2</v>
      </c>
      <c r="E7" s="12">
        <f t="shared" si="0"/>
        <v>226</v>
      </c>
      <c r="F7" s="13">
        <v>1</v>
      </c>
      <c r="G7" s="12">
        <f t="shared" si="1"/>
        <v>45.2</v>
      </c>
      <c r="H7" s="56">
        <f t="shared" si="2"/>
        <v>45.2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4.8085106382978728E-2</v>
      </c>
      <c r="L7" s="59">
        <f t="shared" si="4"/>
        <v>0.17485493230174087</v>
      </c>
      <c r="R7" s="35"/>
    </row>
    <row r="8" spans="1:25" ht="14.85" customHeight="1" x14ac:dyDescent="0.25">
      <c r="A8" s="11"/>
      <c r="B8" s="11" t="s">
        <v>97</v>
      </c>
      <c r="C8" s="16" t="s">
        <v>204</v>
      </c>
      <c r="D8" s="24">
        <v>3.0000000000000001E-3</v>
      </c>
      <c r="E8" s="12">
        <f t="shared" si="0"/>
        <v>226</v>
      </c>
      <c r="F8" s="13">
        <v>1</v>
      </c>
      <c r="G8" s="12">
        <f t="shared" si="1"/>
        <v>0.67800000000000005</v>
      </c>
      <c r="H8" s="56">
        <f t="shared" si="2"/>
        <v>0.67800000000000005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6.78E-4</v>
      </c>
      <c r="L8" s="59">
        <f t="shared" si="4"/>
        <v>2.3730000000000001E-2</v>
      </c>
      <c r="V8" s="63" t="s">
        <v>205</v>
      </c>
      <c r="W8" s="64">
        <v>1</v>
      </c>
      <c r="X8" s="63" t="s">
        <v>203</v>
      </c>
      <c r="Y8" s="65">
        <f>SUM(L5:L10)/Q20</f>
        <v>0.12232463724785854</v>
      </c>
    </row>
    <row r="9" spans="1:25" ht="14.85" customHeight="1" x14ac:dyDescent="0.25">
      <c r="A9" s="11"/>
      <c r="B9" s="11" t="s">
        <v>88</v>
      </c>
      <c r="C9" s="16" t="s">
        <v>204</v>
      </c>
      <c r="D9" s="15">
        <v>0.12</v>
      </c>
      <c r="E9" s="12">
        <f t="shared" si="0"/>
        <v>226</v>
      </c>
      <c r="F9" s="13">
        <v>1</v>
      </c>
      <c r="G9" s="12">
        <f t="shared" si="1"/>
        <v>27.119999999999997</v>
      </c>
      <c r="H9" s="56">
        <f t="shared" si="2"/>
        <v>27.119999999999997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2.7119999999999998E-2</v>
      </c>
      <c r="L9" s="59">
        <f t="shared" si="4"/>
        <v>2.0068799999999998E-2</v>
      </c>
    </row>
    <row r="10" spans="1:25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226</v>
      </c>
      <c r="F10" s="13">
        <v>1</v>
      </c>
      <c r="G10" s="12">
        <f t="shared" si="1"/>
        <v>169.5</v>
      </c>
      <c r="H10" s="56">
        <f t="shared" si="2"/>
        <v>169.5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0.16950000000000001</v>
      </c>
      <c r="L10" s="59">
        <f t="shared" si="4"/>
        <v>0</v>
      </c>
    </row>
    <row r="11" spans="1:25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7912.9380000000001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224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226</v>
      </c>
    </row>
    <row r="21" spans="11:17" x14ac:dyDescent="0.25">
      <c r="P21" s="61" t="s">
        <v>203</v>
      </c>
      <c r="Q21" s="62">
        <f>SUM(L5:L10)</f>
        <v>27.645368018016029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  <pageSetUpPr fitToPage="1"/>
  </sheetPr>
  <dimension ref="A1:Y27"/>
  <sheetViews>
    <sheetView topLeftCell="B1" zoomScaleNormal="100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7" max="17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87</v>
      </c>
      <c r="F1" s="17" t="s">
        <v>188</v>
      </c>
      <c r="G1" s="10">
        <f>D1/B1</f>
        <v>87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85</v>
      </c>
    </row>
    <row r="2" spans="1:25" ht="14.25" customHeight="1" x14ac:dyDescent="0.25">
      <c r="A2" s="39"/>
      <c r="B2" s="146" t="s">
        <v>218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44" t="s">
        <v>219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34</v>
      </c>
      <c r="C5" s="16" t="s">
        <v>36</v>
      </c>
      <c r="D5" s="15">
        <v>2.12636695018226</v>
      </c>
      <c r="E5" s="12">
        <f t="shared" ref="E5:E10" si="0">$G$1</f>
        <v>87</v>
      </c>
      <c r="F5" s="13">
        <v>1</v>
      </c>
      <c r="G5" s="12">
        <f t="shared" ref="G5:G10" si="1">E5*D5</f>
        <v>184.99392466585661</v>
      </c>
      <c r="H5" s="56">
        <f t="shared" ref="H5:H10" si="2">G5*F5</f>
        <v>184.99392466585661</v>
      </c>
      <c r="I5" s="11">
        <f>VLOOKUP(B5,Ordering!$A$1:$J$45,6,FALSE)</f>
        <v>1</v>
      </c>
      <c r="J5" s="58">
        <f>VLOOKUP(B5,Ordering!$A$1:$J$45,10,FALSE)</f>
        <v>5</v>
      </c>
      <c r="K5" s="58">
        <f t="shared" ref="K5:K10" si="3">((H5/(I5))/1000)</f>
        <v>0.18499392466585662</v>
      </c>
      <c r="L5" s="59">
        <f t="shared" ref="L5:L10" si="4">J5*K5</f>
        <v>0.92496962332928312</v>
      </c>
    </row>
    <row r="6" spans="1:25" ht="14.85" customHeight="1" x14ac:dyDescent="0.25">
      <c r="A6" s="11"/>
      <c r="B6" s="11" t="s">
        <v>80</v>
      </c>
      <c r="C6" s="16" t="s">
        <v>204</v>
      </c>
      <c r="D6" s="15">
        <v>4.25273390036452E-2</v>
      </c>
      <c r="E6" s="12">
        <f t="shared" si="0"/>
        <v>87</v>
      </c>
      <c r="F6" s="13">
        <v>1</v>
      </c>
      <c r="G6" s="12">
        <f t="shared" si="1"/>
        <v>3.6998784933171325</v>
      </c>
      <c r="H6" s="56">
        <f t="shared" si="2"/>
        <v>3.6998784933171325</v>
      </c>
      <c r="I6" s="11">
        <f>VLOOKUP(B6,Ordering!$A$1:$J$45,6,FALSE)</f>
        <v>1</v>
      </c>
      <c r="J6" s="58">
        <f>VLOOKUP(B6,Ordering!$A$1:$J$45,10,FALSE)</f>
        <v>8</v>
      </c>
      <c r="K6" s="58">
        <f t="shared" si="3"/>
        <v>3.6998784933171326E-3</v>
      </c>
      <c r="L6" s="59">
        <f t="shared" si="4"/>
        <v>2.9599027946537061E-2</v>
      </c>
    </row>
    <row r="7" spans="1:25" ht="14.85" customHeight="1" x14ac:dyDescent="0.25">
      <c r="A7" s="11"/>
      <c r="B7" s="11" t="s">
        <v>88</v>
      </c>
      <c r="C7" s="16" t="s">
        <v>204</v>
      </c>
      <c r="D7" s="15">
        <v>0.1559335763466991</v>
      </c>
      <c r="E7" s="12">
        <f t="shared" si="0"/>
        <v>87</v>
      </c>
      <c r="F7" s="13">
        <v>1</v>
      </c>
      <c r="G7" s="12">
        <f t="shared" si="1"/>
        <v>13.566221142162822</v>
      </c>
      <c r="H7" s="56">
        <f t="shared" si="2"/>
        <v>13.566221142162822</v>
      </c>
      <c r="I7" s="11">
        <f>VLOOKUP(B7,Ordering!$A$1:$J$45,6,FALSE)</f>
        <v>1</v>
      </c>
      <c r="J7" s="58">
        <f>VLOOKUP(B7,Ordering!$A$1:$J$45,10,FALSE)</f>
        <v>0.74</v>
      </c>
      <c r="K7" s="58">
        <f t="shared" si="3"/>
        <v>1.3566221142162823E-2</v>
      </c>
      <c r="L7" s="59">
        <f t="shared" si="4"/>
        <v>1.003900364520049E-2</v>
      </c>
      <c r="P7" s="35"/>
      <c r="V7" s="69"/>
    </row>
    <row r="8" spans="1:25" ht="14.85" customHeight="1" x14ac:dyDescent="0.25">
      <c r="A8" s="11"/>
      <c r="B8" s="11" t="s">
        <v>66</v>
      </c>
      <c r="C8" s="16" t="s">
        <v>36</v>
      </c>
      <c r="D8" s="15">
        <v>18.45686512758202</v>
      </c>
      <c r="E8" s="12">
        <f t="shared" si="0"/>
        <v>87</v>
      </c>
      <c r="F8" s="13">
        <v>1</v>
      </c>
      <c r="G8" s="12">
        <f t="shared" si="1"/>
        <v>1605.7472660996357</v>
      </c>
      <c r="H8" s="56">
        <f t="shared" si="2"/>
        <v>1605.7472660996357</v>
      </c>
      <c r="I8" s="11">
        <f>VLOOKUP(B8,Ordering!$A$1:$J$45,6,FALSE)</f>
        <v>1</v>
      </c>
      <c r="J8" s="58">
        <f>VLOOKUP(B8,Ordering!$A$1:$J$45,10,FALSE)</f>
        <v>0</v>
      </c>
      <c r="K8" s="58">
        <f t="shared" si="3"/>
        <v>1.6057472660996357</v>
      </c>
      <c r="L8" s="59">
        <f t="shared" si="4"/>
        <v>0</v>
      </c>
      <c r="V8" s="63" t="s">
        <v>205</v>
      </c>
      <c r="W8" s="64">
        <v>1</v>
      </c>
      <c r="X8" s="63" t="s">
        <v>203</v>
      </c>
      <c r="Y8" s="65">
        <f>(SUM(L5:L10)/Q20)*W8</f>
        <v>0.15416358849736733</v>
      </c>
    </row>
    <row r="9" spans="1:25" ht="14.85" customHeight="1" x14ac:dyDescent="0.25">
      <c r="A9" s="11"/>
      <c r="B9" s="11" t="s">
        <v>76</v>
      </c>
      <c r="C9" s="16" t="s">
        <v>204</v>
      </c>
      <c r="D9" s="15">
        <v>4.25273390036452E-2</v>
      </c>
      <c r="E9" s="12">
        <f t="shared" si="0"/>
        <v>87</v>
      </c>
      <c r="F9" s="13">
        <v>1</v>
      </c>
      <c r="G9" s="12">
        <f t="shared" si="1"/>
        <v>3.6998784933171325</v>
      </c>
      <c r="H9" s="56">
        <f t="shared" si="2"/>
        <v>3.6998784933171325</v>
      </c>
      <c r="I9" s="11">
        <f>VLOOKUP(B9,Ordering!$A$1:$J$45,6,FALSE)</f>
        <v>1</v>
      </c>
      <c r="J9" s="58">
        <f>VLOOKUP(B9,Ordering!$A$1:$J$45,10,FALSE)</f>
        <v>31</v>
      </c>
      <c r="K9" s="58">
        <f t="shared" si="3"/>
        <v>3.6998784933171326E-3</v>
      </c>
      <c r="L9" s="59">
        <f t="shared" si="4"/>
        <v>0.11469623329283112</v>
      </c>
    </row>
    <row r="10" spans="1:25" ht="14.85" customHeight="1" x14ac:dyDescent="0.25">
      <c r="A10" s="11"/>
      <c r="B10" s="11" t="s">
        <v>51</v>
      </c>
      <c r="C10" s="16" t="s">
        <v>204</v>
      </c>
      <c r="D10" s="15">
        <v>14.175779667881731</v>
      </c>
      <c r="E10" s="12">
        <f t="shared" si="0"/>
        <v>87</v>
      </c>
      <c r="F10" s="13">
        <v>1</v>
      </c>
      <c r="G10" s="12">
        <f t="shared" si="1"/>
        <v>1233.2928311057105</v>
      </c>
      <c r="H10" s="56">
        <f t="shared" si="2"/>
        <v>1233.2928311057105</v>
      </c>
      <c r="I10" s="11">
        <f>VLOOKUP(B10,Ordering!$A$1:$J$45,6,FALSE)</f>
        <v>1</v>
      </c>
      <c r="J10" s="58">
        <f>VLOOKUP(B10,Ordering!$A$1:$J$45,10,FALSE)</f>
        <v>10</v>
      </c>
      <c r="K10" s="58">
        <f t="shared" si="3"/>
        <v>1.2332928311057105</v>
      </c>
      <c r="L10" s="59">
        <f t="shared" si="4"/>
        <v>12.332928311057106</v>
      </c>
    </row>
    <row r="11" spans="1:25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3045</v>
      </c>
    </row>
    <row r="12" spans="1:25" ht="14.85" customHeight="1" x14ac:dyDescent="0.25">
      <c r="M12" s="22"/>
    </row>
    <row r="13" spans="1:25" ht="14.85" customHeight="1" x14ac:dyDescent="0.25"/>
    <row r="14" spans="1:25" ht="14.85" customHeight="1" x14ac:dyDescent="0.25">
      <c r="L14" s="72"/>
      <c r="M14" s="74"/>
    </row>
    <row r="15" spans="1:25" x14ac:dyDescent="0.25">
      <c r="L15" s="72"/>
      <c r="M15" s="75"/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85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87</v>
      </c>
    </row>
    <row r="21" spans="11:17" x14ac:dyDescent="0.25">
      <c r="P21" s="61" t="s">
        <v>203</v>
      </c>
      <c r="Q21" s="67">
        <f>SUM(L5:L10)</f>
        <v>13.412232199270958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00B050"/>
    <pageSetUpPr fitToPage="1"/>
  </sheetPr>
  <dimension ref="A1:Y27"/>
  <sheetViews>
    <sheetView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8.140625" customWidth="1"/>
    <col min="7" max="7" width="12.140625" bestFit="1" customWidth="1"/>
    <col min="8" max="8" width="29.85546875" bestFit="1" customWidth="1"/>
    <col min="10" max="10" width="22.140625" bestFit="1" customWidth="1"/>
    <col min="11" max="11" width="13.7109375" customWidth="1"/>
    <col min="13" max="15" width="2.7109375" customWidth="1"/>
    <col min="16" max="16" width="10.140625" customWidth="1"/>
    <col min="17" max="17" width="14.85546875" customWidth="1"/>
    <col min="18" max="18" width="22.42578125" customWidth="1"/>
    <col min="19" max="19" width="14.85546875" customWidth="1"/>
  </cols>
  <sheetData>
    <row r="1" spans="1:25" ht="25.35" customHeight="1" x14ac:dyDescent="0.25">
      <c r="A1" s="17" t="s">
        <v>220</v>
      </c>
      <c r="B1" s="9">
        <v>20</v>
      </c>
      <c r="D1" s="8">
        <f>Q20</f>
        <v>108</v>
      </c>
      <c r="E1" s="17" t="s">
        <v>221</v>
      </c>
      <c r="F1" s="10">
        <f>Q20</f>
        <v>108</v>
      </c>
      <c r="H1" s="17" t="s">
        <v>222</v>
      </c>
      <c r="I1" s="21">
        <v>30</v>
      </c>
      <c r="J1" s="1"/>
      <c r="K1" s="18" t="s">
        <v>190</v>
      </c>
      <c r="U1" s="93" t="s">
        <v>20</v>
      </c>
      <c r="V1" s="94">
        <v>106</v>
      </c>
    </row>
    <row r="2" spans="1:25" ht="14.25" customHeight="1" x14ac:dyDescent="0.25">
      <c r="A2" s="39"/>
      <c r="B2" s="146" t="s">
        <v>223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44" t="s">
        <v>224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42</v>
      </c>
      <c r="C5" s="16" t="s">
        <v>204</v>
      </c>
      <c r="D5" s="15">
        <v>16.12903225806452</v>
      </c>
      <c r="E5" s="12">
        <f>$F$1</f>
        <v>108</v>
      </c>
      <c r="F5" s="13">
        <v>1</v>
      </c>
      <c r="G5" s="12">
        <f>E5*D5</f>
        <v>1741.935483870968</v>
      </c>
      <c r="H5" s="56">
        <f>G5*F5</f>
        <v>1741.935483870968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((H5/(I5))/1000)</f>
        <v>1.741935483870968</v>
      </c>
      <c r="L5" s="59">
        <f>J5*K5</f>
        <v>11.181342632955538</v>
      </c>
    </row>
    <row r="6" spans="1:25" ht="14.85" customHeight="1" x14ac:dyDescent="0.25">
      <c r="A6" s="11"/>
      <c r="B6" s="11" t="s">
        <v>61</v>
      </c>
      <c r="C6" s="16" t="s">
        <v>36</v>
      </c>
      <c r="D6" s="15">
        <v>10.96774193548387</v>
      </c>
      <c r="E6" s="12">
        <f>$F$1</f>
        <v>108</v>
      </c>
      <c r="F6" s="13">
        <v>1</v>
      </c>
      <c r="G6" s="12">
        <f>E6*D6</f>
        <v>1184.516129032258</v>
      </c>
      <c r="H6" s="56">
        <f>G6*F6</f>
        <v>1184.516129032258</v>
      </c>
      <c r="I6" s="11">
        <f>VLOOKUP(B6,Ordering!$A$1:$J$45,6,FALSE)</f>
        <v>1</v>
      </c>
      <c r="J6" s="58">
        <f>VLOOKUP(B6,Ordering!$A$1:$J$45,10,FALSE)</f>
        <v>3.25</v>
      </c>
      <c r="K6" s="58">
        <f>((H6/(I6))/1000)</f>
        <v>1.1845161290322581</v>
      </c>
      <c r="L6" s="59">
        <f>J6*K6</f>
        <v>3.8496774193548386</v>
      </c>
    </row>
    <row r="7" spans="1:25" ht="14.85" customHeight="1" x14ac:dyDescent="0.25">
      <c r="A7" s="11"/>
      <c r="B7" s="11" t="s">
        <v>46</v>
      </c>
      <c r="C7" s="16" t="s">
        <v>204</v>
      </c>
      <c r="D7" s="15">
        <v>1.182795698924731</v>
      </c>
      <c r="E7" s="12">
        <f>$F$1</f>
        <v>108</v>
      </c>
      <c r="F7" s="13">
        <v>1</v>
      </c>
      <c r="G7" s="12">
        <f>E7*D7</f>
        <v>127.74193548387095</v>
      </c>
      <c r="H7" s="56">
        <f>G7*F7</f>
        <v>127.74193548387095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((H7/(I7))/1000)</f>
        <v>0.12774193548387094</v>
      </c>
      <c r="L7" s="59">
        <f>J7*K7</f>
        <v>1.4362519201228876</v>
      </c>
    </row>
    <row r="8" spans="1:25" ht="14.85" customHeight="1" x14ac:dyDescent="0.25">
      <c r="A8" s="11"/>
      <c r="B8" s="11" t="s">
        <v>57</v>
      </c>
      <c r="C8" s="16" t="s">
        <v>36</v>
      </c>
      <c r="D8" s="15">
        <v>1.720430107526882</v>
      </c>
      <c r="E8" s="12">
        <f>$F$1</f>
        <v>108</v>
      </c>
      <c r="F8" s="13">
        <v>1</v>
      </c>
      <c r="G8" s="12">
        <f>E8*D8</f>
        <v>185.80645161290326</v>
      </c>
      <c r="H8" s="56">
        <f>G8*F8</f>
        <v>185.80645161290326</v>
      </c>
      <c r="I8" s="11">
        <f>VLOOKUP(B8,Ordering!$A$1:$J$45,6,FALSE)</f>
        <v>1</v>
      </c>
      <c r="J8" s="58">
        <f>VLOOKUP(B8,Ordering!$A$1:$J$45,10,FALSE)</f>
        <v>58.685446009389672</v>
      </c>
      <c r="K8" s="58">
        <f>((H8/(I8))/1000)</f>
        <v>0.18580645161290327</v>
      </c>
      <c r="L8" s="59">
        <f>J8*K8</f>
        <v>10.90413448432531</v>
      </c>
      <c r="R8" s="35"/>
      <c r="V8" s="63" t="s">
        <v>205</v>
      </c>
      <c r="W8" s="64">
        <v>1</v>
      </c>
      <c r="X8" s="63" t="s">
        <v>203</v>
      </c>
      <c r="Y8" s="65">
        <f>(SUM(L5:L8)/Q21)*W8*I1</f>
        <v>50.718897877072806</v>
      </c>
    </row>
    <row r="9" spans="1:25" x14ac:dyDescent="0.25">
      <c r="B9" s="57" t="s">
        <v>189</v>
      </c>
      <c r="C9" s="132" t="s">
        <v>204</v>
      </c>
      <c r="D9" s="127">
        <f>$I$1</f>
        <v>30</v>
      </c>
      <c r="E9" s="133"/>
      <c r="F9" s="133"/>
      <c r="G9" s="134" t="s">
        <v>323</v>
      </c>
      <c r="H9" s="135">
        <f>SUM(H5:H8)</f>
        <v>3240.0000000000005</v>
      </c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M11" s="19"/>
    </row>
    <row r="12" spans="1:25" ht="14.85" customHeight="1" x14ac:dyDescent="0.25"/>
    <row r="13" spans="1:25" ht="14.85" customHeight="1" x14ac:dyDescent="0.25"/>
    <row r="14" spans="1:25" ht="14.85" customHeight="1" x14ac:dyDescent="0.25"/>
    <row r="15" spans="1:25" ht="14.85" customHeight="1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106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108</v>
      </c>
    </row>
    <row r="21" spans="11:17" x14ac:dyDescent="0.25">
      <c r="P21" s="61" t="s">
        <v>203</v>
      </c>
      <c r="Q21" s="67">
        <f>SUM(L6:L11)</f>
        <v>16.190063823803037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52">
    <tabColor rgb="FF00B050"/>
    <pageSetUpPr fitToPage="1"/>
  </sheetPr>
  <dimension ref="A1:Y36"/>
  <sheetViews>
    <sheetView zoomScale="85" zoomScaleNormal="85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150</v>
      </c>
      <c r="F1" s="17" t="s">
        <v>188</v>
      </c>
      <c r="G1" s="10">
        <f>D1/B1</f>
        <v>150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148</v>
      </c>
    </row>
    <row r="2" spans="1:25" ht="14.25" customHeight="1" x14ac:dyDescent="0.25">
      <c r="A2" s="39"/>
      <c r="B2" s="142" t="s">
        <v>279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38" t="s">
        <v>274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23</v>
      </c>
      <c r="C5" s="16" t="s">
        <v>204</v>
      </c>
      <c r="D5" s="107">
        <v>20.408163265306129</v>
      </c>
      <c r="E5" s="108">
        <f t="shared" ref="E5:E12" si="0">$G$1</f>
        <v>150</v>
      </c>
      <c r="F5" s="109">
        <v>1</v>
      </c>
      <c r="G5" s="108">
        <f t="shared" ref="G5:G12" si="1">E5*D5</f>
        <v>3061.2244897959195</v>
      </c>
      <c r="H5" s="110">
        <f t="shared" ref="H5:H12" si="2">G5*F5</f>
        <v>3061.2244897959195</v>
      </c>
      <c r="I5" s="106">
        <f>VLOOKUP(B5,Ordering!$A$1:$J$50,6,FALSE)</f>
        <v>1</v>
      </c>
      <c r="J5" s="111">
        <f>VLOOKUP(B5,Ordering!$A$1:$J$50,10,FALSE)</f>
        <v>6.6959999999999997</v>
      </c>
      <c r="K5" s="107">
        <f t="shared" ref="K5:K12" si="3">((H5/(I5))/1000)</f>
        <v>3.0612244897959195</v>
      </c>
      <c r="L5" s="112">
        <f t="shared" ref="L5:L12" si="4">J5*K5</f>
        <v>20.497959183673476</v>
      </c>
    </row>
    <row r="6" spans="1:25" ht="14.85" customHeight="1" x14ac:dyDescent="0.25">
      <c r="A6" s="106"/>
      <c r="B6" s="106" t="s">
        <v>42</v>
      </c>
      <c r="C6" s="16" t="s">
        <v>204</v>
      </c>
      <c r="D6" s="107">
        <v>10.204081632653063</v>
      </c>
      <c r="E6" s="108">
        <f t="shared" si="0"/>
        <v>150</v>
      </c>
      <c r="F6" s="109">
        <v>1</v>
      </c>
      <c r="G6" s="108">
        <f t="shared" si="1"/>
        <v>1530.6122448979595</v>
      </c>
      <c r="H6" s="110">
        <f t="shared" si="2"/>
        <v>1530.6122448979595</v>
      </c>
      <c r="I6" s="106">
        <f>VLOOKUP(B6,Ordering!$A$1:$J$50,6,FALSE)</f>
        <v>1</v>
      </c>
      <c r="J6" s="111">
        <f>VLOOKUP(B6,Ordering!$A$1:$J$50,10,FALSE)</f>
        <v>6.4189189189189184</v>
      </c>
      <c r="K6" s="107">
        <f t="shared" si="3"/>
        <v>1.5306122448979596</v>
      </c>
      <c r="L6" s="112">
        <f t="shared" si="4"/>
        <v>9.8248758963044693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1.5306122448979591</v>
      </c>
      <c r="E7" s="108">
        <f t="shared" si="0"/>
        <v>150</v>
      </c>
      <c r="F7" s="109">
        <v>1</v>
      </c>
      <c r="G7" s="108">
        <f t="shared" si="1"/>
        <v>229.59183673469386</v>
      </c>
      <c r="H7" s="110">
        <f t="shared" si="2"/>
        <v>229.59183673469386</v>
      </c>
      <c r="I7" s="106">
        <f>VLOOKUP(B7,Ordering!$A$1:$J$50,6,FALSE)</f>
        <v>1</v>
      </c>
      <c r="J7" s="111">
        <f>VLOOKUP(B7,Ordering!$A$1:$J$50,10,FALSE)</f>
        <v>5</v>
      </c>
      <c r="K7" s="107">
        <f t="shared" si="3"/>
        <v>0.22959183673469385</v>
      </c>
      <c r="L7" s="112">
        <f t="shared" si="4"/>
        <v>1.1479591836734693</v>
      </c>
      <c r="R7" s="35"/>
    </row>
    <row r="8" spans="1:25" ht="14.85" customHeight="1" x14ac:dyDescent="0.25">
      <c r="A8" s="106"/>
      <c r="B8" s="106" t="s">
        <v>261</v>
      </c>
      <c r="C8" s="16" t="s">
        <v>204</v>
      </c>
      <c r="D8" s="107">
        <v>0.71428571428571419</v>
      </c>
      <c r="E8" s="108">
        <f t="shared" si="0"/>
        <v>150</v>
      </c>
      <c r="F8" s="109">
        <v>1</v>
      </c>
      <c r="G8" s="108">
        <f t="shared" si="1"/>
        <v>107.14285714285712</v>
      </c>
      <c r="H8" s="110">
        <f t="shared" si="2"/>
        <v>107.14285714285712</v>
      </c>
      <c r="I8" s="106">
        <f>VLOOKUP(B8,Ordering!$A$1:$J$50,6,FALSE)</f>
        <v>1</v>
      </c>
      <c r="J8" s="111">
        <f>VLOOKUP(B8,Ordering!$A$1:$J$50,10,FALSE)</f>
        <v>10.5</v>
      </c>
      <c r="K8" s="107">
        <f t="shared" si="3"/>
        <v>0.10714285714285712</v>
      </c>
      <c r="L8" s="112">
        <f t="shared" si="4"/>
        <v>1.1249999999999998</v>
      </c>
      <c r="V8" s="63" t="s">
        <v>205</v>
      </c>
      <c r="W8" s="64">
        <v>1</v>
      </c>
      <c r="X8" s="63" t="s">
        <v>203</v>
      </c>
      <c r="Y8" s="65">
        <f>(SUM(L5:L12)/Q20)*W8</f>
        <v>0.23087363922172779</v>
      </c>
    </row>
    <row r="9" spans="1:25" ht="14.85" customHeight="1" x14ac:dyDescent="0.25">
      <c r="A9" s="106"/>
      <c r="B9" s="106" t="s">
        <v>137</v>
      </c>
      <c r="C9" s="16" t="s">
        <v>204</v>
      </c>
      <c r="D9" s="107">
        <v>0.71428571428571419</v>
      </c>
      <c r="E9" s="108">
        <f t="shared" si="0"/>
        <v>150</v>
      </c>
      <c r="F9" s="109">
        <v>1</v>
      </c>
      <c r="G9" s="108">
        <f t="shared" si="1"/>
        <v>107.14285714285712</v>
      </c>
      <c r="H9" s="110">
        <f t="shared" si="2"/>
        <v>107.14285714285712</v>
      </c>
      <c r="I9" s="106">
        <f>VLOOKUP(B9,Ordering!$A$1:$J$50,6,FALSE)</f>
        <v>0.71</v>
      </c>
      <c r="J9" s="111">
        <f>VLOOKUP(B9,Ordering!$A$1:$J$50,10,FALSE)</f>
        <v>3</v>
      </c>
      <c r="K9" s="107">
        <f t="shared" si="3"/>
        <v>0.1509054325955734</v>
      </c>
      <c r="L9" s="112">
        <f t="shared" si="4"/>
        <v>0.45271629778672018</v>
      </c>
    </row>
    <row r="10" spans="1:25" ht="14.85" customHeight="1" x14ac:dyDescent="0.25">
      <c r="A10" s="106"/>
      <c r="B10" s="106" t="s">
        <v>269</v>
      </c>
      <c r="C10" s="16" t="s">
        <v>204</v>
      </c>
      <c r="D10" s="107">
        <v>0.71428571428571419</v>
      </c>
      <c r="E10" s="108">
        <f t="shared" si="0"/>
        <v>150</v>
      </c>
      <c r="F10" s="109">
        <v>1</v>
      </c>
      <c r="G10" s="108">
        <f t="shared" si="1"/>
        <v>107.14285714285712</v>
      </c>
      <c r="H10" s="110">
        <f t="shared" si="2"/>
        <v>107.14285714285712</v>
      </c>
      <c r="I10" s="106">
        <f>VLOOKUP(B10,Ordering!$A$1:$J$50,6,FALSE)</f>
        <v>0.65</v>
      </c>
      <c r="J10" s="111">
        <f>VLOOKUP(B10,Ordering!$A$1:$J$50,10,FALSE)</f>
        <v>3.5</v>
      </c>
      <c r="K10" s="107">
        <f t="shared" si="3"/>
        <v>0.16483516483516478</v>
      </c>
      <c r="L10" s="112">
        <f t="shared" si="4"/>
        <v>0.57692307692307676</v>
      </c>
    </row>
    <row r="11" spans="1:25" ht="14.85" customHeight="1" x14ac:dyDescent="0.25">
      <c r="A11" s="106"/>
      <c r="B11" s="106" t="s">
        <v>88</v>
      </c>
      <c r="C11" s="16" t="s">
        <v>204</v>
      </c>
      <c r="D11" s="107">
        <v>0.51020408163265285</v>
      </c>
      <c r="E11" s="108">
        <f t="shared" si="0"/>
        <v>150</v>
      </c>
      <c r="F11" s="109">
        <v>1</v>
      </c>
      <c r="G11" s="108">
        <f t="shared" si="1"/>
        <v>76.530612244897924</v>
      </c>
      <c r="H11" s="110">
        <f t="shared" si="2"/>
        <v>76.530612244897924</v>
      </c>
      <c r="I11" s="106">
        <f>VLOOKUP(B11,Ordering!$A$1:$J$50,6,FALSE)</f>
        <v>1</v>
      </c>
      <c r="J11" s="111">
        <f>VLOOKUP(B11,Ordering!$A$1:$J$50,10,FALSE)</f>
        <v>0.74</v>
      </c>
      <c r="K11" s="107">
        <f t="shared" si="3"/>
        <v>7.6530612244897919E-2</v>
      </c>
      <c r="L11" s="112">
        <f t="shared" si="4"/>
        <v>5.6632653061224461E-2</v>
      </c>
      <c r="M11" s="72"/>
      <c r="N11" s="22"/>
    </row>
    <row r="12" spans="1:25" ht="14.85" customHeight="1" x14ac:dyDescent="0.25">
      <c r="A12" s="106"/>
      <c r="B12" s="106" t="s">
        <v>76</v>
      </c>
      <c r="C12" s="16" t="s">
        <v>204</v>
      </c>
      <c r="D12" s="107">
        <v>0.20408163265306126</v>
      </c>
      <c r="E12" s="108">
        <f t="shared" si="0"/>
        <v>150</v>
      </c>
      <c r="F12" s="109">
        <v>1</v>
      </c>
      <c r="G12" s="108">
        <f t="shared" si="1"/>
        <v>30.61224489795919</v>
      </c>
      <c r="H12" s="110">
        <f t="shared" si="2"/>
        <v>30.61224489795919</v>
      </c>
      <c r="I12" s="106">
        <f>VLOOKUP(B12,Ordering!$A$1:$J$50,6,FALSE)</f>
        <v>1</v>
      </c>
      <c r="J12" s="111">
        <f>VLOOKUP(B12,Ordering!$A$1:$J$50,10,FALSE)</f>
        <v>31</v>
      </c>
      <c r="K12" s="107">
        <f t="shared" si="3"/>
        <v>3.061224489795919E-2</v>
      </c>
      <c r="L12" s="112">
        <f t="shared" si="4"/>
        <v>0.94897959183673486</v>
      </c>
      <c r="M12" s="72"/>
      <c r="N12" s="22"/>
      <c r="O12" s="22"/>
    </row>
    <row r="13" spans="1:25" ht="14.85" customHeight="1" x14ac:dyDescent="0.25">
      <c r="B13" s="57" t="s">
        <v>189</v>
      </c>
      <c r="C13" s="132" t="s">
        <v>204</v>
      </c>
      <c r="D13" s="127">
        <f>$I$1</f>
        <v>35</v>
      </c>
      <c r="E13" s="133"/>
      <c r="F13" s="133"/>
      <c r="G13" s="134" t="s">
        <v>323</v>
      </c>
      <c r="H13" s="135">
        <f>SUM(H5:H12)</f>
        <v>5250.0000000000018</v>
      </c>
    </row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4:17" ht="14.85" customHeight="1" thickBot="1" x14ac:dyDescent="0.3">
      <c r="P17" s="2" t="s">
        <v>206</v>
      </c>
      <c r="Q17" s="3" t="s">
        <v>207</v>
      </c>
    </row>
    <row r="18" spans="4:17" ht="14.85" customHeight="1" thickBot="1" x14ac:dyDescent="0.3">
      <c r="P18" s="4" t="s">
        <v>208</v>
      </c>
      <c r="Q18" s="5">
        <f>V1</f>
        <v>148</v>
      </c>
    </row>
    <row r="19" spans="4:17" ht="14.85" customHeight="1" thickBot="1" x14ac:dyDescent="0.3">
      <c r="P19" s="4" t="s">
        <v>209</v>
      </c>
      <c r="Q19" s="6">
        <v>2</v>
      </c>
    </row>
    <row r="20" spans="4:17" x14ac:dyDescent="0.25">
      <c r="P20" s="7" t="s">
        <v>210</v>
      </c>
      <c r="Q20" s="8">
        <f>Q18+Q19</f>
        <v>150</v>
      </c>
    </row>
    <row r="21" spans="4:17" x14ac:dyDescent="0.25">
      <c r="P21" s="61" t="s">
        <v>203</v>
      </c>
      <c r="Q21" s="62">
        <f>SUM(L5:L12)</f>
        <v>34.631045883259169</v>
      </c>
    </row>
    <row r="27" spans="4:17" x14ac:dyDescent="0.25">
      <c r="K27" s="20"/>
    </row>
    <row r="28" spans="4:17" x14ac:dyDescent="0.25">
      <c r="D28" s="114"/>
    </row>
    <row r="29" spans="4:17" x14ac:dyDescent="0.25">
      <c r="D29" s="114"/>
    </row>
    <row r="30" spans="4:17" x14ac:dyDescent="0.25">
      <c r="D30" s="114"/>
    </row>
    <row r="31" spans="4:17" x14ac:dyDescent="0.25">
      <c r="D31" s="114"/>
    </row>
    <row r="32" spans="4:17" x14ac:dyDescent="0.25">
      <c r="D32" s="114"/>
    </row>
    <row r="33" spans="4:4" x14ac:dyDescent="0.25">
      <c r="D33" s="114"/>
    </row>
    <row r="34" spans="4:4" x14ac:dyDescent="0.25">
      <c r="D34" s="114"/>
    </row>
    <row r="35" spans="4:4" x14ac:dyDescent="0.25">
      <c r="D35" s="114"/>
    </row>
    <row r="36" spans="4:4" x14ac:dyDescent="0.25">
      <c r="D36" s="114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6F3EF-9140-4350-8FA1-82F4983AD7E2}">
  <sheetPr codeName="Sheet1">
    <tabColor rgb="FF00B050"/>
    <pageSetUpPr fitToPage="1"/>
  </sheetPr>
  <dimension ref="A1:Y27"/>
  <sheetViews>
    <sheetView zoomScale="85" zoomScaleNormal="85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150</v>
      </c>
      <c r="F1" s="17" t="s">
        <v>188</v>
      </c>
      <c r="G1" s="10">
        <f>D1/B1</f>
        <v>150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148</v>
      </c>
    </row>
    <row r="2" spans="1:25" ht="14.25" customHeight="1" x14ac:dyDescent="0.25">
      <c r="A2" s="39"/>
      <c r="B2" s="142" t="s">
        <v>280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38" t="s">
        <v>274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23</v>
      </c>
      <c r="C5" s="16" t="s">
        <v>204</v>
      </c>
      <c r="D5" s="107">
        <v>11.66180758017493</v>
      </c>
      <c r="E5" s="108">
        <f t="shared" ref="E5:E12" si="0">$G$1</f>
        <v>150</v>
      </c>
      <c r="F5" s="109">
        <v>1</v>
      </c>
      <c r="G5" s="108">
        <f t="shared" ref="G5:G12" si="1">E5*D5</f>
        <v>1749.2711370262396</v>
      </c>
      <c r="H5" s="110">
        <f t="shared" ref="H5:H12" si="2">G5*F5</f>
        <v>1749.2711370262396</v>
      </c>
      <c r="I5" s="106">
        <f>VLOOKUP(B5,Ordering!$A$1:$J$50,6,FALSE)</f>
        <v>1</v>
      </c>
      <c r="J5" s="111">
        <f>VLOOKUP(B5,Ordering!$A$1:$J$50,10,FALSE)</f>
        <v>6.6959999999999997</v>
      </c>
      <c r="K5" s="107">
        <f t="shared" ref="K5:K12" si="3">((H5/(I5))/1000)</f>
        <v>1.7492711370262395</v>
      </c>
      <c r="L5" s="112">
        <f t="shared" ref="L5:L12" si="4">J5*K5</f>
        <v>11.713119533527699</v>
      </c>
    </row>
    <row r="6" spans="1:25" ht="14.85" customHeight="1" x14ac:dyDescent="0.25">
      <c r="A6" s="106"/>
      <c r="B6" s="106" t="s">
        <v>42</v>
      </c>
      <c r="C6" s="16" t="s">
        <v>204</v>
      </c>
      <c r="D6" s="107">
        <v>5.8309037900874641</v>
      </c>
      <c r="E6" s="108">
        <f t="shared" si="0"/>
        <v>150</v>
      </c>
      <c r="F6" s="109">
        <v>1</v>
      </c>
      <c r="G6" s="108">
        <f t="shared" si="1"/>
        <v>874.63556851311967</v>
      </c>
      <c r="H6" s="110">
        <f t="shared" si="2"/>
        <v>874.63556851311967</v>
      </c>
      <c r="I6" s="106">
        <f>VLOOKUP(B6,Ordering!$A$1:$J$50,6,FALSE)</f>
        <v>1</v>
      </c>
      <c r="J6" s="111">
        <f>VLOOKUP(B6,Ordering!$A$1:$J$50,10,FALSE)</f>
        <v>6.4189189189189184</v>
      </c>
      <c r="K6" s="107">
        <f t="shared" si="3"/>
        <v>0.87463556851311963</v>
      </c>
      <c r="L6" s="112">
        <f t="shared" si="4"/>
        <v>5.6142147978882671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0.87463556851311952</v>
      </c>
      <c r="E7" s="108">
        <f t="shared" si="0"/>
        <v>150</v>
      </c>
      <c r="F7" s="109">
        <v>1</v>
      </c>
      <c r="G7" s="108">
        <f t="shared" si="1"/>
        <v>131.19533527696794</v>
      </c>
      <c r="H7" s="110">
        <f t="shared" si="2"/>
        <v>131.19533527696794</v>
      </c>
      <c r="I7" s="106">
        <f>VLOOKUP(B7,Ordering!$A$1:$J$50,6,FALSE)</f>
        <v>1</v>
      </c>
      <c r="J7" s="111">
        <f>VLOOKUP(B7,Ordering!$A$1:$J$50,10,FALSE)</f>
        <v>5</v>
      </c>
      <c r="K7" s="107">
        <f t="shared" si="3"/>
        <v>0.13119533527696794</v>
      </c>
      <c r="L7" s="112">
        <f t="shared" si="4"/>
        <v>0.6559766763848397</v>
      </c>
      <c r="R7" s="35"/>
    </row>
    <row r="8" spans="1:25" ht="14.85" customHeight="1" x14ac:dyDescent="0.25">
      <c r="A8" s="106"/>
      <c r="B8" s="106" t="s">
        <v>261</v>
      </c>
      <c r="C8" s="16" t="s">
        <v>204</v>
      </c>
      <c r="D8" s="107">
        <v>0.4081632653061224</v>
      </c>
      <c r="E8" s="108">
        <f t="shared" si="0"/>
        <v>150</v>
      </c>
      <c r="F8" s="109">
        <v>1</v>
      </c>
      <c r="G8" s="108">
        <f t="shared" si="1"/>
        <v>61.224489795918359</v>
      </c>
      <c r="H8" s="110">
        <f t="shared" si="2"/>
        <v>61.224489795918359</v>
      </c>
      <c r="I8" s="106">
        <f>VLOOKUP(B8,Ordering!$A$1:$J$50,6,FALSE)</f>
        <v>1</v>
      </c>
      <c r="J8" s="111">
        <f>VLOOKUP(B8,Ordering!$A$1:$J$50,10,FALSE)</f>
        <v>10.5</v>
      </c>
      <c r="K8" s="107">
        <f t="shared" si="3"/>
        <v>6.1224489795918359E-2</v>
      </c>
      <c r="L8" s="112">
        <f t="shared" si="4"/>
        <v>0.64285714285714279</v>
      </c>
      <c r="V8" s="63" t="s">
        <v>205</v>
      </c>
      <c r="W8" s="64">
        <v>1</v>
      </c>
      <c r="X8" s="63" t="s">
        <v>203</v>
      </c>
      <c r="Y8" s="65">
        <f>(SUM(L5:L12)/Q20)*W8</f>
        <v>0.13192779384098727</v>
      </c>
    </row>
    <row r="9" spans="1:25" ht="14.85" customHeight="1" x14ac:dyDescent="0.25">
      <c r="A9" s="106"/>
      <c r="B9" s="106" t="s">
        <v>137</v>
      </c>
      <c r="C9" s="16" t="s">
        <v>204</v>
      </c>
      <c r="D9" s="107">
        <v>0.4081632653061224</v>
      </c>
      <c r="E9" s="108">
        <f t="shared" si="0"/>
        <v>150</v>
      </c>
      <c r="F9" s="109">
        <v>1</v>
      </c>
      <c r="G9" s="108">
        <f t="shared" si="1"/>
        <v>61.224489795918359</v>
      </c>
      <c r="H9" s="110">
        <f t="shared" si="2"/>
        <v>61.224489795918359</v>
      </c>
      <c r="I9" s="106">
        <f>VLOOKUP(B9,Ordering!$A$1:$J$50,6,FALSE)</f>
        <v>0.71</v>
      </c>
      <c r="J9" s="111">
        <f>VLOOKUP(B9,Ordering!$A$1:$J$50,10,FALSE)</f>
        <v>3</v>
      </c>
      <c r="K9" s="107">
        <f t="shared" si="3"/>
        <v>8.6231675768899091E-2</v>
      </c>
      <c r="L9" s="112">
        <f t="shared" si="4"/>
        <v>0.25869502730669724</v>
      </c>
    </row>
    <row r="10" spans="1:25" ht="14.85" customHeight="1" x14ac:dyDescent="0.25">
      <c r="A10" s="106"/>
      <c r="B10" s="106" t="s">
        <v>269</v>
      </c>
      <c r="C10" s="16" t="s">
        <v>204</v>
      </c>
      <c r="D10" s="107">
        <v>0.4081632653061224</v>
      </c>
      <c r="E10" s="108">
        <f t="shared" si="0"/>
        <v>150</v>
      </c>
      <c r="F10" s="109">
        <v>1</v>
      </c>
      <c r="G10" s="108">
        <f t="shared" si="1"/>
        <v>61.224489795918359</v>
      </c>
      <c r="H10" s="110">
        <f t="shared" si="2"/>
        <v>61.224489795918359</v>
      </c>
      <c r="I10" s="106">
        <f>VLOOKUP(B10,Ordering!$A$1:$J$50,6,FALSE)</f>
        <v>0.65</v>
      </c>
      <c r="J10" s="111">
        <f>VLOOKUP(B10,Ordering!$A$1:$J$50,10,FALSE)</f>
        <v>3.5</v>
      </c>
      <c r="K10" s="107">
        <f t="shared" si="3"/>
        <v>9.4191522762951327E-2</v>
      </c>
      <c r="L10" s="112">
        <f t="shared" si="4"/>
        <v>0.32967032967032966</v>
      </c>
    </row>
    <row r="11" spans="1:25" ht="14.85" customHeight="1" x14ac:dyDescent="0.25">
      <c r="A11" s="106"/>
      <c r="B11" s="106" t="s">
        <v>88</v>
      </c>
      <c r="C11" s="16" t="s">
        <v>204</v>
      </c>
      <c r="D11" s="107">
        <v>0.29154518950437308</v>
      </c>
      <c r="E11" s="108">
        <f t="shared" si="0"/>
        <v>150</v>
      </c>
      <c r="F11" s="109">
        <v>1</v>
      </c>
      <c r="G11" s="108">
        <f t="shared" si="1"/>
        <v>43.731778425655961</v>
      </c>
      <c r="H11" s="110">
        <f t="shared" si="2"/>
        <v>43.731778425655961</v>
      </c>
      <c r="I11" s="106">
        <f>VLOOKUP(B11,Ordering!$A$1:$J$50,6,FALSE)</f>
        <v>1</v>
      </c>
      <c r="J11" s="111">
        <f>VLOOKUP(B11,Ordering!$A$1:$J$50,10,FALSE)</f>
        <v>0.74</v>
      </c>
      <c r="K11" s="107">
        <f t="shared" si="3"/>
        <v>4.3731778425655961E-2</v>
      </c>
      <c r="L11" s="112">
        <f t="shared" si="4"/>
        <v>3.236151603498541E-2</v>
      </c>
      <c r="M11" s="72"/>
      <c r="N11" s="22"/>
    </row>
    <row r="12" spans="1:25" ht="14.85" customHeight="1" x14ac:dyDescent="0.25">
      <c r="A12" s="106"/>
      <c r="B12" s="106" t="s">
        <v>76</v>
      </c>
      <c r="C12" s="16" t="s">
        <v>204</v>
      </c>
      <c r="D12" s="107">
        <v>0.11661807580174929</v>
      </c>
      <c r="E12" s="108">
        <f t="shared" si="0"/>
        <v>150</v>
      </c>
      <c r="F12" s="109">
        <v>1</v>
      </c>
      <c r="G12" s="108">
        <f t="shared" si="1"/>
        <v>17.492711370262395</v>
      </c>
      <c r="H12" s="110">
        <f t="shared" si="2"/>
        <v>17.492711370262395</v>
      </c>
      <c r="I12" s="106">
        <f>VLOOKUP(B12,Ordering!$A$1:$J$50,6,FALSE)</f>
        <v>1</v>
      </c>
      <c r="J12" s="111">
        <f>VLOOKUP(B12,Ordering!$A$1:$J$50,10,FALSE)</f>
        <v>31</v>
      </c>
      <c r="K12" s="107">
        <f t="shared" si="3"/>
        <v>1.7492711370262395E-2</v>
      </c>
      <c r="L12" s="112">
        <f t="shared" si="4"/>
        <v>0.54227405247813421</v>
      </c>
      <c r="M12" s="72"/>
      <c r="N12" s="22"/>
      <c r="O12" s="22"/>
    </row>
    <row r="13" spans="1:25" ht="14.85" customHeight="1" x14ac:dyDescent="0.25">
      <c r="B13" s="57" t="s">
        <v>189</v>
      </c>
      <c r="C13" s="132" t="s">
        <v>204</v>
      </c>
      <c r="D13" s="127">
        <f>$I$1</f>
        <v>20</v>
      </c>
      <c r="E13" s="133"/>
      <c r="F13" s="133"/>
      <c r="G13" s="134" t="s">
        <v>323</v>
      </c>
      <c r="H13" s="135">
        <f>SUM(H5:H12)</f>
        <v>3000.0000000000014</v>
      </c>
    </row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148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150</v>
      </c>
    </row>
    <row r="21" spans="11:17" x14ac:dyDescent="0.25">
      <c r="P21" s="61" t="s">
        <v>203</v>
      </c>
      <c r="Q21" s="62">
        <f>SUM(L5:L12)</f>
        <v>19.789169076148092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>
    <tabColor theme="8" tint="-0.249977111117893"/>
    <pageSetUpPr fitToPage="1"/>
  </sheetPr>
  <dimension ref="A1:V27"/>
  <sheetViews>
    <sheetView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185</v>
      </c>
      <c r="F1" s="17" t="s">
        <v>188</v>
      </c>
      <c r="G1" s="10">
        <f>D1/B1</f>
        <v>185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183</v>
      </c>
    </row>
    <row r="2" spans="1:22" ht="14.25" customHeight="1" x14ac:dyDescent="0.25">
      <c r="A2" s="37"/>
      <c r="B2" s="150" t="s">
        <v>226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227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23</v>
      </c>
      <c r="C5" s="16" t="s">
        <v>204</v>
      </c>
      <c r="D5" s="15">
        <v>20</v>
      </c>
      <c r="E5" s="12">
        <f>$G$1</f>
        <v>185</v>
      </c>
      <c r="F5" s="13">
        <v>1</v>
      </c>
      <c r="G5" s="12">
        <f t="shared" ref="G5:G10" si="0">E5*D5</f>
        <v>3700</v>
      </c>
      <c r="H5" s="56">
        <f t="shared" ref="H5:H10" si="1">G5*F5</f>
        <v>3700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2">((H5/(I5))/1000)</f>
        <v>3.7</v>
      </c>
      <c r="L5" s="59">
        <f t="shared" ref="L5:L10" si="3">J5*K5</f>
        <v>24.775200000000002</v>
      </c>
    </row>
    <row r="6" spans="1:22" ht="14.85" customHeight="1" x14ac:dyDescent="0.25">
      <c r="A6" s="11"/>
      <c r="B6" s="11" t="s">
        <v>141</v>
      </c>
      <c r="C6" s="16" t="s">
        <v>204</v>
      </c>
      <c r="D6" s="15">
        <v>5.4</v>
      </c>
      <c r="E6" s="12">
        <f t="shared" ref="E6:E10" si="4">$G$1</f>
        <v>185</v>
      </c>
      <c r="F6" s="13">
        <v>1</v>
      </c>
      <c r="G6" s="12">
        <f t="shared" si="0"/>
        <v>999.00000000000011</v>
      </c>
      <c r="H6" s="56">
        <f t="shared" si="1"/>
        <v>999.00000000000011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2"/>
        <v>1.24875</v>
      </c>
      <c r="L6" s="59">
        <f t="shared" si="3"/>
        <v>3.7462499999999999</v>
      </c>
    </row>
    <row r="7" spans="1:22" ht="14.85" customHeight="1" x14ac:dyDescent="0.25">
      <c r="A7" s="11"/>
      <c r="B7" s="11" t="s">
        <v>80</v>
      </c>
      <c r="C7" s="16" t="s">
        <v>204</v>
      </c>
      <c r="D7" s="15">
        <v>0.05</v>
      </c>
      <c r="E7" s="12">
        <f t="shared" si="4"/>
        <v>185</v>
      </c>
      <c r="F7" s="13">
        <v>1</v>
      </c>
      <c r="G7" s="12">
        <f t="shared" si="0"/>
        <v>9.25</v>
      </c>
      <c r="H7" s="56">
        <f t="shared" si="1"/>
        <v>9.25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2"/>
        <v>9.2499999999999995E-3</v>
      </c>
      <c r="L7" s="59">
        <f t="shared" si="3"/>
        <v>7.3999999999999996E-2</v>
      </c>
      <c r="R7" s="35"/>
    </row>
    <row r="8" spans="1:22" ht="14.85" customHeight="1" x14ac:dyDescent="0.25">
      <c r="A8" s="11"/>
      <c r="B8" s="11" t="s">
        <v>119</v>
      </c>
      <c r="C8" s="16" t="s">
        <v>204</v>
      </c>
      <c r="D8" s="15">
        <v>0.02</v>
      </c>
      <c r="E8" s="12">
        <f t="shared" si="4"/>
        <v>185</v>
      </c>
      <c r="F8" s="13">
        <v>1</v>
      </c>
      <c r="G8" s="12">
        <f t="shared" si="0"/>
        <v>3.7</v>
      </c>
      <c r="H8" s="56">
        <f t="shared" si="1"/>
        <v>3.7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2"/>
        <v>3.7000000000000002E-3</v>
      </c>
      <c r="L8" s="59">
        <f t="shared" si="3"/>
        <v>7.400000000000001E-2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4"/>
        <v>185</v>
      </c>
      <c r="F9" s="13">
        <v>1</v>
      </c>
      <c r="G9" s="12">
        <f t="shared" si="0"/>
        <v>1748.2499999999998</v>
      </c>
      <c r="H9" s="56">
        <f t="shared" si="1"/>
        <v>1748.2499999999998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2"/>
        <v>1.7482499999999999</v>
      </c>
      <c r="L9" s="59">
        <f t="shared" si="3"/>
        <v>0</v>
      </c>
    </row>
    <row r="10" spans="1:22" ht="14.85" customHeight="1" x14ac:dyDescent="0.25">
      <c r="A10" s="11"/>
      <c r="B10" s="11" t="s">
        <v>88</v>
      </c>
      <c r="C10" s="16" t="s">
        <v>204</v>
      </c>
      <c r="D10" s="15">
        <v>0.08</v>
      </c>
      <c r="E10" s="12">
        <f t="shared" si="4"/>
        <v>185</v>
      </c>
      <c r="F10" s="13">
        <v>1</v>
      </c>
      <c r="G10" s="12">
        <f t="shared" si="0"/>
        <v>14.8</v>
      </c>
      <c r="H10" s="56">
        <f t="shared" si="1"/>
        <v>14.8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2"/>
        <v>1.4800000000000001E-2</v>
      </c>
      <c r="L10" s="59">
        <f t="shared" si="3"/>
        <v>1.0952E-2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6475</v>
      </c>
      <c r="M11" s="72"/>
      <c r="N11" s="22"/>
    </row>
    <row r="12" spans="1:22" ht="14.85" customHeight="1" x14ac:dyDescent="0.25">
      <c r="M12" s="72"/>
      <c r="N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183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185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8" tint="-0.249977111117893"/>
    <pageSetUpPr fitToPage="1"/>
  </sheetPr>
  <dimension ref="A1:V27"/>
  <sheetViews>
    <sheetView topLeftCell="B1"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3.5703125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185</v>
      </c>
      <c r="F1" s="17" t="s">
        <v>188</v>
      </c>
      <c r="G1" s="10">
        <f>D1/B1</f>
        <v>185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183</v>
      </c>
    </row>
    <row r="2" spans="1:22" ht="14.25" customHeight="1" x14ac:dyDescent="0.25">
      <c r="A2" s="41"/>
      <c r="B2" s="152" t="s">
        <v>216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49" t="s">
        <v>227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148</v>
      </c>
      <c r="C5" s="16" t="s">
        <v>204</v>
      </c>
      <c r="D5" s="15">
        <v>33.700000000000003</v>
      </c>
      <c r="E5" s="12">
        <f t="shared" ref="E5:E10" si="0">$G$1</f>
        <v>185</v>
      </c>
      <c r="F5" s="13">
        <v>1</v>
      </c>
      <c r="G5" s="12">
        <f t="shared" ref="G5:G10" si="1">E5*D5</f>
        <v>6234.5000000000009</v>
      </c>
      <c r="H5" s="56">
        <f t="shared" ref="H5:H10" si="2">G5*F5</f>
        <v>6234.5000000000009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6361.7346938775518</v>
      </c>
      <c r="L5" s="59">
        <f t="shared" ref="L5:L10" si="4">J5*K5</f>
        <v>22266.071428571431</v>
      </c>
    </row>
    <row r="6" spans="1:22" ht="14.85" customHeight="1" x14ac:dyDescent="0.25">
      <c r="A6" s="11"/>
      <c r="B6" s="11" t="s">
        <v>145</v>
      </c>
      <c r="C6" s="16" t="s">
        <v>204</v>
      </c>
      <c r="D6" s="15">
        <v>0.24</v>
      </c>
      <c r="E6" s="12">
        <f t="shared" si="0"/>
        <v>185</v>
      </c>
      <c r="F6" s="13">
        <v>1</v>
      </c>
      <c r="G6" s="12">
        <f t="shared" si="1"/>
        <v>44.4</v>
      </c>
      <c r="H6" s="56">
        <f t="shared" si="2"/>
        <v>44.4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46.25</v>
      </c>
      <c r="L6" s="59">
        <f t="shared" si="4"/>
        <v>185</v>
      </c>
    </row>
    <row r="7" spans="1:22" ht="14.85" customHeight="1" x14ac:dyDescent="0.25">
      <c r="A7" s="11"/>
      <c r="B7" s="11" t="s">
        <v>132</v>
      </c>
      <c r="C7" s="16" t="s">
        <v>204</v>
      </c>
      <c r="D7" s="15">
        <v>0.2</v>
      </c>
      <c r="E7" s="12">
        <f t="shared" si="0"/>
        <v>185</v>
      </c>
      <c r="F7" s="13">
        <v>1</v>
      </c>
      <c r="G7" s="12">
        <f t="shared" si="1"/>
        <v>37</v>
      </c>
      <c r="H7" s="56">
        <f t="shared" si="2"/>
        <v>37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39.361702127659576</v>
      </c>
      <c r="L7" s="59">
        <f t="shared" si="4"/>
        <v>143.13346228239848</v>
      </c>
      <c r="R7" s="35"/>
    </row>
    <row r="8" spans="1:22" ht="14.85" customHeight="1" x14ac:dyDescent="0.25">
      <c r="A8" s="11"/>
      <c r="B8" s="11" t="s">
        <v>97</v>
      </c>
      <c r="C8" s="16" t="s">
        <v>204</v>
      </c>
      <c r="D8" s="24">
        <v>3.0000000000000001E-3</v>
      </c>
      <c r="E8" s="12">
        <f t="shared" si="0"/>
        <v>185</v>
      </c>
      <c r="F8" s="13">
        <v>1</v>
      </c>
      <c r="G8" s="12">
        <f t="shared" si="1"/>
        <v>0.55500000000000005</v>
      </c>
      <c r="H8" s="56">
        <f t="shared" si="2"/>
        <v>0.55500000000000005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0.55500000000000005</v>
      </c>
      <c r="L8" s="59">
        <f t="shared" si="4"/>
        <v>19.425000000000001</v>
      </c>
    </row>
    <row r="9" spans="1:22" ht="14.85" customHeight="1" x14ac:dyDescent="0.25">
      <c r="A9" s="11"/>
      <c r="B9" s="11" t="s">
        <v>88</v>
      </c>
      <c r="C9" s="16" t="s">
        <v>204</v>
      </c>
      <c r="D9" s="15">
        <v>0.12</v>
      </c>
      <c r="E9" s="12">
        <f t="shared" si="0"/>
        <v>185</v>
      </c>
      <c r="F9" s="13">
        <v>1</v>
      </c>
      <c r="G9" s="12">
        <f t="shared" si="1"/>
        <v>22.2</v>
      </c>
      <c r="H9" s="56">
        <f t="shared" si="2"/>
        <v>22.2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22.2</v>
      </c>
      <c r="L9" s="59">
        <f t="shared" si="4"/>
        <v>16.428000000000001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185</v>
      </c>
      <c r="F10" s="13">
        <v>1</v>
      </c>
      <c r="G10" s="12">
        <f t="shared" si="1"/>
        <v>138.75</v>
      </c>
      <c r="H10" s="56">
        <f t="shared" si="2"/>
        <v>138.75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138.75</v>
      </c>
      <c r="L10" s="59">
        <f t="shared" si="4"/>
        <v>0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6477.4050000000007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183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185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53">
    <tabColor theme="8" tint="-0.249977111117893"/>
    <pageSetUpPr fitToPage="1"/>
  </sheetPr>
  <dimension ref="A1:Y27"/>
  <sheetViews>
    <sheetView zoomScale="70" zoomScaleNormal="7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175</v>
      </c>
      <c r="F1" s="17" t="s">
        <v>188</v>
      </c>
      <c r="G1" s="10">
        <f>D1/B1</f>
        <v>175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173</v>
      </c>
    </row>
    <row r="2" spans="1:25" ht="14.25" customHeight="1" x14ac:dyDescent="0.25">
      <c r="A2" s="39"/>
      <c r="B2" s="152" t="s">
        <v>286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4" t="s">
        <v>252</v>
      </c>
      <c r="C3" s="154"/>
      <c r="D3" s="154"/>
      <c r="E3" s="154"/>
      <c r="F3" s="154"/>
      <c r="G3" s="154"/>
      <c r="H3" s="154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21.649484536082483</v>
      </c>
      <c r="E5" s="108">
        <f t="shared" ref="E5:E10" si="0">$G$1</f>
        <v>175</v>
      </c>
      <c r="F5" s="109">
        <v>1</v>
      </c>
      <c r="G5" s="108">
        <f t="shared" ref="G5:G10" si="1">E5*D5</f>
        <v>3788.6597938144346</v>
      </c>
      <c r="H5" s="110">
        <f t="shared" ref="H5:H10" si="2">G5*F5</f>
        <v>3788.6597938144346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0" si="3">((H5/(I5))/1000)</f>
        <v>3.7886597938144346</v>
      </c>
      <c r="L5" s="112">
        <f t="shared" ref="L5:L10" si="4">J5*K5</f>
        <v>24.319100027862923</v>
      </c>
    </row>
    <row r="6" spans="1:25" ht="14.85" customHeight="1" x14ac:dyDescent="0.25">
      <c r="A6" s="106"/>
      <c r="B6" s="106" t="s">
        <v>61</v>
      </c>
      <c r="C6" s="16" t="s">
        <v>36</v>
      </c>
      <c r="D6" s="107">
        <v>7.216494845360824</v>
      </c>
      <c r="E6" s="108">
        <f t="shared" si="0"/>
        <v>175</v>
      </c>
      <c r="F6" s="109">
        <v>1</v>
      </c>
      <c r="G6" s="108">
        <f t="shared" si="1"/>
        <v>1262.8865979381442</v>
      </c>
      <c r="H6" s="110">
        <f t="shared" si="2"/>
        <v>1262.8865979381442</v>
      </c>
      <c r="I6" s="106">
        <f>VLOOKUP(B6,Ordering!$A$1:$J$45,6,FALSE)</f>
        <v>1</v>
      </c>
      <c r="J6" s="111">
        <f>VLOOKUP(B6,Ordering!$A$1:$J$45,10,FALSE)</f>
        <v>3.25</v>
      </c>
      <c r="K6" s="107">
        <f t="shared" si="3"/>
        <v>1.2628865979381443</v>
      </c>
      <c r="L6" s="112">
        <f t="shared" si="4"/>
        <v>4.1043814432989691</v>
      </c>
    </row>
    <row r="7" spans="1:25" ht="14.85" customHeight="1" x14ac:dyDescent="0.25">
      <c r="A7" s="106"/>
      <c r="B7" s="106" t="s">
        <v>46</v>
      </c>
      <c r="C7" s="16" t="s">
        <v>204</v>
      </c>
      <c r="D7" s="107">
        <v>2.8865979381443294</v>
      </c>
      <c r="E7" s="108">
        <f t="shared" si="0"/>
        <v>175</v>
      </c>
      <c r="F7" s="109">
        <v>1</v>
      </c>
      <c r="G7" s="108">
        <f t="shared" si="1"/>
        <v>505.15463917525767</v>
      </c>
      <c r="H7" s="110">
        <f t="shared" si="2"/>
        <v>505.15463917525767</v>
      </c>
      <c r="I7" s="106">
        <f>VLOOKUP(B7,Ordering!$A$1:$J$45,6,FALSE)</f>
        <v>1</v>
      </c>
      <c r="J7" s="111">
        <f>VLOOKUP(B7,Ordering!$A$1:$J$45,10,FALSE)</f>
        <v>11.243386243386244</v>
      </c>
      <c r="K7" s="107">
        <f t="shared" si="3"/>
        <v>0.50515463917525771</v>
      </c>
      <c r="L7" s="112">
        <f t="shared" si="4"/>
        <v>5.6796487208858339</v>
      </c>
      <c r="R7" s="35"/>
    </row>
    <row r="8" spans="1:25" ht="14.85" customHeight="1" x14ac:dyDescent="0.25">
      <c r="A8" s="106"/>
      <c r="B8" s="106" t="s">
        <v>259</v>
      </c>
      <c r="C8" s="16" t="s">
        <v>204</v>
      </c>
      <c r="D8" s="107">
        <v>1.0824742268041239</v>
      </c>
      <c r="E8" s="108">
        <f t="shared" si="0"/>
        <v>175</v>
      </c>
      <c r="F8" s="109">
        <v>1</v>
      </c>
      <c r="G8" s="108">
        <f t="shared" si="1"/>
        <v>189.43298969072168</v>
      </c>
      <c r="H8" s="110">
        <f t="shared" si="2"/>
        <v>189.43298969072168</v>
      </c>
      <c r="I8" s="106">
        <f>VLOOKUP(B8,Ordering!$A$1:$J$45,6,FALSE)</f>
        <v>1</v>
      </c>
      <c r="J8" s="111">
        <f>VLOOKUP(B8,Ordering!$A$1:$J$45,10,FALSE)</f>
        <v>35.310734463276837</v>
      </c>
      <c r="K8" s="107">
        <f t="shared" si="3"/>
        <v>0.18943298969072167</v>
      </c>
      <c r="L8" s="112">
        <f t="shared" si="4"/>
        <v>6.6890179975537318</v>
      </c>
      <c r="V8" s="63" t="s">
        <v>205</v>
      </c>
      <c r="W8" s="64">
        <v>1</v>
      </c>
      <c r="X8" s="63" t="s">
        <v>203</v>
      </c>
      <c r="Y8" s="65">
        <f>(SUM(L5:L10)/Q20)*W8</f>
        <v>0.25691242264455622</v>
      </c>
    </row>
    <row r="9" spans="1:25" ht="14.85" customHeight="1" x14ac:dyDescent="0.25">
      <c r="A9" s="106"/>
      <c r="B9" s="106" t="s">
        <v>257</v>
      </c>
      <c r="C9" s="16" t="s">
        <v>204</v>
      </c>
      <c r="D9" s="107">
        <v>1.0824742268041239</v>
      </c>
      <c r="E9" s="108">
        <f t="shared" si="0"/>
        <v>175</v>
      </c>
      <c r="F9" s="109">
        <v>1</v>
      </c>
      <c r="G9" s="108">
        <f t="shared" si="1"/>
        <v>189.43298969072168</v>
      </c>
      <c r="H9" s="110">
        <f t="shared" si="2"/>
        <v>189.43298969072168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0.18943298969072167</v>
      </c>
      <c r="L9" s="112">
        <f t="shared" si="4"/>
        <v>1.8943298969072166</v>
      </c>
    </row>
    <row r="10" spans="1:25" ht="14.85" customHeight="1" x14ac:dyDescent="0.25">
      <c r="A10" s="106"/>
      <c r="B10" s="106" t="s">
        <v>258</v>
      </c>
      <c r="C10" s="16" t="s">
        <v>204</v>
      </c>
      <c r="D10" s="107">
        <v>1.0824742268041239</v>
      </c>
      <c r="E10" s="108">
        <f t="shared" si="0"/>
        <v>175</v>
      </c>
      <c r="F10" s="109">
        <v>1</v>
      </c>
      <c r="G10" s="108">
        <f t="shared" si="1"/>
        <v>189.43298969072168</v>
      </c>
      <c r="H10" s="110">
        <f t="shared" si="2"/>
        <v>189.43298969072168</v>
      </c>
      <c r="I10" s="106">
        <f>VLOOKUP(B10,Ordering!$A$1:$J$45,6,FALSE)</f>
        <v>1</v>
      </c>
      <c r="J10" s="111">
        <f>VLOOKUP(B10,Ordering!$A$1:$J$45,10,FALSE)</f>
        <v>12</v>
      </c>
      <c r="K10" s="107">
        <f t="shared" si="3"/>
        <v>0.18943298969072167</v>
      </c>
      <c r="L10" s="112">
        <f t="shared" si="4"/>
        <v>2.2731958762886602</v>
      </c>
    </row>
    <row r="11" spans="1:25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6125.0000000000018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173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175</v>
      </c>
    </row>
    <row r="21" spans="11:17" x14ac:dyDescent="0.25">
      <c r="P21" s="61" t="s">
        <v>203</v>
      </c>
      <c r="Q21" s="62">
        <f>SUM(L5:L10)</f>
        <v>44.959673962797339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B7A2-7059-4109-821C-64AF44AABC05}">
  <sheetPr codeName="Sheet4">
    <tabColor theme="8" tint="-0.249977111117893"/>
    <pageSetUpPr fitToPage="1"/>
  </sheetPr>
  <dimension ref="A1:Y27"/>
  <sheetViews>
    <sheetView topLeftCell="B1" zoomScale="85" zoomScaleNormal="85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175</v>
      </c>
      <c r="F1" s="17" t="s">
        <v>188</v>
      </c>
      <c r="G1" s="10">
        <f>D1/B1</f>
        <v>175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173</v>
      </c>
    </row>
    <row r="2" spans="1:25" ht="14.25" customHeight="1" x14ac:dyDescent="0.25">
      <c r="A2" s="39"/>
      <c r="B2" s="152" t="s">
        <v>285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252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12.371134020618561</v>
      </c>
      <c r="E5" s="108">
        <f t="shared" ref="E5:E10" si="0">$G$1</f>
        <v>175</v>
      </c>
      <c r="F5" s="109">
        <v>1</v>
      </c>
      <c r="G5" s="108">
        <f t="shared" ref="G5:G10" si="1">E5*D5</f>
        <v>2164.9484536082482</v>
      </c>
      <c r="H5" s="110">
        <f t="shared" ref="H5:H10" si="2">G5*F5</f>
        <v>2164.9484536082482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0" si="3">((H5/(I5))/1000)</f>
        <v>2.1649484536082482</v>
      </c>
      <c r="L5" s="112">
        <f t="shared" ref="L5:L10" si="4">J5*K5</f>
        <v>13.896628587350241</v>
      </c>
    </row>
    <row r="6" spans="1:25" ht="14.85" customHeight="1" x14ac:dyDescent="0.25">
      <c r="A6" s="106"/>
      <c r="B6" s="106" t="s">
        <v>61</v>
      </c>
      <c r="C6" s="16" t="s">
        <v>36</v>
      </c>
      <c r="D6" s="107">
        <v>4.1237113402061851</v>
      </c>
      <c r="E6" s="108">
        <f t="shared" si="0"/>
        <v>175</v>
      </c>
      <c r="F6" s="109">
        <v>1</v>
      </c>
      <c r="G6" s="108">
        <f t="shared" si="1"/>
        <v>721.64948453608235</v>
      </c>
      <c r="H6" s="110">
        <f t="shared" si="2"/>
        <v>721.64948453608235</v>
      </c>
      <c r="I6" s="106">
        <f>VLOOKUP(B6,Ordering!$A$1:$J$45,6,FALSE)</f>
        <v>1</v>
      </c>
      <c r="J6" s="111">
        <f>VLOOKUP(B6,Ordering!$A$1:$J$45,10,FALSE)</f>
        <v>3.25</v>
      </c>
      <c r="K6" s="107">
        <f t="shared" si="3"/>
        <v>0.72164948453608235</v>
      </c>
      <c r="L6" s="112">
        <f t="shared" si="4"/>
        <v>2.3453608247422677</v>
      </c>
    </row>
    <row r="7" spans="1:25" ht="14.85" customHeight="1" x14ac:dyDescent="0.25">
      <c r="A7" s="106"/>
      <c r="B7" s="106" t="s">
        <v>46</v>
      </c>
      <c r="C7" s="16" t="s">
        <v>204</v>
      </c>
      <c r="D7" s="107">
        <v>1.6494845360824739</v>
      </c>
      <c r="E7" s="108">
        <f t="shared" si="0"/>
        <v>175</v>
      </c>
      <c r="F7" s="109">
        <v>1</v>
      </c>
      <c r="G7" s="108">
        <f t="shared" si="1"/>
        <v>288.65979381443293</v>
      </c>
      <c r="H7" s="110">
        <f t="shared" si="2"/>
        <v>288.65979381443293</v>
      </c>
      <c r="I7" s="106">
        <f>VLOOKUP(B7,Ordering!$A$1:$J$45,6,FALSE)</f>
        <v>1</v>
      </c>
      <c r="J7" s="111">
        <f>VLOOKUP(B7,Ordering!$A$1:$J$45,10,FALSE)</f>
        <v>11.243386243386244</v>
      </c>
      <c r="K7" s="107">
        <f t="shared" si="3"/>
        <v>0.28865979381443291</v>
      </c>
      <c r="L7" s="112">
        <f t="shared" si="4"/>
        <v>3.2455135547919043</v>
      </c>
      <c r="R7" s="35"/>
    </row>
    <row r="8" spans="1:25" ht="14.85" customHeight="1" x14ac:dyDescent="0.25">
      <c r="A8" s="106"/>
      <c r="B8" s="106" t="s">
        <v>259</v>
      </c>
      <c r="C8" s="16" t="s">
        <v>204</v>
      </c>
      <c r="D8" s="107">
        <v>0.61855670103092786</v>
      </c>
      <c r="E8" s="108">
        <f t="shared" si="0"/>
        <v>175</v>
      </c>
      <c r="F8" s="109">
        <v>1</v>
      </c>
      <c r="G8" s="108">
        <f t="shared" si="1"/>
        <v>108.24742268041237</v>
      </c>
      <c r="H8" s="110">
        <f t="shared" si="2"/>
        <v>108.24742268041237</v>
      </c>
      <c r="I8" s="106">
        <f>VLOOKUP(B8,Ordering!$A$1:$J$45,6,FALSE)</f>
        <v>1</v>
      </c>
      <c r="J8" s="111">
        <f>VLOOKUP(B8,Ordering!$A$1:$J$45,10,FALSE)</f>
        <v>35.310734463276837</v>
      </c>
      <c r="K8" s="107">
        <f t="shared" si="3"/>
        <v>0.10824742268041238</v>
      </c>
      <c r="L8" s="112">
        <f t="shared" si="4"/>
        <v>3.8222959986021321</v>
      </c>
      <c r="V8" s="63" t="s">
        <v>205</v>
      </c>
      <c r="W8" s="64">
        <v>1</v>
      </c>
      <c r="X8" s="63" t="s">
        <v>203</v>
      </c>
      <c r="Y8" s="65">
        <f>(SUM(L5:L10)/Q20)*W8</f>
        <v>0.1468070986540321</v>
      </c>
    </row>
    <row r="9" spans="1:25" ht="14.85" customHeight="1" x14ac:dyDescent="0.25">
      <c r="A9" s="106"/>
      <c r="B9" s="106" t="s">
        <v>257</v>
      </c>
      <c r="C9" s="16" t="s">
        <v>204</v>
      </c>
      <c r="D9" s="107">
        <v>0.61855670103092786</v>
      </c>
      <c r="E9" s="108">
        <f t="shared" si="0"/>
        <v>175</v>
      </c>
      <c r="F9" s="109">
        <v>1</v>
      </c>
      <c r="G9" s="108">
        <f t="shared" si="1"/>
        <v>108.24742268041237</v>
      </c>
      <c r="H9" s="110">
        <f t="shared" si="2"/>
        <v>108.24742268041237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0.10824742268041238</v>
      </c>
      <c r="L9" s="112">
        <f t="shared" si="4"/>
        <v>1.0824742268041239</v>
      </c>
    </row>
    <row r="10" spans="1:25" ht="14.85" customHeight="1" x14ac:dyDescent="0.25">
      <c r="A10" s="106"/>
      <c r="B10" s="106" t="s">
        <v>258</v>
      </c>
      <c r="C10" s="16" t="s">
        <v>204</v>
      </c>
      <c r="D10" s="107">
        <v>0.61855670103092786</v>
      </c>
      <c r="E10" s="108">
        <f t="shared" si="0"/>
        <v>175</v>
      </c>
      <c r="F10" s="109">
        <v>1</v>
      </c>
      <c r="G10" s="108">
        <f t="shared" si="1"/>
        <v>108.24742268041237</v>
      </c>
      <c r="H10" s="110">
        <f t="shared" si="2"/>
        <v>108.24742268041237</v>
      </c>
      <c r="I10" s="106">
        <f>VLOOKUP(B10,Ordering!$A$1:$J$45,6,FALSE)</f>
        <v>1</v>
      </c>
      <c r="J10" s="111">
        <f>VLOOKUP(B10,Ordering!$A$1:$J$45,10,FALSE)</f>
        <v>12</v>
      </c>
      <c r="K10" s="107">
        <f t="shared" si="3"/>
        <v>0.10824742268041238</v>
      </c>
      <c r="L10" s="112">
        <f t="shared" si="4"/>
        <v>1.2989690721649485</v>
      </c>
    </row>
    <row r="11" spans="1:25" x14ac:dyDescent="0.25">
      <c r="B11" s="57" t="s">
        <v>189</v>
      </c>
      <c r="C11" s="132" t="s">
        <v>204</v>
      </c>
      <c r="D11" s="127">
        <f>$I$1</f>
        <v>20</v>
      </c>
      <c r="E11" s="133"/>
      <c r="F11" s="133"/>
      <c r="G11" s="134" t="s">
        <v>323</v>
      </c>
      <c r="H11" s="135">
        <f>SUM(H5:H10)</f>
        <v>3500.0000000000005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173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175</v>
      </c>
    </row>
    <row r="21" spans="11:17" x14ac:dyDescent="0.25">
      <c r="P21" s="61" t="s">
        <v>203</v>
      </c>
      <c r="Q21" s="62">
        <f>SUM(L5:L10)</f>
        <v>25.691242264455617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4">
    <tabColor theme="8" tint="-0.249977111117893"/>
    <pageSetUpPr fitToPage="1"/>
  </sheetPr>
  <dimension ref="A1:Y27"/>
  <sheetViews>
    <sheetView topLeftCell="B1" zoomScale="70" zoomScaleNormal="7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145</v>
      </c>
      <c r="F1" s="17" t="s">
        <v>188</v>
      </c>
      <c r="G1" s="10">
        <f>D1/B1</f>
        <v>145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143</v>
      </c>
    </row>
    <row r="2" spans="1:25" ht="14.25" customHeight="1" x14ac:dyDescent="0.25">
      <c r="A2" s="39"/>
      <c r="B2" s="152" t="s">
        <v>278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255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22.151898734177223</v>
      </c>
      <c r="E5" s="108">
        <f>$G$1</f>
        <v>145</v>
      </c>
      <c r="F5" s="109">
        <v>1</v>
      </c>
      <c r="G5" s="108">
        <f>E5*D5</f>
        <v>3212.0253164556975</v>
      </c>
      <c r="H5" s="110">
        <f>G5*F5</f>
        <v>3212.0253164556975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3.2120253164556973</v>
      </c>
      <c r="L5" s="112">
        <f>J5*K5</f>
        <v>20.617730071844001</v>
      </c>
    </row>
    <row r="6" spans="1:25" ht="14.85" customHeight="1" x14ac:dyDescent="0.25">
      <c r="A6" s="106"/>
      <c r="B6" s="106" t="s">
        <v>46</v>
      </c>
      <c r="C6" s="16" t="s">
        <v>204</v>
      </c>
      <c r="D6" s="107">
        <v>7.0886075949367093</v>
      </c>
      <c r="E6" s="108">
        <f>$G$1</f>
        <v>145</v>
      </c>
      <c r="F6" s="109">
        <v>1</v>
      </c>
      <c r="G6" s="108">
        <f>E6*D6</f>
        <v>1027.8481012658228</v>
      </c>
      <c r="H6" s="110">
        <f>G6*F6</f>
        <v>1027.8481012658228</v>
      </c>
      <c r="I6" s="106">
        <f>VLOOKUP(B6,Ordering!$A$1:$J$45,6,FALSE)</f>
        <v>1</v>
      </c>
      <c r="J6" s="111">
        <f>VLOOKUP(B6,Ordering!$A$1:$J$45,10,FALSE)</f>
        <v>11.243386243386244</v>
      </c>
      <c r="K6" s="107">
        <f>((H6/(I6))/1000)</f>
        <v>1.0278481012658229</v>
      </c>
      <c r="L6" s="112">
        <f>J6*K6</f>
        <v>11.556493202062825</v>
      </c>
    </row>
    <row r="7" spans="1:25" ht="14.85" customHeight="1" x14ac:dyDescent="0.25">
      <c r="A7" s="106"/>
      <c r="B7" s="106" t="s">
        <v>263</v>
      </c>
      <c r="C7" s="16" t="s">
        <v>204</v>
      </c>
      <c r="D7" s="107">
        <v>4.4303797468354427</v>
      </c>
      <c r="E7" s="108">
        <f>$G$1</f>
        <v>145</v>
      </c>
      <c r="F7" s="109">
        <v>1</v>
      </c>
      <c r="G7" s="108">
        <f>E7*D7</f>
        <v>642.40506329113919</v>
      </c>
      <c r="H7" s="110">
        <f>G7*F7</f>
        <v>642.40506329113919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0.64240506329113922</v>
      </c>
      <c r="L7" s="112">
        <f>J7*K7</f>
        <v>10.920886075949367</v>
      </c>
      <c r="R7" s="35"/>
    </row>
    <row r="8" spans="1:25" ht="14.85" customHeight="1" x14ac:dyDescent="0.25">
      <c r="A8" s="106"/>
      <c r="B8" s="106" t="s">
        <v>34</v>
      </c>
      <c r="C8" s="16" t="s">
        <v>36</v>
      </c>
      <c r="D8" s="107">
        <v>1.3291139240506329</v>
      </c>
      <c r="E8" s="108">
        <f>$G$1</f>
        <v>145</v>
      </c>
      <c r="F8" s="109">
        <v>1</v>
      </c>
      <c r="G8" s="108">
        <f>E8*D8</f>
        <v>192.72151898734177</v>
      </c>
      <c r="H8" s="110">
        <f>G8*F8</f>
        <v>192.72151898734177</v>
      </c>
      <c r="I8" s="106">
        <f>VLOOKUP(B8,Ordering!$A$1:$J$45,6,FALSE)</f>
        <v>1</v>
      </c>
      <c r="J8" s="111">
        <f>VLOOKUP(B8,Ordering!$A$1:$J$45,10,FALSE)</f>
        <v>5</v>
      </c>
      <c r="K8" s="107">
        <f>((H8/(I8))/1000)</f>
        <v>0.19272151898734177</v>
      </c>
      <c r="L8" s="112">
        <f>J8*K8</f>
        <v>0.96360759493670889</v>
      </c>
      <c r="V8" s="63" t="s">
        <v>205</v>
      </c>
      <c r="W8" s="64">
        <v>1</v>
      </c>
      <c r="X8" s="63" t="s">
        <v>203</v>
      </c>
      <c r="Y8" s="65">
        <f>(SUM(L5:L8)/Q20)*W8</f>
        <v>0.30385322030891659</v>
      </c>
    </row>
    <row r="9" spans="1:25" ht="14.85" customHeight="1" x14ac:dyDescent="0.25">
      <c r="A9" s="11"/>
      <c r="B9" s="57" t="s">
        <v>189</v>
      </c>
      <c r="C9" s="132" t="s">
        <v>204</v>
      </c>
      <c r="D9" s="127">
        <f>$I$1</f>
        <v>35</v>
      </c>
      <c r="E9" s="133"/>
      <c r="F9" s="133"/>
      <c r="G9" s="134" t="s">
        <v>323</v>
      </c>
      <c r="H9" s="135">
        <f>SUM(H5:H8)</f>
        <v>5075.0000000000009</v>
      </c>
      <c r="I9" s="106"/>
      <c r="J9" s="111"/>
      <c r="K9" s="15"/>
      <c r="L9" s="70"/>
    </row>
    <row r="10" spans="1:25" ht="14.85" customHeight="1" x14ac:dyDescent="0.25">
      <c r="A10" s="11"/>
      <c r="B10" s="11"/>
      <c r="C10" s="16"/>
      <c r="D10" s="15"/>
      <c r="E10" s="12"/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143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145</v>
      </c>
    </row>
    <row r="21" spans="11:17" x14ac:dyDescent="0.25">
      <c r="P21" s="61" t="s">
        <v>203</v>
      </c>
      <c r="Q21" s="62">
        <f>SUM(L5:L8)</f>
        <v>44.058716944792906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E9B7-5CAC-4EAD-A618-9943D30D220A}">
  <sheetPr codeName="Sheet12">
    <tabColor theme="8" tint="-0.249977111117893"/>
    <pageSetUpPr fitToPage="1"/>
  </sheetPr>
  <dimension ref="A1:Y27"/>
  <sheetViews>
    <sheetView zoomScale="70" zoomScaleNormal="7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145</v>
      </c>
      <c r="F1" s="17" t="s">
        <v>188</v>
      </c>
      <c r="G1" s="10">
        <f>D1/B1</f>
        <v>145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143</v>
      </c>
    </row>
    <row r="2" spans="1:25" ht="14.25" customHeight="1" x14ac:dyDescent="0.25">
      <c r="A2" s="39"/>
      <c r="B2" s="152" t="s">
        <v>281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255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12.658227848101269</v>
      </c>
      <c r="E5" s="108">
        <f>$G$1</f>
        <v>145</v>
      </c>
      <c r="F5" s="109">
        <v>1</v>
      </c>
      <c r="G5" s="108">
        <f>E5*D5</f>
        <v>1835.4430379746841</v>
      </c>
      <c r="H5" s="110">
        <f>G5*F5</f>
        <v>1835.4430379746841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1.835443037974684</v>
      </c>
      <c r="L5" s="112">
        <f>J5*K5</f>
        <v>11.781560041053714</v>
      </c>
    </row>
    <row r="6" spans="1:25" ht="14.85" customHeight="1" x14ac:dyDescent="0.25">
      <c r="A6" s="106"/>
      <c r="B6" s="106" t="s">
        <v>46</v>
      </c>
      <c r="C6" s="16" t="s">
        <v>204</v>
      </c>
      <c r="D6" s="107">
        <v>4.0506329113924053</v>
      </c>
      <c r="E6" s="108">
        <f>$G$1</f>
        <v>145</v>
      </c>
      <c r="F6" s="109">
        <v>1</v>
      </c>
      <c r="G6" s="108">
        <f>E6*D6</f>
        <v>587.34177215189879</v>
      </c>
      <c r="H6" s="110">
        <f>G6*F6</f>
        <v>587.34177215189879</v>
      </c>
      <c r="I6" s="106">
        <f>VLOOKUP(B6,Ordering!$A$1:$J$45,6,FALSE)</f>
        <v>1</v>
      </c>
      <c r="J6" s="111">
        <f>VLOOKUP(B6,Ordering!$A$1:$J$45,10,FALSE)</f>
        <v>11.243386243386244</v>
      </c>
      <c r="K6" s="107">
        <f>((H6/(I6))/1000)</f>
        <v>0.58734177215189876</v>
      </c>
      <c r="L6" s="112">
        <f>J6*K6</f>
        <v>6.6037104011787564</v>
      </c>
    </row>
    <row r="7" spans="1:25" ht="14.85" customHeight="1" x14ac:dyDescent="0.25">
      <c r="A7" s="106"/>
      <c r="B7" s="106" t="s">
        <v>263</v>
      </c>
      <c r="C7" s="16" t="s">
        <v>204</v>
      </c>
      <c r="D7" s="107">
        <v>2.5316455696202529</v>
      </c>
      <c r="E7" s="108">
        <f>$G$1</f>
        <v>145</v>
      </c>
      <c r="F7" s="109">
        <v>1</v>
      </c>
      <c r="G7" s="108">
        <f>E7*D7</f>
        <v>367.08860759493666</v>
      </c>
      <c r="H7" s="110">
        <f>G7*F7</f>
        <v>367.08860759493666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0.36708860759493667</v>
      </c>
      <c r="L7" s="112">
        <f>J7*K7</f>
        <v>6.2405063291139236</v>
      </c>
      <c r="R7" s="35"/>
    </row>
    <row r="8" spans="1:25" ht="14.85" customHeight="1" x14ac:dyDescent="0.25">
      <c r="A8" s="106"/>
      <c r="B8" s="106" t="s">
        <v>34</v>
      </c>
      <c r="C8" s="16" t="s">
        <v>36</v>
      </c>
      <c r="D8" s="107">
        <v>0.759493670886076</v>
      </c>
      <c r="E8" s="108">
        <f>$G$1</f>
        <v>145</v>
      </c>
      <c r="F8" s="109">
        <v>1</v>
      </c>
      <c r="G8" s="108">
        <f>E8*D8</f>
        <v>110.12658227848102</v>
      </c>
      <c r="H8" s="110">
        <f>G8*F8</f>
        <v>110.12658227848102</v>
      </c>
      <c r="I8" s="106">
        <f>VLOOKUP(B8,Ordering!$A$1:$J$45,6,FALSE)</f>
        <v>1</v>
      </c>
      <c r="J8" s="111">
        <f>VLOOKUP(B8,Ordering!$A$1:$J$45,10,FALSE)</f>
        <v>5</v>
      </c>
      <c r="K8" s="107">
        <f>((H8/(I8))/1000)</f>
        <v>0.11012658227848103</v>
      </c>
      <c r="L8" s="112">
        <f>J8*K8</f>
        <v>0.55063291139240511</v>
      </c>
      <c r="V8" s="63" t="s">
        <v>205</v>
      </c>
      <c r="W8" s="64">
        <v>1</v>
      </c>
      <c r="X8" s="63" t="s">
        <v>203</v>
      </c>
      <c r="Y8" s="65">
        <f>(SUM(L5:L8)/Q20)*W8</f>
        <v>0.17363041160509518</v>
      </c>
    </row>
    <row r="9" spans="1:25" ht="14.85" customHeight="1" x14ac:dyDescent="0.25">
      <c r="A9" s="11"/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2900.0000000000005</v>
      </c>
      <c r="I9" s="106"/>
      <c r="J9" s="111"/>
      <c r="K9" s="15"/>
      <c r="L9" s="70"/>
    </row>
    <row r="10" spans="1:25" ht="14.85" customHeight="1" x14ac:dyDescent="0.25">
      <c r="A10" s="11"/>
      <c r="B10" s="11"/>
      <c r="C10" s="16"/>
      <c r="D10" s="15"/>
      <c r="E10" s="12"/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143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145</v>
      </c>
    </row>
    <row r="21" spans="11:17" x14ac:dyDescent="0.25">
      <c r="P21" s="61" t="s">
        <v>203</v>
      </c>
      <c r="Q21" s="62">
        <f>SUM(L5:L8)</f>
        <v>25.1764096827388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tabColor theme="7" tint="-0.249977111117893"/>
    <pageSetUpPr fitToPage="1"/>
  </sheetPr>
  <dimension ref="A1:V27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4.28515625" customWidth="1"/>
    <col min="17" max="17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111</v>
      </c>
      <c r="F1" s="17" t="s">
        <v>188</v>
      </c>
      <c r="G1" s="10">
        <f>D1/B1</f>
        <v>111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109</v>
      </c>
    </row>
    <row r="2" spans="1:22" ht="14.25" customHeight="1" x14ac:dyDescent="0.25">
      <c r="A2" s="39"/>
      <c r="B2" s="155" t="s">
        <v>218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219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34</v>
      </c>
      <c r="C5" s="16" t="s">
        <v>36</v>
      </c>
      <c r="D5" s="15">
        <v>2.12636695018226</v>
      </c>
      <c r="E5" s="12">
        <f t="shared" ref="E5:E10" si="0">$G$1</f>
        <v>111</v>
      </c>
      <c r="F5" s="13">
        <v>1</v>
      </c>
      <c r="G5" s="12">
        <f t="shared" ref="G5:G10" si="1">E5*D5</f>
        <v>236.02673147023086</v>
      </c>
      <c r="H5" s="56">
        <f t="shared" ref="H5:H10" si="2">G5*F5</f>
        <v>236.02673147023086</v>
      </c>
      <c r="I5" s="11">
        <f>VLOOKUP(B5,Ordering!$A$1:$J$45,6,FALSE)</f>
        <v>1</v>
      </c>
      <c r="J5" s="58">
        <f>VLOOKUP(B5,Ordering!$A$1:$J$45,10,FALSE)</f>
        <v>5</v>
      </c>
      <c r="K5" s="58">
        <f t="shared" ref="K5:K10" si="3">H5/I5</f>
        <v>236.02673147023086</v>
      </c>
      <c r="L5" s="59">
        <f t="shared" ref="L5:L10" si="4">J5*K5</f>
        <v>1180.1336573511544</v>
      </c>
    </row>
    <row r="6" spans="1:22" ht="14.85" customHeight="1" x14ac:dyDescent="0.25">
      <c r="A6" s="11"/>
      <c r="B6" s="11" t="s">
        <v>80</v>
      </c>
      <c r="C6" s="16" t="s">
        <v>204</v>
      </c>
      <c r="D6" s="15">
        <v>4.25273390036452E-2</v>
      </c>
      <c r="E6" s="12">
        <f t="shared" si="0"/>
        <v>111</v>
      </c>
      <c r="F6" s="13">
        <v>1</v>
      </c>
      <c r="G6" s="12">
        <f t="shared" si="1"/>
        <v>4.7205346294046171</v>
      </c>
      <c r="H6" s="56">
        <f t="shared" si="2"/>
        <v>4.7205346294046171</v>
      </c>
      <c r="I6" s="11">
        <f>VLOOKUP(B6,Ordering!$A$1:$J$45,6,FALSE)</f>
        <v>1</v>
      </c>
      <c r="J6" s="58">
        <f>VLOOKUP(B6,Ordering!$A$1:$J$45,10,FALSE)</f>
        <v>8</v>
      </c>
      <c r="K6" s="58">
        <f t="shared" si="3"/>
        <v>4.7205346294046171</v>
      </c>
      <c r="L6" s="59">
        <f t="shared" si="4"/>
        <v>37.764277035236937</v>
      </c>
    </row>
    <row r="7" spans="1:22" ht="14.85" customHeight="1" x14ac:dyDescent="0.25">
      <c r="A7" s="11"/>
      <c r="B7" s="11" t="s">
        <v>88</v>
      </c>
      <c r="C7" s="16" t="s">
        <v>204</v>
      </c>
      <c r="D7" s="15">
        <v>0.1559335763466991</v>
      </c>
      <c r="E7" s="12">
        <f t="shared" si="0"/>
        <v>111</v>
      </c>
      <c r="F7" s="13">
        <v>1</v>
      </c>
      <c r="G7" s="12">
        <f t="shared" si="1"/>
        <v>17.308626974483602</v>
      </c>
      <c r="H7" s="56">
        <f t="shared" si="2"/>
        <v>17.308626974483602</v>
      </c>
      <c r="I7" s="11">
        <f>VLOOKUP(B7,Ordering!$A$1:$J$45,6,FALSE)</f>
        <v>1</v>
      </c>
      <c r="J7" s="58">
        <f>VLOOKUP(B7,Ordering!$A$1:$J$45,10,FALSE)</f>
        <v>0.74</v>
      </c>
      <c r="K7" s="58">
        <f t="shared" si="3"/>
        <v>17.308626974483602</v>
      </c>
      <c r="L7" s="59">
        <f t="shared" si="4"/>
        <v>12.808383961117865</v>
      </c>
      <c r="P7" s="35"/>
    </row>
    <row r="8" spans="1:22" ht="14.85" customHeight="1" x14ac:dyDescent="0.25">
      <c r="A8" s="11"/>
      <c r="B8" s="11" t="s">
        <v>66</v>
      </c>
      <c r="C8" s="16" t="s">
        <v>36</v>
      </c>
      <c r="D8" s="15">
        <v>18.45686512758202</v>
      </c>
      <c r="E8" s="12">
        <f t="shared" si="0"/>
        <v>111</v>
      </c>
      <c r="F8" s="13">
        <v>1</v>
      </c>
      <c r="G8" s="12">
        <f t="shared" si="1"/>
        <v>2048.7120291616043</v>
      </c>
      <c r="H8" s="56">
        <f t="shared" si="2"/>
        <v>2048.7120291616043</v>
      </c>
      <c r="I8" s="11">
        <f>VLOOKUP(B8,Ordering!$A$1:$J$45,6,FALSE)</f>
        <v>1</v>
      </c>
      <c r="J8" s="58">
        <f>VLOOKUP(B8,Ordering!$A$1:$J$45,10,FALSE)</f>
        <v>0</v>
      </c>
      <c r="K8" s="58">
        <f t="shared" si="3"/>
        <v>2048.7120291616043</v>
      </c>
      <c r="L8" s="59">
        <f t="shared" si="4"/>
        <v>0</v>
      </c>
    </row>
    <row r="9" spans="1:22" ht="14.85" customHeight="1" x14ac:dyDescent="0.25">
      <c r="A9" s="11"/>
      <c r="B9" s="11" t="s">
        <v>76</v>
      </c>
      <c r="C9" s="16" t="s">
        <v>204</v>
      </c>
      <c r="D9" s="15">
        <v>4.25273390036452E-2</v>
      </c>
      <c r="E9" s="12">
        <f t="shared" si="0"/>
        <v>111</v>
      </c>
      <c r="F9" s="13">
        <v>1</v>
      </c>
      <c r="G9" s="12">
        <f t="shared" si="1"/>
        <v>4.7205346294046171</v>
      </c>
      <c r="H9" s="56">
        <f t="shared" si="2"/>
        <v>4.7205346294046171</v>
      </c>
      <c r="I9" s="11">
        <f>VLOOKUP(B9,Ordering!$A$1:$J$45,6,FALSE)</f>
        <v>1</v>
      </c>
      <c r="J9" s="58">
        <f>VLOOKUP(B9,Ordering!$A$1:$J$45,10,FALSE)</f>
        <v>31</v>
      </c>
      <c r="K9" s="58">
        <f t="shared" si="3"/>
        <v>4.7205346294046171</v>
      </c>
      <c r="L9" s="59">
        <f t="shared" si="4"/>
        <v>146.33657351154312</v>
      </c>
    </row>
    <row r="10" spans="1:22" ht="14.85" customHeight="1" x14ac:dyDescent="0.25">
      <c r="A10" s="11"/>
      <c r="B10" s="11" t="s">
        <v>51</v>
      </c>
      <c r="C10" s="16" t="s">
        <v>204</v>
      </c>
      <c r="D10" s="15">
        <v>14.175779667881731</v>
      </c>
      <c r="E10" s="12">
        <f t="shared" si="0"/>
        <v>111</v>
      </c>
      <c r="F10" s="13">
        <v>1</v>
      </c>
      <c r="G10" s="12">
        <f t="shared" si="1"/>
        <v>1573.511543134872</v>
      </c>
      <c r="H10" s="56">
        <f t="shared" si="2"/>
        <v>1573.511543134872</v>
      </c>
      <c r="I10" s="11">
        <f>VLOOKUP(B10,Ordering!$A$1:$J$45,6,FALSE)</f>
        <v>1</v>
      </c>
      <c r="J10" s="58">
        <f>VLOOKUP(B10,Ordering!$A$1:$J$45,10,FALSE)</f>
        <v>10</v>
      </c>
      <c r="K10" s="58">
        <f t="shared" si="3"/>
        <v>1573.511543134872</v>
      </c>
      <c r="L10" s="59">
        <f t="shared" si="4"/>
        <v>15735.11543134872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3885</v>
      </c>
    </row>
    <row r="12" spans="1:22" ht="14.85" customHeight="1" x14ac:dyDescent="0.25">
      <c r="M12" s="22"/>
    </row>
    <row r="13" spans="1:22" ht="14.85" customHeight="1" x14ac:dyDescent="0.25"/>
    <row r="14" spans="1:22" ht="14.85" customHeight="1" x14ac:dyDescent="0.25">
      <c r="L14" s="72"/>
      <c r="M14" s="74"/>
    </row>
    <row r="15" spans="1:22" x14ac:dyDescent="0.25">
      <c r="L15" s="72"/>
      <c r="M15" s="75"/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109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111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theme="7" tint="-0.249977111117893"/>
    <pageSetUpPr fitToPage="1"/>
  </sheetPr>
  <dimension ref="A1:V27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212</v>
      </c>
      <c r="F1" s="17" t="s">
        <v>188</v>
      </c>
      <c r="G1" s="10">
        <f>D1/B1</f>
        <v>212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210</v>
      </c>
    </row>
    <row r="2" spans="1:22" ht="14.25" customHeight="1" x14ac:dyDescent="0.25">
      <c r="A2" s="41"/>
      <c r="B2" s="152" t="s">
        <v>216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56" t="s">
        <v>228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148</v>
      </c>
      <c r="C5" s="16" t="s">
        <v>204</v>
      </c>
      <c r="D5" s="15">
        <v>33.700000000000003</v>
      </c>
      <c r="E5" s="12">
        <f t="shared" ref="E5:E10" si="0">$G$1</f>
        <v>212</v>
      </c>
      <c r="F5" s="13">
        <v>1</v>
      </c>
      <c r="G5" s="12">
        <f t="shared" ref="G5:G10" si="1">E5*D5</f>
        <v>7144.4000000000005</v>
      </c>
      <c r="H5" s="56">
        <f t="shared" ref="H5:H10" si="2">G5*F5</f>
        <v>7144.4000000000005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7290.2040816326535</v>
      </c>
      <c r="L5" s="76">
        <f t="shared" ref="L5:L10" si="4">J5*K5</f>
        <v>25515.714285714286</v>
      </c>
    </row>
    <row r="6" spans="1:22" ht="14.85" customHeight="1" x14ac:dyDescent="0.25">
      <c r="A6" s="11"/>
      <c r="B6" s="11" t="s">
        <v>145</v>
      </c>
      <c r="C6" s="16" t="s">
        <v>204</v>
      </c>
      <c r="D6" s="15">
        <v>0.24</v>
      </c>
      <c r="E6" s="12">
        <f t="shared" si="0"/>
        <v>212</v>
      </c>
      <c r="F6" s="13">
        <v>1</v>
      </c>
      <c r="G6" s="12">
        <f t="shared" si="1"/>
        <v>50.879999999999995</v>
      </c>
      <c r="H6" s="56">
        <f t="shared" si="2"/>
        <v>50.879999999999995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53</v>
      </c>
      <c r="L6" s="76">
        <f t="shared" si="4"/>
        <v>212</v>
      </c>
    </row>
    <row r="7" spans="1:22" ht="14.85" customHeight="1" x14ac:dyDescent="0.25">
      <c r="A7" s="11"/>
      <c r="B7" s="11" t="s">
        <v>132</v>
      </c>
      <c r="C7" s="16" t="s">
        <v>204</v>
      </c>
      <c r="D7" s="15">
        <v>0.2</v>
      </c>
      <c r="E7" s="12">
        <f t="shared" si="0"/>
        <v>212</v>
      </c>
      <c r="F7" s="13">
        <v>1</v>
      </c>
      <c r="G7" s="12">
        <f t="shared" si="1"/>
        <v>42.400000000000006</v>
      </c>
      <c r="H7" s="56">
        <f t="shared" si="2"/>
        <v>42.400000000000006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45.10638297872341</v>
      </c>
      <c r="L7" s="76">
        <f t="shared" si="4"/>
        <v>164.02321083172151</v>
      </c>
      <c r="R7" s="35"/>
    </row>
    <row r="8" spans="1:22" ht="14.85" customHeight="1" x14ac:dyDescent="0.25">
      <c r="A8" s="11"/>
      <c r="B8" s="11" t="s">
        <v>97</v>
      </c>
      <c r="C8" s="16" t="s">
        <v>204</v>
      </c>
      <c r="D8" s="24">
        <v>3.0000000000000001E-3</v>
      </c>
      <c r="E8" s="12">
        <f t="shared" si="0"/>
        <v>212</v>
      </c>
      <c r="F8" s="13">
        <v>1</v>
      </c>
      <c r="G8" s="12">
        <f t="shared" si="1"/>
        <v>0.63600000000000001</v>
      </c>
      <c r="H8" s="56">
        <f t="shared" si="2"/>
        <v>0.63600000000000001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0.63600000000000001</v>
      </c>
      <c r="L8" s="76">
        <f t="shared" si="4"/>
        <v>22.26</v>
      </c>
    </row>
    <row r="9" spans="1:22" ht="14.85" customHeight="1" x14ac:dyDescent="0.25">
      <c r="A9" s="11"/>
      <c r="B9" s="11" t="s">
        <v>88</v>
      </c>
      <c r="C9" s="16" t="s">
        <v>204</v>
      </c>
      <c r="D9" s="15">
        <v>0.12</v>
      </c>
      <c r="E9" s="12">
        <f t="shared" si="0"/>
        <v>212</v>
      </c>
      <c r="F9" s="13">
        <v>1</v>
      </c>
      <c r="G9" s="12">
        <f t="shared" si="1"/>
        <v>25.439999999999998</v>
      </c>
      <c r="H9" s="56">
        <f t="shared" si="2"/>
        <v>25.439999999999998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25.439999999999998</v>
      </c>
      <c r="L9" s="76">
        <f t="shared" si="4"/>
        <v>18.825599999999998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212</v>
      </c>
      <c r="F10" s="13">
        <v>1</v>
      </c>
      <c r="G10" s="12">
        <f t="shared" si="1"/>
        <v>159</v>
      </c>
      <c r="H10" s="56">
        <f t="shared" si="2"/>
        <v>159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159</v>
      </c>
      <c r="L10" s="76">
        <f t="shared" si="4"/>
        <v>0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7422.7560000000003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210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212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theme="7" tint="-0.249977111117893"/>
    <pageSetUpPr fitToPage="1"/>
  </sheetPr>
  <dimension ref="A1:V32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9" max="19" width="8.42578125" bestFit="1" customWidth="1"/>
  </cols>
  <sheetData>
    <row r="1" spans="1:22" ht="25.35" customHeight="1" x14ac:dyDescent="0.25">
      <c r="A1" s="17" t="s">
        <v>186</v>
      </c>
      <c r="B1" s="9">
        <v>1</v>
      </c>
      <c r="D1" s="8">
        <f>Q20</f>
        <v>194</v>
      </c>
      <c r="E1" s="17" t="s">
        <v>187</v>
      </c>
      <c r="F1" s="10">
        <f>Q20</f>
        <v>194</v>
      </c>
      <c r="H1" s="17" t="s">
        <v>222</v>
      </c>
      <c r="I1" s="21">
        <v>20</v>
      </c>
      <c r="J1" s="1"/>
      <c r="U1" s="93" t="s">
        <v>20</v>
      </c>
      <c r="V1" s="94">
        <v>192</v>
      </c>
    </row>
    <row r="2" spans="1:22" ht="14.25" customHeight="1" x14ac:dyDescent="0.25">
      <c r="A2" s="39"/>
      <c r="B2" s="155" t="s">
        <v>229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25.5" customHeight="1" x14ac:dyDescent="0.25">
      <c r="A3" s="41"/>
      <c r="B3" s="149" t="s">
        <v>230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42</v>
      </c>
      <c r="C5" s="16" t="s">
        <v>204</v>
      </c>
      <c r="D5" s="15">
        <v>16.7</v>
      </c>
      <c r="E5" s="12">
        <f>$F$1</f>
        <v>194</v>
      </c>
      <c r="F5" s="13">
        <v>1</v>
      </c>
      <c r="G5" s="12">
        <f>E5*D5</f>
        <v>3239.7999999999997</v>
      </c>
      <c r="H5" s="56">
        <f>G5*F5</f>
        <v>3239.7999999999997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3239.7999999999997</v>
      </c>
      <c r="L5" s="59">
        <f>J5*K5</f>
        <v>20796.01351351351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0.3</v>
      </c>
      <c r="E6" s="12">
        <f t="shared" ref="E6:E8" si="0">$F$1</f>
        <v>194</v>
      </c>
      <c r="F6" s="13">
        <v>1</v>
      </c>
      <c r="G6" s="12">
        <f>E6*D6</f>
        <v>58.199999999999996</v>
      </c>
      <c r="H6" s="56">
        <f>G6*F6</f>
        <v>58.199999999999996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58.199999999999996</v>
      </c>
      <c r="L6" s="59">
        <f>J6*K6</f>
        <v>189.14999999999998</v>
      </c>
    </row>
    <row r="7" spans="1:22" ht="14.85" customHeight="1" x14ac:dyDescent="0.25">
      <c r="A7" s="11"/>
      <c r="B7" s="11" t="s">
        <v>46</v>
      </c>
      <c r="C7" s="16" t="s">
        <v>204</v>
      </c>
      <c r="D7" s="15">
        <v>1</v>
      </c>
      <c r="E7" s="12">
        <f t="shared" si="0"/>
        <v>194</v>
      </c>
      <c r="F7" s="13">
        <v>1</v>
      </c>
      <c r="G7" s="12">
        <f>E7*D7</f>
        <v>194</v>
      </c>
      <c r="H7" s="56">
        <f>G7*F7</f>
        <v>194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194</v>
      </c>
      <c r="L7" s="59">
        <f>J7*K7</f>
        <v>2181.2169312169312</v>
      </c>
      <c r="S7" s="35"/>
    </row>
    <row r="8" spans="1:22" ht="14.85" customHeight="1" x14ac:dyDescent="0.25">
      <c r="A8" s="11"/>
      <c r="B8" s="11" t="s">
        <v>57</v>
      </c>
      <c r="C8" s="16" t="s">
        <v>36</v>
      </c>
      <c r="D8" s="15">
        <v>2</v>
      </c>
      <c r="E8" s="12">
        <f t="shared" si="0"/>
        <v>194</v>
      </c>
      <c r="F8" s="13">
        <v>1</v>
      </c>
      <c r="G8" s="12">
        <f>E8*D8</f>
        <v>388</v>
      </c>
      <c r="H8" s="56">
        <f>G8*F8</f>
        <v>388</v>
      </c>
      <c r="I8" s="77">
        <f>VLOOKUP(B8,Ordering!$A$1:$J$45,6,FALSE)</f>
        <v>1</v>
      </c>
      <c r="J8" s="78">
        <f>VLOOKUP(B8,Ordering!$A$1:$J$45,10,FALSE)</f>
        <v>58.685446009389672</v>
      </c>
      <c r="K8" s="78">
        <f>H8/I8</f>
        <v>388</v>
      </c>
      <c r="L8" s="79">
        <f>J8*K8</f>
        <v>22769.953051643191</v>
      </c>
      <c r="S8" s="35"/>
    </row>
    <row r="9" spans="1:22" x14ac:dyDescent="0.25"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3879.9999999999995</v>
      </c>
      <c r="I9" s="81"/>
      <c r="J9" s="82"/>
      <c r="K9" s="82"/>
      <c r="L9" s="83"/>
    </row>
    <row r="11" spans="1:22" x14ac:dyDescent="0.25">
      <c r="M11" s="19"/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192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194</v>
      </c>
    </row>
    <row r="26" spans="11:17" x14ac:dyDescent="0.25">
      <c r="K26" s="20"/>
    </row>
    <row r="32" spans="11:17" x14ac:dyDescent="0.25">
      <c r="K32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6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tabColor theme="7" tint="-0.249977111117893"/>
    <pageSetUpPr fitToPage="1"/>
  </sheetPr>
  <dimension ref="A1:Y27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116</v>
      </c>
      <c r="F1" s="17" t="s">
        <v>188</v>
      </c>
      <c r="G1" s="10">
        <f>D1/B1</f>
        <v>116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114</v>
      </c>
    </row>
    <row r="2" spans="1:25" ht="14.25" customHeight="1" x14ac:dyDescent="0.25">
      <c r="A2" s="39"/>
      <c r="B2" s="152" t="s">
        <v>236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6" t="s">
        <v>237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127</v>
      </c>
      <c r="C5" s="16" t="s">
        <v>204</v>
      </c>
      <c r="D5" s="15">
        <v>0.28843750000000001</v>
      </c>
      <c r="E5" s="12">
        <f t="shared" ref="E5:E10" si="0">$G$1</f>
        <v>116</v>
      </c>
      <c r="F5" s="13">
        <v>1</v>
      </c>
      <c r="G5" s="12">
        <f t="shared" ref="G5:G10" si="1">E5*D5</f>
        <v>33.458750000000002</v>
      </c>
      <c r="H5" s="56">
        <f t="shared" ref="H5:H10" si="2">G5*F5</f>
        <v>33.458750000000002</v>
      </c>
      <c r="I5" s="11">
        <f>VLOOKUP(B5,Ordering!$A$1:$J$45,6,FALSE)</f>
        <v>0.43</v>
      </c>
      <c r="J5" s="58">
        <f>VLOOKUP(B5,Ordering!$A$1:$J$45,10,FALSE)</f>
        <v>3.333333333333333</v>
      </c>
      <c r="K5" s="58">
        <f t="shared" ref="K5:K10" si="3">((H5/(I5))/1000)</f>
        <v>7.7811046511627902E-2</v>
      </c>
      <c r="L5" s="59">
        <f t="shared" ref="L5:L10" si="4">J5*K5</f>
        <v>0.25937015503875965</v>
      </c>
    </row>
    <row r="6" spans="1:25" ht="14.85" customHeight="1" x14ac:dyDescent="0.25">
      <c r="A6" s="11"/>
      <c r="B6" s="11" t="s">
        <v>132</v>
      </c>
      <c r="C6" s="16" t="s">
        <v>204</v>
      </c>
      <c r="D6" s="15">
        <v>0.2290625</v>
      </c>
      <c r="E6" s="12">
        <f t="shared" si="0"/>
        <v>116</v>
      </c>
      <c r="F6" s="13">
        <v>1</v>
      </c>
      <c r="G6" s="12">
        <f t="shared" si="1"/>
        <v>26.571249999999999</v>
      </c>
      <c r="H6" s="56">
        <f t="shared" si="2"/>
        <v>26.571249999999999</v>
      </c>
      <c r="I6" s="11">
        <f>VLOOKUP(B6,Ordering!$A$1:$J$45,6,FALSE)</f>
        <v>0.94</v>
      </c>
      <c r="J6" s="58">
        <f>VLOOKUP(B6,Ordering!$A$1:$J$45,10,FALSE)</f>
        <v>3.6363636363636371</v>
      </c>
      <c r="K6" s="58">
        <f t="shared" si="3"/>
        <v>2.8267287234042555E-2</v>
      </c>
      <c r="L6" s="59">
        <f t="shared" si="4"/>
        <v>0.10279013539651841</v>
      </c>
    </row>
    <row r="7" spans="1:25" ht="23.1" customHeight="1" x14ac:dyDescent="0.35">
      <c r="A7" s="11"/>
      <c r="B7" s="11" t="s">
        <v>23</v>
      </c>
      <c r="C7" s="16" t="s">
        <v>204</v>
      </c>
      <c r="D7" s="15">
        <v>21.875</v>
      </c>
      <c r="E7" s="12">
        <f t="shared" si="0"/>
        <v>116</v>
      </c>
      <c r="F7" s="13">
        <v>1</v>
      </c>
      <c r="G7" s="12">
        <f t="shared" si="1"/>
        <v>2537.5</v>
      </c>
      <c r="H7" s="56">
        <f t="shared" si="2"/>
        <v>2537.5</v>
      </c>
      <c r="I7" s="11">
        <f>VLOOKUP(B7,Ordering!$A$1:$J$45,6,FALSE)</f>
        <v>1</v>
      </c>
      <c r="J7" s="58">
        <f>VLOOKUP(B7,Ordering!$A$1:$J$45,10,FALSE)</f>
        <v>6.6959999999999997</v>
      </c>
      <c r="K7" s="58">
        <f t="shared" si="3"/>
        <v>2.5375000000000001</v>
      </c>
      <c r="L7" s="59">
        <f t="shared" si="4"/>
        <v>16.991099999999999</v>
      </c>
      <c r="R7" s="42"/>
    </row>
    <row r="8" spans="1:25" ht="14.85" customHeight="1" x14ac:dyDescent="0.25">
      <c r="A8" s="11"/>
      <c r="B8" s="11" t="s">
        <v>80</v>
      </c>
      <c r="C8" s="16" t="s">
        <v>204</v>
      </c>
      <c r="D8" s="15">
        <v>3.125E-2</v>
      </c>
      <c r="E8" s="12">
        <f t="shared" si="0"/>
        <v>116</v>
      </c>
      <c r="F8" s="13">
        <v>1</v>
      </c>
      <c r="G8" s="12">
        <f t="shared" si="1"/>
        <v>3.625</v>
      </c>
      <c r="H8" s="56">
        <f t="shared" si="2"/>
        <v>3.625</v>
      </c>
      <c r="I8" s="11">
        <f>VLOOKUP(B8,Ordering!$A$1:$J$45,6,FALSE)</f>
        <v>1</v>
      </c>
      <c r="J8" s="58">
        <f>VLOOKUP(B8,Ordering!$A$1:$J$45,10,FALSE)</f>
        <v>8</v>
      </c>
      <c r="K8" s="58">
        <f t="shared" si="3"/>
        <v>3.6250000000000002E-3</v>
      </c>
      <c r="L8" s="59">
        <f t="shared" si="4"/>
        <v>2.9000000000000001E-2</v>
      </c>
      <c r="V8" s="63" t="s">
        <v>205</v>
      </c>
      <c r="W8" s="64">
        <v>1</v>
      </c>
      <c r="X8" s="63" t="s">
        <v>203</v>
      </c>
      <c r="Y8" s="65">
        <f>SUM(L5:L10)/Q20</f>
        <v>0.14993957146926962</v>
      </c>
    </row>
    <row r="9" spans="1:25" ht="14.85" customHeight="1" x14ac:dyDescent="0.25">
      <c r="A9" s="11"/>
      <c r="B9" s="11" t="s">
        <v>66</v>
      </c>
      <c r="C9" s="16" t="s">
        <v>36</v>
      </c>
      <c r="D9" s="15">
        <v>12.5</v>
      </c>
      <c r="E9" s="12">
        <f t="shared" si="0"/>
        <v>116</v>
      </c>
      <c r="F9" s="13">
        <v>1</v>
      </c>
      <c r="G9" s="12">
        <f t="shared" si="1"/>
        <v>1450</v>
      </c>
      <c r="H9" s="56">
        <f t="shared" si="2"/>
        <v>1450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1.45</v>
      </c>
      <c r="L9" s="59">
        <f t="shared" si="4"/>
        <v>0</v>
      </c>
    </row>
    <row r="10" spans="1:25" ht="14.85" customHeight="1" x14ac:dyDescent="0.25">
      <c r="A10" s="11"/>
      <c r="B10" s="11" t="s">
        <v>88</v>
      </c>
      <c r="C10" s="16" t="s">
        <v>204</v>
      </c>
      <c r="D10" s="15">
        <v>0.125</v>
      </c>
      <c r="E10" s="12">
        <f t="shared" si="0"/>
        <v>116</v>
      </c>
      <c r="F10" s="13">
        <v>1</v>
      </c>
      <c r="G10" s="12">
        <f t="shared" si="1"/>
        <v>14.5</v>
      </c>
      <c r="H10" s="56">
        <f t="shared" si="2"/>
        <v>14.5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1.4500000000000001E-2</v>
      </c>
      <c r="L10" s="59">
        <f t="shared" si="4"/>
        <v>1.073E-2</v>
      </c>
    </row>
    <row r="11" spans="1:25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4065.6550000000002</v>
      </c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114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116</v>
      </c>
    </row>
    <row r="21" spans="11:17" x14ac:dyDescent="0.25">
      <c r="P21" s="61" t="s">
        <v>203</v>
      </c>
      <c r="Q21" s="62">
        <f>SUM(L5:L10)</f>
        <v>17.392990290435275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0">
    <tabColor theme="7" tint="-0.249977111117893"/>
    <pageSetUpPr fitToPage="1"/>
  </sheetPr>
  <dimension ref="A1:V27"/>
  <sheetViews>
    <sheetView topLeftCell="B1" zoomScaleNormal="100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0.85546875" customWidth="1"/>
    <col min="8" max="8" width="29.85546875" bestFit="1" customWidth="1"/>
    <col min="10" max="10" width="22.140625" bestFit="1" customWidth="1"/>
    <col min="11" max="11" width="13.7109375" customWidth="1"/>
    <col min="13" max="15" width="2.85546875" customWidth="1"/>
    <col min="16" max="16" width="7.85546875" bestFit="1" customWidth="1"/>
    <col min="18" max="18" width="22.42578125" customWidth="1"/>
    <col min="19" max="19" width="14.85546875" customWidth="1"/>
  </cols>
  <sheetData>
    <row r="1" spans="1:22" ht="25.35" customHeight="1" x14ac:dyDescent="0.25">
      <c r="A1" s="17" t="s">
        <v>220</v>
      </c>
      <c r="B1" s="9">
        <v>20</v>
      </c>
      <c r="D1" s="8">
        <f>Q20</f>
        <v>120</v>
      </c>
      <c r="E1" s="17" t="s">
        <v>221</v>
      </c>
      <c r="F1" s="10">
        <f>Q20</f>
        <v>120</v>
      </c>
      <c r="H1" s="17" t="s">
        <v>189</v>
      </c>
      <c r="I1" s="21">
        <v>20</v>
      </c>
      <c r="J1" s="1"/>
      <c r="K1" s="18" t="s">
        <v>190</v>
      </c>
      <c r="U1" s="93" t="s">
        <v>20</v>
      </c>
      <c r="V1" s="94">
        <v>118</v>
      </c>
    </row>
    <row r="2" spans="1:22" ht="14.25" customHeight="1" x14ac:dyDescent="0.25">
      <c r="A2" s="39"/>
      <c r="B2" s="155" t="s">
        <v>223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231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42</v>
      </c>
      <c r="C5" s="16" t="s">
        <v>204</v>
      </c>
      <c r="D5" s="15">
        <v>10.75268817204301</v>
      </c>
      <c r="E5" s="12">
        <f>$F$1</f>
        <v>120</v>
      </c>
      <c r="F5" s="13">
        <v>1</v>
      </c>
      <c r="G5" s="12">
        <f>E5*D5</f>
        <v>1290.3225806451612</v>
      </c>
      <c r="H5" s="56">
        <f>G5*F5</f>
        <v>1290.3225806451612</v>
      </c>
      <c r="I5" s="11">
        <f>VLOOKUP(B5,Ordering!$A$1:$J$45,6,FALSE)</f>
        <v>1</v>
      </c>
      <c r="J5" s="58">
        <f>VLOOKUP(B5,Ordering!$A$1:$J$45,10,FALSE)</f>
        <v>6.4189189189189184</v>
      </c>
      <c r="K5" s="60">
        <f>H5/I5</f>
        <v>1290.3225806451612</v>
      </c>
      <c r="L5" s="76">
        <f>J5*K5</f>
        <v>8282.4760244115078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7.311827956989247</v>
      </c>
      <c r="E6" s="12">
        <f>$F$1</f>
        <v>120</v>
      </c>
      <c r="F6" s="13">
        <v>1</v>
      </c>
      <c r="G6" s="12">
        <f>E6*D6</f>
        <v>877.41935483870964</v>
      </c>
      <c r="H6" s="56">
        <f>G6*F6</f>
        <v>877.41935483870964</v>
      </c>
      <c r="I6" s="11">
        <f>VLOOKUP(B6,Ordering!$A$1:$J$45,6,FALSE)</f>
        <v>1</v>
      </c>
      <c r="J6" s="58">
        <f>VLOOKUP(B6,Ordering!$A$1:$J$45,10,FALSE)</f>
        <v>3.25</v>
      </c>
      <c r="K6" s="60">
        <f>H6/I6</f>
        <v>877.41935483870964</v>
      </c>
      <c r="L6" s="76">
        <f>J6*K6</f>
        <v>2851.6129032258063</v>
      </c>
    </row>
    <row r="7" spans="1:22" ht="14.85" customHeight="1" x14ac:dyDescent="0.25">
      <c r="A7" s="11"/>
      <c r="B7" s="11" t="s">
        <v>46</v>
      </c>
      <c r="C7" s="16" t="s">
        <v>204</v>
      </c>
      <c r="D7" s="15">
        <v>0.78853046594982079</v>
      </c>
      <c r="E7" s="12">
        <f>$F$1</f>
        <v>120</v>
      </c>
      <c r="F7" s="13">
        <v>1</v>
      </c>
      <c r="G7" s="12">
        <f>E7*D7</f>
        <v>94.623655913978496</v>
      </c>
      <c r="H7" s="56">
        <f>G7*F7</f>
        <v>94.623655913978496</v>
      </c>
      <c r="I7" s="11">
        <f>VLOOKUP(B7,Ordering!$A$1:$J$45,6,FALSE)</f>
        <v>1</v>
      </c>
      <c r="J7" s="58">
        <f>VLOOKUP(B7,Ordering!$A$1:$J$45,10,FALSE)</f>
        <v>11.243386243386244</v>
      </c>
      <c r="K7" s="60">
        <f>H7/I7</f>
        <v>94.623655913978496</v>
      </c>
      <c r="L7" s="76">
        <f>J7*K7</f>
        <v>1063.8903112021392</v>
      </c>
    </row>
    <row r="8" spans="1:22" ht="14.85" customHeight="1" x14ac:dyDescent="0.25">
      <c r="A8" s="11"/>
      <c r="B8" s="11" t="s">
        <v>57</v>
      </c>
      <c r="C8" s="16" t="s">
        <v>36</v>
      </c>
      <c r="D8" s="15">
        <v>1.1469534050179211</v>
      </c>
      <c r="E8" s="12">
        <f>$F$1</f>
        <v>120</v>
      </c>
      <c r="F8" s="13">
        <v>1</v>
      </c>
      <c r="G8" s="12">
        <f>E8*D8</f>
        <v>137.63440860215053</v>
      </c>
      <c r="H8" s="56">
        <f>G8*F8</f>
        <v>137.63440860215053</v>
      </c>
      <c r="I8" s="11">
        <f>VLOOKUP(B8,Ordering!$A$1:$J$45,6,FALSE)</f>
        <v>1</v>
      </c>
      <c r="J8" s="58">
        <f>VLOOKUP(B8,Ordering!$A$1:$J$45,10,FALSE)</f>
        <v>58.685446009389672</v>
      </c>
      <c r="K8" s="60">
        <f>H8/I8</f>
        <v>137.63440860215053</v>
      </c>
      <c r="L8" s="76">
        <f>J8*K8</f>
        <v>8077.1366550557823</v>
      </c>
      <c r="R8" s="35"/>
    </row>
    <row r="9" spans="1:22" x14ac:dyDescent="0.25"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2399.9999999999995</v>
      </c>
    </row>
    <row r="11" spans="1:22" x14ac:dyDescent="0.25">
      <c r="M11" s="19"/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ht="14.85" customHeight="1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118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120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6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>
    <tabColor theme="7" tint="-0.249977111117893"/>
    <pageSetUpPr fitToPage="1"/>
  </sheetPr>
  <dimension ref="A1:Y27"/>
  <sheetViews>
    <sheetView zoomScale="71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4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120</v>
      </c>
      <c r="F1" s="17" t="s">
        <v>188</v>
      </c>
      <c r="G1" s="10">
        <f>D1/B1</f>
        <v>120</v>
      </c>
      <c r="H1" s="17" t="s">
        <v>189</v>
      </c>
      <c r="I1" s="21">
        <v>25</v>
      </c>
      <c r="J1" s="1"/>
      <c r="K1" s="23" t="s">
        <v>190</v>
      </c>
      <c r="U1" s="93" t="s">
        <v>20</v>
      </c>
      <c r="V1" s="94">
        <v>118</v>
      </c>
    </row>
    <row r="2" spans="1:25" ht="14.25" customHeight="1" x14ac:dyDescent="0.25">
      <c r="A2" s="39"/>
      <c r="B2" s="155" t="s">
        <v>232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5" ht="14.25" customHeight="1" x14ac:dyDescent="0.25">
      <c r="A3" s="41"/>
      <c r="B3" s="149" t="s">
        <v>231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114</v>
      </c>
      <c r="C5" s="16" t="s">
        <v>204</v>
      </c>
      <c r="D5" s="15">
        <v>8.3333333333333339</v>
      </c>
      <c r="E5" s="12">
        <f>$G$1</f>
        <v>120</v>
      </c>
      <c r="F5" s="13">
        <v>1</v>
      </c>
      <c r="G5" s="12">
        <f>E5*D5</f>
        <v>1000.0000000000001</v>
      </c>
      <c r="H5" s="56">
        <f>G5*F5</f>
        <v>1000.0000000000001</v>
      </c>
      <c r="I5" s="11">
        <f>VLOOKUP(B5,Ordering!$A$1:$J$45,6,FALSE)</f>
        <v>1</v>
      </c>
      <c r="J5" s="58">
        <f>VLOOKUP(B5,Ordering!$A$1:$J$45,10,FALSE)</f>
        <v>6</v>
      </c>
      <c r="K5" s="58">
        <f>((H5/(I5))/1000)</f>
        <v>1.0000000000000002</v>
      </c>
      <c r="L5" s="59">
        <f>J5*K5</f>
        <v>6.0000000000000018</v>
      </c>
    </row>
    <row r="6" spans="1:25" ht="14.85" customHeight="1" x14ac:dyDescent="0.25">
      <c r="A6" s="11"/>
      <c r="B6" s="11" t="s">
        <v>105</v>
      </c>
      <c r="C6" s="16" t="s">
        <v>204</v>
      </c>
      <c r="D6" s="15">
        <v>8.3333333333333339</v>
      </c>
      <c r="E6" s="12">
        <f>$G$1</f>
        <v>120</v>
      </c>
      <c r="F6" s="13">
        <v>1</v>
      </c>
      <c r="G6" s="12">
        <f>E6*D6</f>
        <v>1000.0000000000001</v>
      </c>
      <c r="H6" s="56">
        <f>G6*F6</f>
        <v>1000.0000000000001</v>
      </c>
      <c r="I6" s="11">
        <f>VLOOKUP(B6,Ordering!$A$1:$J$45,6,FALSE)</f>
        <v>1</v>
      </c>
      <c r="J6" s="58">
        <f>VLOOKUP(B6,Ordering!$A$1:$J$45,10,FALSE)</f>
        <v>4.2</v>
      </c>
      <c r="K6" s="58">
        <f>((H6/(I6))/1000)</f>
        <v>1.0000000000000002</v>
      </c>
      <c r="L6" s="59">
        <f>J6*K6</f>
        <v>4.2000000000000011</v>
      </c>
    </row>
    <row r="7" spans="1:25" ht="14.85" customHeight="1" x14ac:dyDescent="0.25">
      <c r="A7" s="11"/>
      <c r="B7" s="11" t="s">
        <v>112</v>
      </c>
      <c r="C7" s="16" t="s">
        <v>204</v>
      </c>
      <c r="D7" s="15">
        <v>8.3333333333333339</v>
      </c>
      <c r="E7" s="12">
        <f>$G$1</f>
        <v>120</v>
      </c>
      <c r="F7" s="13">
        <v>1</v>
      </c>
      <c r="G7" s="12">
        <f>E7*D7</f>
        <v>1000.0000000000001</v>
      </c>
      <c r="H7" s="56">
        <f>G7*F7</f>
        <v>1000.0000000000001</v>
      </c>
      <c r="I7" s="11">
        <f>VLOOKUP(B7,Ordering!$A$1:$J$45,6,FALSE)</f>
        <v>1</v>
      </c>
      <c r="J7" s="58">
        <f>VLOOKUP(B7,Ordering!$A$1:$J$45,10,FALSE)</f>
        <v>4.2</v>
      </c>
      <c r="K7" s="58">
        <f>((H7/(I7))/1000)</f>
        <v>1.0000000000000002</v>
      </c>
      <c r="L7" s="59">
        <f>J7*K7</f>
        <v>4.2000000000000011</v>
      </c>
    </row>
    <row r="8" spans="1:25" x14ac:dyDescent="0.25">
      <c r="B8" s="57" t="s">
        <v>189</v>
      </c>
      <c r="C8" s="132" t="s">
        <v>204</v>
      </c>
      <c r="D8" s="127">
        <f>$I$1</f>
        <v>25</v>
      </c>
      <c r="E8" s="133"/>
      <c r="F8" s="133"/>
      <c r="G8" s="134" t="s">
        <v>323</v>
      </c>
      <c r="H8" s="135">
        <f>SUM(H5:H7)</f>
        <v>3000.0000000000005</v>
      </c>
      <c r="J8" s="19"/>
      <c r="K8" s="19"/>
      <c r="L8" s="19"/>
      <c r="R8" s="35"/>
      <c r="V8" s="63" t="s">
        <v>205</v>
      </c>
      <c r="W8" s="64">
        <v>1</v>
      </c>
      <c r="X8" s="63" t="s">
        <v>203</v>
      </c>
      <c r="Y8" s="65">
        <f>SUM(L5:L7)/Q20</f>
        <v>0.12000000000000004</v>
      </c>
    </row>
    <row r="9" spans="1:25" x14ac:dyDescent="0.25"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N11" s="22"/>
    </row>
    <row r="12" spans="1:25" ht="14.85" customHeight="1" x14ac:dyDescent="0.25"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 t="s">
        <v>92</v>
      </c>
      <c r="Q15" s="137"/>
    </row>
    <row r="16" spans="1:25" x14ac:dyDescent="0.25">
      <c r="P16" s="140" t="s">
        <v>225</v>
      </c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118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120</v>
      </c>
    </row>
    <row r="21" spans="11:17" x14ac:dyDescent="0.25">
      <c r="P21" s="61" t="s">
        <v>203</v>
      </c>
      <c r="Q21" s="62">
        <f>SUM(L5:L7)</f>
        <v>14.400000000000004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5">
    <tabColor theme="7" tint="-0.249977111117893"/>
    <pageSetUpPr fitToPage="1"/>
  </sheetPr>
  <dimension ref="A1:Y26"/>
  <sheetViews>
    <sheetView zoomScale="85" zoomScaleNormal="85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215</v>
      </c>
      <c r="F1" s="17" t="s">
        <v>188</v>
      </c>
      <c r="G1" s="10">
        <f>D1/B1</f>
        <v>215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213</v>
      </c>
    </row>
    <row r="2" spans="1:25" ht="14.25" customHeight="1" x14ac:dyDescent="0.25">
      <c r="A2" s="39"/>
      <c r="B2" s="152" t="s">
        <v>275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254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23.200000000000003</v>
      </c>
      <c r="E5" s="108">
        <f t="shared" ref="E5:E11" si="0">$G$1</f>
        <v>215</v>
      </c>
      <c r="F5" s="109">
        <v>1</v>
      </c>
      <c r="G5" s="108">
        <f t="shared" ref="G5:G11" si="1">E5*D5</f>
        <v>4988.0000000000009</v>
      </c>
      <c r="H5" s="110">
        <f t="shared" ref="H5:H11" si="2">G5*F5</f>
        <v>4988.0000000000009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1" si="3">((H5/(I5))/1000)</f>
        <v>4.9880000000000013</v>
      </c>
      <c r="L5" s="112">
        <f t="shared" ref="L5:L11" si="4">J5*K5</f>
        <v>32.017567567567575</v>
      </c>
    </row>
    <row r="6" spans="1:25" ht="14.85" customHeight="1" x14ac:dyDescent="0.25">
      <c r="A6" s="106"/>
      <c r="B6" s="113" t="s">
        <v>264</v>
      </c>
      <c r="C6" s="16" t="s">
        <v>204</v>
      </c>
      <c r="D6" s="107">
        <v>9.2799999999999994</v>
      </c>
      <c r="E6" s="108">
        <f t="shared" si="0"/>
        <v>215</v>
      </c>
      <c r="F6" s="109">
        <v>1</v>
      </c>
      <c r="G6" s="108">
        <f t="shared" si="1"/>
        <v>1995.1999999999998</v>
      </c>
      <c r="H6" s="110">
        <f t="shared" si="2"/>
        <v>1995.1999999999998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 t="shared" si="3"/>
        <v>1.9951999999999999</v>
      </c>
      <c r="L6" s="112">
        <f t="shared" si="4"/>
        <v>34.876517150395777</v>
      </c>
    </row>
    <row r="7" spans="1:25" ht="14.85" customHeight="1" x14ac:dyDescent="0.25">
      <c r="A7" s="106"/>
      <c r="B7" s="113" t="s">
        <v>263</v>
      </c>
      <c r="C7" s="16" t="s">
        <v>204</v>
      </c>
      <c r="D7" s="107">
        <v>0.92799999999999971</v>
      </c>
      <c r="E7" s="108">
        <f t="shared" si="0"/>
        <v>215</v>
      </c>
      <c r="F7" s="109">
        <v>1</v>
      </c>
      <c r="G7" s="108">
        <f t="shared" si="1"/>
        <v>199.51999999999992</v>
      </c>
      <c r="H7" s="110">
        <f t="shared" si="2"/>
        <v>199.51999999999992</v>
      </c>
      <c r="I7" s="106">
        <f>VLOOKUP(B7,Ordering!$A$1:$J$45,6,FALSE)</f>
        <v>1</v>
      </c>
      <c r="J7" s="111">
        <f>VLOOKUP(B7,Ordering!$A$1:$J$45,10,FALSE)</f>
        <v>17</v>
      </c>
      <c r="K7" s="107">
        <f t="shared" si="3"/>
        <v>0.19951999999999992</v>
      </c>
      <c r="L7" s="112">
        <f t="shared" si="4"/>
        <v>3.3918399999999984</v>
      </c>
      <c r="R7" s="35"/>
    </row>
    <row r="8" spans="1:25" ht="14.85" customHeight="1" x14ac:dyDescent="0.25">
      <c r="A8" s="106"/>
      <c r="B8" s="113" t="s">
        <v>262</v>
      </c>
      <c r="C8" s="16" t="s">
        <v>204</v>
      </c>
      <c r="D8" s="107">
        <v>0.46399999999999997</v>
      </c>
      <c r="E8" s="108">
        <f t="shared" si="0"/>
        <v>215</v>
      </c>
      <c r="F8" s="109">
        <v>1</v>
      </c>
      <c r="G8" s="108">
        <f t="shared" si="1"/>
        <v>99.759999999999991</v>
      </c>
      <c r="H8" s="110">
        <f t="shared" si="2"/>
        <v>99.759999999999991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 t="shared" si="3"/>
        <v>9.9759999999999988E-2</v>
      </c>
      <c r="L8" s="112">
        <f t="shared" si="4"/>
        <v>9.6683700440528622</v>
      </c>
      <c r="V8" s="63" t="s">
        <v>205</v>
      </c>
      <c r="W8" s="64">
        <v>1</v>
      </c>
      <c r="X8" s="63" t="s">
        <v>203</v>
      </c>
      <c r="Y8" s="65">
        <f>(SUM(L5:L11)/Q20)*W8</f>
        <v>0.37645623318599619</v>
      </c>
    </row>
    <row r="9" spans="1:25" ht="14.85" customHeight="1" x14ac:dyDescent="0.25">
      <c r="A9" s="106"/>
      <c r="B9" s="113" t="s">
        <v>257</v>
      </c>
      <c r="C9" s="16" t="s">
        <v>204</v>
      </c>
      <c r="D9" s="107">
        <v>0.34799999999999992</v>
      </c>
      <c r="E9" s="108">
        <f t="shared" si="0"/>
        <v>215</v>
      </c>
      <c r="F9" s="109">
        <v>1</v>
      </c>
      <c r="G9" s="108">
        <f t="shared" si="1"/>
        <v>74.819999999999979</v>
      </c>
      <c r="H9" s="110">
        <f t="shared" si="2"/>
        <v>74.819999999999979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7.4819999999999984E-2</v>
      </c>
      <c r="L9" s="112">
        <f t="shared" si="4"/>
        <v>0.74819999999999987</v>
      </c>
    </row>
    <row r="10" spans="1:25" ht="14.85" customHeight="1" x14ac:dyDescent="0.25">
      <c r="A10" s="106"/>
      <c r="B10" s="113" t="s">
        <v>265</v>
      </c>
      <c r="C10" s="16" t="s">
        <v>204</v>
      </c>
      <c r="D10" s="107">
        <v>0.34799999999999992</v>
      </c>
      <c r="E10" s="108">
        <f t="shared" si="0"/>
        <v>215</v>
      </c>
      <c r="F10" s="109">
        <v>1</v>
      </c>
      <c r="G10" s="108">
        <f t="shared" si="1"/>
        <v>74.819999999999979</v>
      </c>
      <c r="H10" s="110">
        <f t="shared" si="2"/>
        <v>74.819999999999979</v>
      </c>
      <c r="I10" s="106">
        <f>VLOOKUP(B10,Ordering!$A$1:$J$45,6,FALSE)</f>
        <v>1</v>
      </c>
      <c r="J10" s="111">
        <f>VLOOKUP(B10,Ordering!$A$1:$J$45,10,FALSE)</f>
        <v>2.1621621621621623</v>
      </c>
      <c r="K10" s="107">
        <f t="shared" si="3"/>
        <v>7.4819999999999984E-2</v>
      </c>
      <c r="L10" s="112">
        <f t="shared" si="4"/>
        <v>0.16177297297297294</v>
      </c>
    </row>
    <row r="11" spans="1:25" ht="14.85" customHeight="1" x14ac:dyDescent="0.25">
      <c r="A11" s="106"/>
      <c r="B11" s="106" t="s">
        <v>88</v>
      </c>
      <c r="C11" s="16" t="s">
        <v>204</v>
      </c>
      <c r="D11" s="107">
        <v>0.46399999999999997</v>
      </c>
      <c r="E11" s="108">
        <f t="shared" si="0"/>
        <v>215</v>
      </c>
      <c r="F11" s="109">
        <v>1</v>
      </c>
      <c r="G11" s="108">
        <f t="shared" si="1"/>
        <v>99.759999999999991</v>
      </c>
      <c r="H11" s="110">
        <f t="shared" si="2"/>
        <v>99.759999999999991</v>
      </c>
      <c r="I11" s="106">
        <f>VLOOKUP(B11,Ordering!$A$1:$J$45,6,FALSE)</f>
        <v>1</v>
      </c>
      <c r="J11" s="111">
        <f>VLOOKUP(B11,Ordering!$A$1:$J$45,10,FALSE)</f>
        <v>0.74</v>
      </c>
      <c r="K11" s="107">
        <f t="shared" si="3"/>
        <v>9.9759999999999988E-2</v>
      </c>
      <c r="L11" s="112">
        <f t="shared" si="4"/>
        <v>7.3822399999999996E-2</v>
      </c>
      <c r="M11" s="72"/>
      <c r="N11" s="22"/>
    </row>
    <row r="12" spans="1:25" ht="14.85" customHeight="1" x14ac:dyDescent="0.25">
      <c r="B12" s="57" t="s">
        <v>189</v>
      </c>
      <c r="C12" s="132" t="s">
        <v>204</v>
      </c>
      <c r="D12" s="127">
        <f>$I$1</f>
        <v>35</v>
      </c>
      <c r="E12" s="133"/>
      <c r="F12" s="133"/>
      <c r="G12" s="134" t="s">
        <v>323</v>
      </c>
      <c r="H12" s="135">
        <f>SUM(H5:H11)</f>
        <v>7531.88</v>
      </c>
    </row>
    <row r="13" spans="1:25" ht="14.85" customHeight="1" x14ac:dyDescent="0.25"/>
    <row r="15" spans="1:25" x14ac:dyDescent="0.25">
      <c r="P15" s="136"/>
      <c r="Q15" s="137"/>
    </row>
    <row r="16" spans="1:25" ht="14.85" customHeight="1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213</v>
      </c>
    </row>
    <row r="19" spans="11:17" ht="15.75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Q19+Q18</f>
        <v>215</v>
      </c>
    </row>
    <row r="21" spans="11:17" x14ac:dyDescent="0.25">
      <c r="P21" s="61" t="s">
        <v>203</v>
      </c>
      <c r="Q21" s="62">
        <f>SUM(L5:L11)</f>
        <v>80.938090134989181</v>
      </c>
    </row>
    <row r="26" spans="11:17" x14ac:dyDescent="0.25">
      <c r="K26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8F000-0003-4BA6-A2E3-95A68E51AA78}">
  <sheetPr codeName="Sheet16">
    <tabColor theme="7" tint="-0.249977111117893"/>
    <pageSetUpPr fitToPage="1"/>
  </sheetPr>
  <dimension ref="A1:Y26"/>
  <sheetViews>
    <sheetView zoomScale="85" zoomScaleNormal="85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215</v>
      </c>
      <c r="F1" s="17" t="s">
        <v>188</v>
      </c>
      <c r="G1" s="10">
        <f>D1/B1</f>
        <v>215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213</v>
      </c>
    </row>
    <row r="2" spans="1:25" ht="14.25" customHeight="1" x14ac:dyDescent="0.25">
      <c r="A2" s="39"/>
      <c r="B2" s="152" t="s">
        <v>284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254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13.257142857142858</v>
      </c>
      <c r="E5" s="108">
        <f t="shared" ref="E5:E11" si="0">$G$1</f>
        <v>215</v>
      </c>
      <c r="F5" s="109">
        <v>1</v>
      </c>
      <c r="G5" s="108">
        <f t="shared" ref="G5:G11" si="1">E5*D5</f>
        <v>2850.2857142857147</v>
      </c>
      <c r="H5" s="110">
        <f t="shared" ref="H5:H11" si="2">G5*F5</f>
        <v>2850.2857142857147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1" si="3">((H5/(I5))/1000)</f>
        <v>2.8502857142857145</v>
      </c>
      <c r="L5" s="112">
        <f t="shared" ref="L5:L11" si="4">J5*K5</f>
        <v>18.295752895752894</v>
      </c>
    </row>
    <row r="6" spans="1:25" ht="14.85" customHeight="1" x14ac:dyDescent="0.25">
      <c r="A6" s="106"/>
      <c r="B6" s="113" t="s">
        <v>264</v>
      </c>
      <c r="C6" s="16" t="s">
        <v>204</v>
      </c>
      <c r="D6" s="107">
        <v>5.3028571428571425</v>
      </c>
      <c r="E6" s="108">
        <f t="shared" si="0"/>
        <v>215</v>
      </c>
      <c r="F6" s="109">
        <v>1</v>
      </c>
      <c r="G6" s="108">
        <f t="shared" si="1"/>
        <v>1140.1142857142856</v>
      </c>
      <c r="H6" s="110">
        <f t="shared" si="2"/>
        <v>1140.1142857142856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 t="shared" si="3"/>
        <v>1.1401142857142856</v>
      </c>
      <c r="L6" s="112">
        <f t="shared" si="4"/>
        <v>19.929438371654729</v>
      </c>
    </row>
    <row r="7" spans="1:25" ht="14.85" customHeight="1" x14ac:dyDescent="0.25">
      <c r="A7" s="106"/>
      <c r="B7" s="113" t="s">
        <v>263</v>
      </c>
      <c r="C7" s="16" t="s">
        <v>204</v>
      </c>
      <c r="D7" s="107">
        <v>0.53028571428571414</v>
      </c>
      <c r="E7" s="108">
        <f t="shared" si="0"/>
        <v>215</v>
      </c>
      <c r="F7" s="109">
        <v>1</v>
      </c>
      <c r="G7" s="108">
        <f t="shared" si="1"/>
        <v>114.01142857142854</v>
      </c>
      <c r="H7" s="110">
        <f t="shared" si="2"/>
        <v>114.01142857142854</v>
      </c>
      <c r="I7" s="106">
        <f>VLOOKUP(B7,Ordering!$A$1:$J$45,6,FALSE)</f>
        <v>1</v>
      </c>
      <c r="J7" s="111">
        <f>VLOOKUP(B7,Ordering!$A$1:$J$45,10,FALSE)</f>
        <v>17</v>
      </c>
      <c r="K7" s="107">
        <f t="shared" si="3"/>
        <v>0.11401142857142854</v>
      </c>
      <c r="L7" s="112">
        <f t="shared" si="4"/>
        <v>1.9381942857142853</v>
      </c>
      <c r="R7" s="35"/>
    </row>
    <row r="8" spans="1:25" ht="14.85" customHeight="1" x14ac:dyDescent="0.25">
      <c r="A8" s="106"/>
      <c r="B8" s="113" t="s">
        <v>262</v>
      </c>
      <c r="C8" s="16" t="s">
        <v>204</v>
      </c>
      <c r="D8" s="107">
        <v>0.26514285714285712</v>
      </c>
      <c r="E8" s="108">
        <f t="shared" si="0"/>
        <v>215</v>
      </c>
      <c r="F8" s="109">
        <v>1</v>
      </c>
      <c r="G8" s="108">
        <f t="shared" si="1"/>
        <v>57.005714285714284</v>
      </c>
      <c r="H8" s="110">
        <f t="shared" si="2"/>
        <v>57.005714285714284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 t="shared" si="3"/>
        <v>5.7005714285714285E-2</v>
      </c>
      <c r="L8" s="112">
        <f t="shared" si="4"/>
        <v>5.5247828823159217</v>
      </c>
      <c r="V8" s="63" t="s">
        <v>205</v>
      </c>
      <c r="W8" s="64">
        <v>1</v>
      </c>
      <c r="X8" s="63" t="s">
        <v>203</v>
      </c>
      <c r="Y8" s="65">
        <f>(SUM(L5:L11)/Q20)*W8</f>
        <v>0.21511784753485497</v>
      </c>
    </row>
    <row r="9" spans="1:25" ht="14.85" customHeight="1" x14ac:dyDescent="0.25">
      <c r="A9" s="106"/>
      <c r="B9" s="113" t="s">
        <v>257</v>
      </c>
      <c r="C9" s="16" t="s">
        <v>204</v>
      </c>
      <c r="D9" s="107">
        <v>0.19885714285714282</v>
      </c>
      <c r="E9" s="108">
        <f t="shared" si="0"/>
        <v>215</v>
      </c>
      <c r="F9" s="109">
        <v>1</v>
      </c>
      <c r="G9" s="130">
        <f t="shared" si="1"/>
        <v>42.754285714285707</v>
      </c>
      <c r="H9" s="131">
        <f t="shared" si="2"/>
        <v>42.754285714285707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4.275428571428571E-2</v>
      </c>
      <c r="L9" s="112">
        <f t="shared" si="4"/>
        <v>0.42754285714285711</v>
      </c>
    </row>
    <row r="10" spans="1:25" ht="14.85" customHeight="1" x14ac:dyDescent="0.25">
      <c r="A10" s="106"/>
      <c r="B10" s="113" t="s">
        <v>265</v>
      </c>
      <c r="C10" s="16" t="s">
        <v>204</v>
      </c>
      <c r="D10" s="107">
        <v>0.19885714285714282</v>
      </c>
      <c r="E10" s="108">
        <f t="shared" si="0"/>
        <v>215</v>
      </c>
      <c r="F10" s="109">
        <v>1</v>
      </c>
      <c r="G10" s="130">
        <f t="shared" si="1"/>
        <v>42.754285714285707</v>
      </c>
      <c r="H10" s="131">
        <f t="shared" si="2"/>
        <v>42.754285714285707</v>
      </c>
      <c r="I10" s="106">
        <f>VLOOKUP(B10,Ordering!$A$1:$J$45,6,FALSE)</f>
        <v>1</v>
      </c>
      <c r="J10" s="111">
        <f>VLOOKUP(B10,Ordering!$A$1:$J$45,10,FALSE)</f>
        <v>2.1621621621621623</v>
      </c>
      <c r="K10" s="107">
        <f t="shared" si="3"/>
        <v>4.275428571428571E-2</v>
      </c>
      <c r="L10" s="112">
        <f t="shared" si="4"/>
        <v>9.2441698841698838E-2</v>
      </c>
    </row>
    <row r="11" spans="1:25" ht="14.85" customHeight="1" x14ac:dyDescent="0.25">
      <c r="A11" s="106"/>
      <c r="B11" s="106" t="s">
        <v>88</v>
      </c>
      <c r="C11" s="16" t="s">
        <v>204</v>
      </c>
      <c r="D11" s="107">
        <v>0.26514285714285712</v>
      </c>
      <c r="E11" s="108">
        <f t="shared" si="0"/>
        <v>215</v>
      </c>
      <c r="F11" s="109">
        <v>1</v>
      </c>
      <c r="G11" s="108">
        <f t="shared" si="1"/>
        <v>57.005714285714284</v>
      </c>
      <c r="H11" s="110">
        <f t="shared" si="2"/>
        <v>57.005714285714284</v>
      </c>
      <c r="I11" s="106">
        <f>VLOOKUP(B11,Ordering!$A$1:$J$45,6,FALSE)</f>
        <v>1</v>
      </c>
      <c r="J11" s="111">
        <f>VLOOKUP(B11,Ordering!$A$1:$J$45,10,FALSE)</f>
        <v>0.74</v>
      </c>
      <c r="K11" s="107">
        <f t="shared" si="3"/>
        <v>5.7005714285714285E-2</v>
      </c>
      <c r="L11" s="112">
        <f t="shared" si="4"/>
        <v>4.2184228571428568E-2</v>
      </c>
      <c r="M11" s="72"/>
      <c r="N11" s="22"/>
    </row>
    <row r="12" spans="1:25" ht="14.85" customHeight="1" x14ac:dyDescent="0.25">
      <c r="B12" s="57" t="s">
        <v>189</v>
      </c>
      <c r="C12" s="132" t="s">
        <v>204</v>
      </c>
      <c r="D12" s="127">
        <f>$I$1</f>
        <v>20</v>
      </c>
      <c r="E12" s="133"/>
      <c r="F12" s="133"/>
      <c r="G12" s="134" t="s">
        <v>323</v>
      </c>
      <c r="H12" s="135">
        <f>SUM(H5:H11)</f>
        <v>4303.9314285714281</v>
      </c>
    </row>
    <row r="13" spans="1:25" ht="14.85" customHeight="1" x14ac:dyDescent="0.25"/>
    <row r="15" spans="1:25" x14ac:dyDescent="0.25">
      <c r="P15" s="136"/>
      <c r="Q15" s="137"/>
    </row>
    <row r="16" spans="1:25" ht="14.85" customHeight="1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213</v>
      </c>
    </row>
    <row r="19" spans="11:17" ht="15.75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215</v>
      </c>
    </row>
    <row r="21" spans="11:17" x14ac:dyDescent="0.25">
      <c r="P21" s="61" t="s">
        <v>203</v>
      </c>
      <c r="Q21" s="62">
        <f>SUM(L5:L11)</f>
        <v>46.250337219993817</v>
      </c>
    </row>
    <row r="26" spans="11:17" x14ac:dyDescent="0.25">
      <c r="K26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6" tint="-0.249977111117893"/>
    <pageSetUpPr fitToPage="1"/>
  </sheetPr>
  <dimension ref="A1:V27"/>
  <sheetViews>
    <sheetView zoomScale="85" zoomScaleNormal="85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139</v>
      </c>
      <c r="F1" s="17" t="s">
        <v>188</v>
      </c>
      <c r="G1" s="10">
        <f>D1/B1</f>
        <v>139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137</v>
      </c>
    </row>
    <row r="2" spans="1:22" ht="14.25" customHeight="1" x14ac:dyDescent="0.25">
      <c r="A2" s="37"/>
      <c r="B2" s="150" t="s">
        <v>226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233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23</v>
      </c>
      <c r="C5" s="16" t="s">
        <v>204</v>
      </c>
      <c r="D5" s="15">
        <v>20</v>
      </c>
      <c r="E5" s="12">
        <f t="shared" ref="E5:E10" si="0">$G$1</f>
        <v>139</v>
      </c>
      <c r="F5" s="13">
        <v>1</v>
      </c>
      <c r="G5" s="12">
        <f t="shared" ref="G5:G10" si="1">E5*D5</f>
        <v>2780</v>
      </c>
      <c r="H5" s="56">
        <f t="shared" ref="H5:H10" si="2">G5*F5</f>
        <v>2780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H5/I5</f>
        <v>2780</v>
      </c>
      <c r="L5" s="59">
        <f t="shared" ref="L5:L10" si="4">J5*K5</f>
        <v>18614.88</v>
      </c>
    </row>
    <row r="6" spans="1:22" ht="14.85" customHeight="1" x14ac:dyDescent="0.25">
      <c r="A6" s="11"/>
      <c r="B6" s="11" t="s">
        <v>141</v>
      </c>
      <c r="C6" s="16" t="s">
        <v>204</v>
      </c>
      <c r="D6" s="15">
        <v>5.4</v>
      </c>
      <c r="E6" s="12">
        <f t="shared" si="0"/>
        <v>139</v>
      </c>
      <c r="F6" s="13">
        <v>1</v>
      </c>
      <c r="G6" s="12">
        <f t="shared" si="1"/>
        <v>750.6</v>
      </c>
      <c r="H6" s="56">
        <f t="shared" si="2"/>
        <v>750.6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938.25</v>
      </c>
      <c r="L6" s="59">
        <f t="shared" si="4"/>
        <v>2814.75</v>
      </c>
    </row>
    <row r="7" spans="1:22" ht="14.85" customHeight="1" x14ac:dyDescent="0.25">
      <c r="A7" s="11"/>
      <c r="B7" s="11" t="s">
        <v>80</v>
      </c>
      <c r="C7" s="16" t="s">
        <v>204</v>
      </c>
      <c r="D7" s="15">
        <v>0.05</v>
      </c>
      <c r="E7" s="12">
        <f t="shared" si="0"/>
        <v>139</v>
      </c>
      <c r="F7" s="13">
        <v>1</v>
      </c>
      <c r="G7" s="12">
        <f t="shared" si="1"/>
        <v>6.95</v>
      </c>
      <c r="H7" s="56">
        <f t="shared" si="2"/>
        <v>6.95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6.95</v>
      </c>
      <c r="L7" s="59">
        <f t="shared" si="4"/>
        <v>55.6</v>
      </c>
      <c r="R7" s="35"/>
    </row>
    <row r="8" spans="1:22" ht="14.85" customHeight="1" x14ac:dyDescent="0.25">
      <c r="A8" s="11"/>
      <c r="B8" s="11" t="s">
        <v>119</v>
      </c>
      <c r="C8" s="16" t="s">
        <v>204</v>
      </c>
      <c r="D8" s="15">
        <v>0.02</v>
      </c>
      <c r="E8" s="12">
        <f t="shared" si="0"/>
        <v>139</v>
      </c>
      <c r="F8" s="13">
        <v>1</v>
      </c>
      <c r="G8" s="12">
        <f t="shared" si="1"/>
        <v>2.7800000000000002</v>
      </c>
      <c r="H8" s="56">
        <f t="shared" si="2"/>
        <v>2.7800000000000002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2.7800000000000002</v>
      </c>
      <c r="L8" s="59">
        <f t="shared" si="4"/>
        <v>55.600000000000009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139</v>
      </c>
      <c r="F9" s="13">
        <v>1</v>
      </c>
      <c r="G9" s="12">
        <f t="shared" si="1"/>
        <v>1313.55</v>
      </c>
      <c r="H9" s="56">
        <f t="shared" si="2"/>
        <v>1313.55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1313.55</v>
      </c>
      <c r="L9" s="59">
        <f t="shared" si="4"/>
        <v>0</v>
      </c>
    </row>
    <row r="10" spans="1:22" ht="14.85" customHeight="1" x14ac:dyDescent="0.25">
      <c r="A10" s="11"/>
      <c r="B10" s="11" t="s">
        <v>88</v>
      </c>
      <c r="C10" s="16" t="s">
        <v>204</v>
      </c>
      <c r="D10" s="15">
        <v>0.08</v>
      </c>
      <c r="E10" s="12">
        <f t="shared" si="0"/>
        <v>139</v>
      </c>
      <c r="F10" s="13">
        <v>1</v>
      </c>
      <c r="G10" s="12">
        <f t="shared" si="1"/>
        <v>11.120000000000001</v>
      </c>
      <c r="H10" s="56">
        <f t="shared" si="2"/>
        <v>11.120000000000001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11.120000000000001</v>
      </c>
      <c r="L10" s="59">
        <f t="shared" si="4"/>
        <v>8.2288000000000014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4865</v>
      </c>
      <c r="M11" s="72"/>
      <c r="N11" s="22"/>
    </row>
    <row r="12" spans="1:22" ht="14.85" customHeight="1" x14ac:dyDescent="0.25">
      <c r="M12" s="72"/>
      <c r="N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137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139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6" tint="-0.249977111117893"/>
    <pageSetUpPr fitToPage="1"/>
  </sheetPr>
  <dimension ref="A1:Y27"/>
  <sheetViews>
    <sheetView zoomScale="85" zoomScaleNormal="85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137</v>
      </c>
      <c r="F1" s="17" t="s">
        <v>188</v>
      </c>
      <c r="G1" s="10">
        <f>D1/B1</f>
        <v>137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135</v>
      </c>
    </row>
    <row r="2" spans="1:25" ht="14.25" customHeight="1" x14ac:dyDescent="0.25">
      <c r="A2" s="39"/>
      <c r="B2" s="152" t="s">
        <v>234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6" t="s">
        <v>235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137</v>
      </c>
      <c r="C5" s="16" t="s">
        <v>204</v>
      </c>
      <c r="D5" s="15">
        <v>0.5</v>
      </c>
      <c r="E5" s="12">
        <f>$G$1</f>
        <v>137</v>
      </c>
      <c r="F5" s="13">
        <v>1</v>
      </c>
      <c r="G5" s="12">
        <f>E5*D5</f>
        <v>68.5</v>
      </c>
      <c r="H5" s="56">
        <f>G5*F5</f>
        <v>68.5</v>
      </c>
      <c r="I5" s="11">
        <f>VLOOKUP(B5,Ordering!$A$1:$J$45,6,FALSE)</f>
        <v>0.71</v>
      </c>
      <c r="J5" s="58">
        <f>VLOOKUP(B5,Ordering!$A$1:$J$45,10,FALSE)</f>
        <v>3</v>
      </c>
      <c r="K5" s="58">
        <f>((H5/(I5))/1000)</f>
        <v>9.647887323943663E-2</v>
      </c>
      <c r="L5" s="59">
        <f>J5*K5</f>
        <v>0.28943661971830992</v>
      </c>
    </row>
    <row r="6" spans="1:25" ht="14.85" customHeight="1" x14ac:dyDescent="0.25">
      <c r="A6" s="11"/>
      <c r="B6" s="11" t="s">
        <v>23</v>
      </c>
      <c r="C6" s="16" t="s">
        <v>204</v>
      </c>
      <c r="D6" s="58">
        <v>19.5</v>
      </c>
      <c r="E6" s="12">
        <f>$G$1</f>
        <v>137</v>
      </c>
      <c r="F6" s="13">
        <v>1</v>
      </c>
      <c r="G6" s="12">
        <f>E6*D6</f>
        <v>2671.5</v>
      </c>
      <c r="H6" s="56">
        <f>G6*F6</f>
        <v>2671.5</v>
      </c>
      <c r="I6" s="11">
        <f>VLOOKUP(B6,Ordering!$A$1:$J$45,6,FALSE)</f>
        <v>1</v>
      </c>
      <c r="J6" s="58">
        <f>VLOOKUP(B6,Ordering!$A$1:$J$45,10,FALSE)</f>
        <v>6.6959999999999997</v>
      </c>
      <c r="K6" s="58">
        <f>((H6/(I6))/1000)</f>
        <v>2.6715</v>
      </c>
      <c r="L6" s="59">
        <f>J6*K6</f>
        <v>17.888363999999999</v>
      </c>
    </row>
    <row r="7" spans="1:25" ht="14.85" customHeight="1" x14ac:dyDescent="0.25">
      <c r="A7" s="11"/>
      <c r="B7" s="11" t="s">
        <v>88</v>
      </c>
      <c r="C7" s="16" t="s">
        <v>204</v>
      </c>
      <c r="D7" s="15">
        <v>5.2805280528052813E-2</v>
      </c>
      <c r="E7" s="12">
        <f>$G$1</f>
        <v>137</v>
      </c>
      <c r="F7" s="13">
        <v>1</v>
      </c>
      <c r="G7" s="12">
        <f>E7*D7</f>
        <v>7.2343234323432357</v>
      </c>
      <c r="H7" s="56">
        <f>G7*F7</f>
        <v>7.2343234323432357</v>
      </c>
      <c r="I7" s="11">
        <f>VLOOKUP(B7,Ordering!$A$1:$J$45,6,FALSE)</f>
        <v>1</v>
      </c>
      <c r="J7" s="58">
        <f>VLOOKUP(B7,Ordering!$A$1:$J$45,10,FALSE)</f>
        <v>0.74</v>
      </c>
      <c r="K7" s="58">
        <f>((H7/(I7))/1000)</f>
        <v>7.2343234323432358E-3</v>
      </c>
      <c r="L7" s="59">
        <f>J7*K7</f>
        <v>5.3533993399339942E-3</v>
      </c>
    </row>
    <row r="8" spans="1:25" ht="14.85" customHeight="1" x14ac:dyDescent="0.25">
      <c r="A8" s="11"/>
      <c r="B8" s="11" t="s">
        <v>91</v>
      </c>
      <c r="C8" s="16" t="s">
        <v>204</v>
      </c>
      <c r="D8" s="15">
        <v>2.6402640264026399E-2</v>
      </c>
      <c r="E8" s="12">
        <f>$G$1</f>
        <v>137</v>
      </c>
      <c r="F8" s="13">
        <v>1</v>
      </c>
      <c r="G8" s="12">
        <f>E8*D8</f>
        <v>3.6171617161716165</v>
      </c>
      <c r="H8" s="56">
        <f>G8*F8</f>
        <v>3.6171617161716165</v>
      </c>
      <c r="I8" s="11">
        <f>VLOOKUP(B8,Ordering!$A$1:$J$45,6,FALSE)</f>
        <v>1</v>
      </c>
      <c r="J8" s="58">
        <f>VLOOKUP(B8,Ordering!$A$1:$J$45,10,FALSE)</f>
        <v>47</v>
      </c>
      <c r="K8" s="58">
        <f>((H8/(I8))/1000)</f>
        <v>3.6171617161716166E-3</v>
      </c>
      <c r="L8" s="59">
        <f>J8*K8</f>
        <v>0.17000660066006598</v>
      </c>
      <c r="R8" s="35"/>
      <c r="V8" s="63" t="s">
        <v>205</v>
      </c>
      <c r="W8" s="64">
        <v>1</v>
      </c>
      <c r="X8" s="63" t="s">
        <v>203</v>
      </c>
      <c r="Y8" s="65">
        <f>SUM(L5:L8)/Q20</f>
        <v>0.13396467605633802</v>
      </c>
    </row>
    <row r="9" spans="1:25" x14ac:dyDescent="0.25"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2750.8514851485152</v>
      </c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135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137</v>
      </c>
    </row>
    <row r="21" spans="11:17" x14ac:dyDescent="0.25">
      <c r="P21" s="61" t="s">
        <v>203</v>
      </c>
      <c r="Q21" s="62">
        <f>SUM(L5:L8)</f>
        <v>18.353160619718309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theme="6" tint="-0.249977111117893"/>
    <pageSetUpPr fitToPage="1"/>
  </sheetPr>
  <dimension ref="A1:V27"/>
  <sheetViews>
    <sheetView zoomScaleNormal="100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3" max="15" width="3.85546875" customWidth="1"/>
    <col min="19" max="19" width="8.42578125" bestFit="1" customWidth="1"/>
  </cols>
  <sheetData>
    <row r="1" spans="1:22" ht="25.35" customHeight="1" x14ac:dyDescent="0.25">
      <c r="A1" s="17" t="s">
        <v>186</v>
      </c>
      <c r="B1" s="9">
        <v>1</v>
      </c>
      <c r="D1" s="8">
        <f>Q20</f>
        <v>162</v>
      </c>
      <c r="E1" s="17" t="s">
        <v>187</v>
      </c>
      <c r="F1" s="10">
        <f>Q20</f>
        <v>162</v>
      </c>
      <c r="H1" s="17" t="s">
        <v>222</v>
      </c>
      <c r="I1" s="21">
        <v>20</v>
      </c>
      <c r="J1" s="1"/>
      <c r="U1" s="93" t="s">
        <v>20</v>
      </c>
      <c r="V1" s="94">
        <v>160</v>
      </c>
    </row>
    <row r="2" spans="1:22" ht="14.25" customHeight="1" x14ac:dyDescent="0.25">
      <c r="A2" s="39"/>
      <c r="B2" s="155" t="s">
        <v>229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238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42</v>
      </c>
      <c r="C5" s="16" t="s">
        <v>204</v>
      </c>
      <c r="D5" s="15">
        <v>16.7</v>
      </c>
      <c r="E5" s="12">
        <f>$F$1</f>
        <v>162</v>
      </c>
      <c r="F5" s="13">
        <v>1</v>
      </c>
      <c r="G5" s="12">
        <f>E5*D5</f>
        <v>2705.4</v>
      </c>
      <c r="H5" s="56">
        <f>G5*F5</f>
        <v>2705.4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2705.4</v>
      </c>
      <c r="L5" s="59">
        <f>J5*K5</f>
        <v>17365.743243243243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0.3</v>
      </c>
      <c r="E6" s="12">
        <f t="shared" ref="E6:E8" si="0">$F$1</f>
        <v>162</v>
      </c>
      <c r="F6" s="13">
        <v>1</v>
      </c>
      <c r="G6" s="12">
        <f>E6*D6</f>
        <v>48.6</v>
      </c>
      <c r="H6" s="56">
        <f>G6*F6</f>
        <v>48.6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48.6</v>
      </c>
      <c r="L6" s="59">
        <f>J6*K6</f>
        <v>157.95000000000002</v>
      </c>
    </row>
    <row r="7" spans="1:22" ht="14.85" customHeight="1" x14ac:dyDescent="0.25">
      <c r="A7" s="11"/>
      <c r="B7" s="11" t="s">
        <v>46</v>
      </c>
      <c r="C7" s="16" t="s">
        <v>204</v>
      </c>
      <c r="D7" s="15">
        <v>1</v>
      </c>
      <c r="E7" s="12">
        <f t="shared" si="0"/>
        <v>162</v>
      </c>
      <c r="F7" s="13">
        <v>1</v>
      </c>
      <c r="G7" s="12">
        <f>E7*D7</f>
        <v>162</v>
      </c>
      <c r="H7" s="56">
        <f>G7*F7</f>
        <v>162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162</v>
      </c>
      <c r="L7" s="59">
        <f>J7*K7</f>
        <v>1821.4285714285716</v>
      </c>
      <c r="S7" s="35"/>
    </row>
    <row r="8" spans="1:22" ht="14.85" customHeight="1" x14ac:dyDescent="0.25">
      <c r="A8" s="11"/>
      <c r="B8" s="11" t="s">
        <v>57</v>
      </c>
      <c r="C8" s="16" t="s">
        <v>36</v>
      </c>
      <c r="D8" s="15">
        <v>2</v>
      </c>
      <c r="E8" s="12">
        <f t="shared" si="0"/>
        <v>162</v>
      </c>
      <c r="F8" s="13">
        <v>1</v>
      </c>
      <c r="G8" s="12">
        <f>E8*D8</f>
        <v>324</v>
      </c>
      <c r="H8" s="56">
        <f>G8*F8</f>
        <v>324</v>
      </c>
      <c r="I8" s="77">
        <f>VLOOKUP(B8,Ordering!$A$1:$J$45,6,FALSE)</f>
        <v>1</v>
      </c>
      <c r="J8" s="78">
        <f>VLOOKUP(B8,Ordering!$A$1:$J$45,10,FALSE)</f>
        <v>58.685446009389672</v>
      </c>
      <c r="K8" s="78">
        <f>H8/I8</f>
        <v>324</v>
      </c>
      <c r="L8" s="79">
        <f>J8*K8</f>
        <v>19014.084507042255</v>
      </c>
    </row>
    <row r="9" spans="1:22" x14ac:dyDescent="0.25"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3240</v>
      </c>
      <c r="I9" s="81"/>
      <c r="J9" s="82"/>
      <c r="K9" s="82"/>
      <c r="L9" s="83"/>
      <c r="S9" s="35"/>
    </row>
    <row r="10" spans="1:22" x14ac:dyDescent="0.25">
      <c r="I10" s="1"/>
      <c r="J10" s="80"/>
      <c r="K10" s="80"/>
      <c r="L10" s="19"/>
    </row>
    <row r="11" spans="1:22" x14ac:dyDescent="0.25">
      <c r="M11" s="19"/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160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162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>
    <tabColor theme="6" tint="-0.249977111117893"/>
    <pageSetUpPr fitToPage="1"/>
  </sheetPr>
  <dimension ref="A1:V27"/>
  <sheetViews>
    <sheetView topLeftCell="B1" zoomScale="83" zoomScaleNormal="83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6" max="16" width="7.85546875" bestFit="1" customWidth="1"/>
    <col min="18" max="18" width="22.42578125" customWidth="1"/>
    <col min="19" max="19" width="14.85546875" customWidth="1"/>
  </cols>
  <sheetData>
    <row r="1" spans="1:22" ht="25.35" customHeight="1" x14ac:dyDescent="0.25">
      <c r="A1" s="17" t="s">
        <v>220</v>
      </c>
      <c r="B1" s="9">
        <v>20</v>
      </c>
      <c r="D1" s="8">
        <f>Q20</f>
        <v>162</v>
      </c>
      <c r="E1" s="17" t="s">
        <v>221</v>
      </c>
      <c r="F1" s="10">
        <f>Q20</f>
        <v>162</v>
      </c>
      <c r="H1" s="17" t="s">
        <v>189</v>
      </c>
      <c r="I1" s="21">
        <v>20</v>
      </c>
      <c r="J1" s="1"/>
      <c r="K1" s="18" t="s">
        <v>190</v>
      </c>
      <c r="U1" s="93" t="s">
        <v>20</v>
      </c>
      <c r="V1" s="94">
        <v>160</v>
      </c>
    </row>
    <row r="2" spans="1:22" ht="14.25" customHeight="1" x14ac:dyDescent="0.25">
      <c r="A2" s="39"/>
      <c r="B2" s="155" t="s">
        <v>223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238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42</v>
      </c>
      <c r="C5" s="16" t="s">
        <v>204</v>
      </c>
      <c r="D5" s="15">
        <v>10.75268817204301</v>
      </c>
      <c r="E5" s="12">
        <f>$F$1</f>
        <v>162</v>
      </c>
      <c r="F5" s="13">
        <v>1</v>
      </c>
      <c r="G5" s="12">
        <f>E5*D5</f>
        <v>1741.9354838709676</v>
      </c>
      <c r="H5" s="56">
        <f>G5*F5</f>
        <v>1741.9354838709676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1741.9354838709676</v>
      </c>
      <c r="L5" s="59">
        <f>J5*K5</f>
        <v>11181.342632955535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7.311827956989247</v>
      </c>
      <c r="E6" s="12">
        <f>$F$1</f>
        <v>162</v>
      </c>
      <c r="F6" s="13">
        <v>1</v>
      </c>
      <c r="G6" s="12">
        <f>E6*D6</f>
        <v>1184.516129032258</v>
      </c>
      <c r="H6" s="56">
        <f>G6*F6</f>
        <v>1184.516129032258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1184.516129032258</v>
      </c>
      <c r="L6" s="59">
        <f>J6*K6</f>
        <v>3849.6774193548385</v>
      </c>
    </row>
    <row r="7" spans="1:22" ht="14.85" customHeight="1" x14ac:dyDescent="0.25">
      <c r="A7" s="11"/>
      <c r="B7" s="11" t="s">
        <v>46</v>
      </c>
      <c r="C7" s="16" t="s">
        <v>204</v>
      </c>
      <c r="D7" s="15">
        <v>0.78853046594982079</v>
      </c>
      <c r="E7" s="12">
        <f>$F$1</f>
        <v>162</v>
      </c>
      <c r="F7" s="13">
        <v>1</v>
      </c>
      <c r="G7" s="12">
        <f>E7*D7</f>
        <v>127.74193548387098</v>
      </c>
      <c r="H7" s="56">
        <f>G7*F7</f>
        <v>127.74193548387098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127.74193548387098</v>
      </c>
      <c r="L7" s="59">
        <f>J7*K7</f>
        <v>1436.2519201228879</v>
      </c>
    </row>
    <row r="8" spans="1:22" ht="14.85" customHeight="1" x14ac:dyDescent="0.25">
      <c r="A8" s="11"/>
      <c r="B8" s="11" t="s">
        <v>57</v>
      </c>
      <c r="C8" s="16" t="s">
        <v>36</v>
      </c>
      <c r="D8" s="15">
        <v>1.1469534050179211</v>
      </c>
      <c r="E8" s="12">
        <f>$F$1</f>
        <v>162</v>
      </c>
      <c r="F8" s="13">
        <v>1</v>
      </c>
      <c r="G8" s="12">
        <f>E8*D8</f>
        <v>185.8064516129032</v>
      </c>
      <c r="H8" s="56">
        <f>G8*F8</f>
        <v>185.8064516129032</v>
      </c>
      <c r="I8" s="11">
        <f>VLOOKUP(B8,Ordering!$A$1:$J$45,6,FALSE)</f>
        <v>1</v>
      </c>
      <c r="J8" s="58">
        <f>VLOOKUP(B8,Ordering!$A$1:$J$45,10,FALSE)</f>
        <v>58.685446009389672</v>
      </c>
      <c r="K8" s="58">
        <f>H8/I8</f>
        <v>185.8064516129032</v>
      </c>
      <c r="L8" s="59">
        <f>J8*K8</f>
        <v>10904.134484325305</v>
      </c>
      <c r="R8" s="35"/>
    </row>
    <row r="9" spans="1:22" x14ac:dyDescent="0.25"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3240</v>
      </c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ht="14.85" customHeight="1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160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162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3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56">
    <tabColor theme="6" tint="-0.249977111117893"/>
    <pageSetUpPr fitToPage="1"/>
  </sheetPr>
  <dimension ref="A1:Y27"/>
  <sheetViews>
    <sheetView zoomScale="70" zoomScaleNormal="70" workbookViewId="0">
      <selection activeCell="D40" sqref="D40"/>
    </sheetView>
  </sheetViews>
  <sheetFormatPr defaultRowHeight="15" x14ac:dyDescent="0.25"/>
  <cols>
    <col min="1" max="1" width="21.7109375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9" max="9" width="10.28515625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193</v>
      </c>
      <c r="F1" s="17" t="s">
        <v>188</v>
      </c>
      <c r="G1" s="10">
        <f>D1/B1</f>
        <v>193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191</v>
      </c>
    </row>
    <row r="2" spans="1:25" ht="14.25" customHeight="1" x14ac:dyDescent="0.25">
      <c r="A2" s="39"/>
      <c r="B2" s="152" t="s">
        <v>283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253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/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272</v>
      </c>
      <c r="C5" s="16" t="s">
        <v>204</v>
      </c>
      <c r="D5" s="107">
        <v>8.4676056338028172</v>
      </c>
      <c r="E5" s="108">
        <f>$G$1</f>
        <v>193</v>
      </c>
      <c r="F5" s="109">
        <v>1</v>
      </c>
      <c r="G5" s="108">
        <f>E5*D5</f>
        <v>1634.2478873239438</v>
      </c>
      <c r="H5" s="110">
        <f>G5*F5</f>
        <v>1634.2478873239438</v>
      </c>
      <c r="I5" s="106">
        <f>VLOOKUP(B5,Ordering!$A$1:$J$50,6,FALSE)</f>
        <v>0.84</v>
      </c>
      <c r="J5" s="111">
        <f>VLOOKUP(B5,Ordering!$A$1:$J$50,10,FALSE)</f>
        <v>2.6</v>
      </c>
      <c r="K5" s="107">
        <f>((H5/(I5))/1000)</f>
        <v>1.9455331991951714</v>
      </c>
      <c r="L5" s="112">
        <f>J5*K5</f>
        <v>5.0583863179074458</v>
      </c>
    </row>
    <row r="6" spans="1:25" ht="14.85" customHeight="1" x14ac:dyDescent="0.25">
      <c r="A6" s="106"/>
      <c r="B6" s="106" t="s">
        <v>271</v>
      </c>
      <c r="C6" s="16" t="s">
        <v>204</v>
      </c>
      <c r="D6" s="107">
        <v>8.4676056338028172</v>
      </c>
      <c r="E6" s="108">
        <f>$G$1</f>
        <v>193</v>
      </c>
      <c r="F6" s="109">
        <v>1</v>
      </c>
      <c r="G6" s="108">
        <f>E6*D6</f>
        <v>1634.2478873239438</v>
      </c>
      <c r="H6" s="110">
        <f>G6*F6</f>
        <v>1634.2478873239438</v>
      </c>
      <c r="I6" s="106">
        <f>VLOOKUP(B6,Ordering!$A$1:$J$50,6,FALSE)</f>
        <v>0.88</v>
      </c>
      <c r="J6" s="111">
        <f>VLOOKUP(B6,Ordering!$A$1:$J$50,10,FALSE)</f>
        <v>3</v>
      </c>
      <c r="K6" s="107">
        <f>((H6/(I6))/1000)</f>
        <v>1.857099871959027</v>
      </c>
      <c r="L6" s="112">
        <f>J6*K6</f>
        <v>5.5712996158770807</v>
      </c>
    </row>
    <row r="7" spans="1:25" ht="14.85" customHeight="1" x14ac:dyDescent="0.25">
      <c r="A7" s="106"/>
      <c r="B7" s="106" t="s">
        <v>265</v>
      </c>
      <c r="C7" s="16" t="s">
        <v>36</v>
      </c>
      <c r="D7" s="107">
        <v>0.56450704225352133</v>
      </c>
      <c r="E7" s="108">
        <f>$G$1</f>
        <v>193</v>
      </c>
      <c r="F7" s="109">
        <v>1</v>
      </c>
      <c r="G7" s="108">
        <f>E7*D7</f>
        <v>108.94985915492961</v>
      </c>
      <c r="H7" s="110">
        <f>G7*F7</f>
        <v>108.94985915492961</v>
      </c>
      <c r="I7" s="106">
        <f>VLOOKUP(B7,Ordering!$A$1:$J$50,6,FALSE)</f>
        <v>1</v>
      </c>
      <c r="J7" s="111">
        <f>VLOOKUP(B7,Ordering!$A$1:$J$50,10,FALSE)</f>
        <v>2.1621621621621623</v>
      </c>
      <c r="K7" s="107">
        <f>((H7/(I7))/1000)</f>
        <v>0.10894985915492961</v>
      </c>
      <c r="L7" s="112">
        <f>J7*K7</f>
        <v>0.23556726303768566</v>
      </c>
      <c r="R7" s="35"/>
    </row>
    <row r="8" spans="1:25" ht="14.85" customHeight="1" x14ac:dyDescent="0.25">
      <c r="A8" s="106"/>
      <c r="B8" s="106" t="s">
        <v>42</v>
      </c>
      <c r="C8" s="16" t="s">
        <v>204</v>
      </c>
      <c r="D8" s="107">
        <v>1.9757746478873237</v>
      </c>
      <c r="E8" s="108">
        <f>$G$1</f>
        <v>193</v>
      </c>
      <c r="F8" s="109">
        <v>1</v>
      </c>
      <c r="G8" s="108">
        <f>E8*D8</f>
        <v>381.32450704225346</v>
      </c>
      <c r="H8" s="110">
        <f>G8*F8</f>
        <v>381.32450704225346</v>
      </c>
      <c r="I8" s="106">
        <f>VLOOKUP(B8,Ordering!$A$1:$J$50,6,FALSE)</f>
        <v>1</v>
      </c>
      <c r="J8" s="111">
        <f>VLOOKUP(B8,Ordering!$A$1:$J$50,10,FALSE)</f>
        <v>6.4189189189189184</v>
      </c>
      <c r="K8" s="107">
        <f>((H8/(I8))/1000)</f>
        <v>0.38132450704225346</v>
      </c>
      <c r="L8" s="112">
        <f>J8*K8</f>
        <v>2.4476910925009512</v>
      </c>
      <c r="V8" s="63" t="s">
        <v>205</v>
      </c>
      <c r="W8" s="64">
        <v>1</v>
      </c>
      <c r="X8" s="63" t="s">
        <v>203</v>
      </c>
      <c r="Y8" s="65">
        <f>(SUM(L5:L9)/Q20)*W8</f>
        <v>7.5663937771202422E-2</v>
      </c>
    </row>
    <row r="9" spans="1:25" ht="14.85" customHeight="1" x14ac:dyDescent="0.25">
      <c r="A9" s="124" t="s">
        <v>320</v>
      </c>
      <c r="B9" s="106" t="s">
        <v>318</v>
      </c>
      <c r="C9" s="16" t="s">
        <v>319</v>
      </c>
      <c r="D9" s="107">
        <v>0.56450704225352133</v>
      </c>
      <c r="E9" s="108">
        <f>$G$1</f>
        <v>193</v>
      </c>
      <c r="F9" s="109">
        <v>1</v>
      </c>
      <c r="G9" s="108">
        <f>E9*D9</f>
        <v>108.94985915492961</v>
      </c>
      <c r="H9" s="110">
        <f>G9*F9</f>
        <v>108.94985915492961</v>
      </c>
      <c r="I9" s="106">
        <f>VLOOKUP(B9,Ordering!$A$1:$J$50,6,FALSE)</f>
        <v>0.38</v>
      </c>
      <c r="J9" s="111">
        <f>VLOOKUP(B9,Ordering!$A$1:$J$50,10,FALSE)</f>
        <v>4.5</v>
      </c>
      <c r="K9" s="107">
        <f>((H9/(I9))/1000)</f>
        <v>0.28671015567086738</v>
      </c>
      <c r="L9" s="112">
        <f>J9*K9</f>
        <v>1.2901957005189033</v>
      </c>
    </row>
    <row r="10" spans="1:25" ht="14.85" customHeight="1" x14ac:dyDescent="0.25">
      <c r="A10" s="11"/>
      <c r="B10" s="57" t="s">
        <v>189</v>
      </c>
      <c r="C10" s="132" t="s">
        <v>204</v>
      </c>
      <c r="D10" s="127">
        <f>$I$1</f>
        <v>20</v>
      </c>
      <c r="E10" s="133"/>
      <c r="F10" s="133"/>
      <c r="G10" s="134" t="s">
        <v>323</v>
      </c>
      <c r="H10" s="135">
        <f>SUM(H5:H9)</f>
        <v>3867.7200000000003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191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193</v>
      </c>
    </row>
    <row r="21" spans="11:17" x14ac:dyDescent="0.25">
      <c r="P21" s="61" t="s">
        <v>203</v>
      </c>
      <c r="Q21" s="62">
        <f>SUM(L5:L9)</f>
        <v>14.603139989842067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C14AF-8F33-4416-A9B0-3704A17C4BBC}">
  <sheetPr codeName="Sheet31">
    <tabColor theme="6" tint="-0.249977111117893"/>
    <pageSetUpPr fitToPage="1"/>
  </sheetPr>
  <dimension ref="A1:Y27"/>
  <sheetViews>
    <sheetView topLeftCell="B1" zoomScale="70" zoomScaleNormal="7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193</v>
      </c>
      <c r="F1" s="17" t="s">
        <v>188</v>
      </c>
      <c r="G1" s="10">
        <f>D1/B1</f>
        <v>193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191</v>
      </c>
    </row>
    <row r="2" spans="1:25" ht="14.25" customHeight="1" x14ac:dyDescent="0.25">
      <c r="A2" s="39"/>
      <c r="B2" s="152" t="s">
        <v>276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287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29.005524861878463</v>
      </c>
      <c r="E5" s="108">
        <f>$G$1</f>
        <v>193</v>
      </c>
      <c r="F5" s="109">
        <v>1</v>
      </c>
      <c r="G5" s="108">
        <f>E5*D5</f>
        <v>5598.0662983425436</v>
      </c>
      <c r="H5" s="110">
        <f>G5*F5</f>
        <v>5598.0662983425436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5.5980662983425438</v>
      </c>
      <c r="L5" s="112">
        <f>J5*K5</f>
        <v>35.933533671793356</v>
      </c>
    </row>
    <row r="6" spans="1:25" ht="14.85" customHeight="1" x14ac:dyDescent="0.25">
      <c r="A6" s="106"/>
      <c r="B6" s="106" t="s">
        <v>261</v>
      </c>
      <c r="C6" s="16" t="s">
        <v>204</v>
      </c>
      <c r="D6" s="107">
        <v>1.9337016574585641</v>
      </c>
      <c r="E6" s="108">
        <f>$G$1</f>
        <v>193</v>
      </c>
      <c r="F6" s="109">
        <v>1</v>
      </c>
      <c r="G6" s="108">
        <f>E6*D6</f>
        <v>373.2044198895029</v>
      </c>
      <c r="H6" s="110">
        <f>G6*F6</f>
        <v>373.2044198895029</v>
      </c>
      <c r="I6" s="106">
        <f>VLOOKUP(B6,Ordering!$A$1:$J$45,6,FALSE)</f>
        <v>1</v>
      </c>
      <c r="J6" s="111">
        <f>VLOOKUP(B6,Ordering!$A$1:$J$45,10,FALSE)</f>
        <v>10.5</v>
      </c>
      <c r="K6" s="107">
        <f>((H6/(I6))/1000)</f>
        <v>0.37320441988950293</v>
      </c>
      <c r="L6" s="112">
        <f>J6*K6</f>
        <v>3.9186464088397805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2.9005524861878462</v>
      </c>
      <c r="E7" s="108">
        <f>$G$1</f>
        <v>193</v>
      </c>
      <c r="F7" s="109">
        <v>1</v>
      </c>
      <c r="G7" s="108">
        <f>E7*D7</f>
        <v>559.8066298342543</v>
      </c>
      <c r="H7" s="110">
        <f>G7*F7</f>
        <v>559.8066298342543</v>
      </c>
      <c r="I7" s="106">
        <f>VLOOKUP(B7,Ordering!$A$1:$J$45,6,FALSE)</f>
        <v>1</v>
      </c>
      <c r="J7" s="111">
        <f>VLOOKUP(B7,Ordering!$A$1:$J$45,10,FALSE)</f>
        <v>5</v>
      </c>
      <c r="K7" s="107">
        <f>((H7/(I7))/1000)</f>
        <v>0.55980662983425433</v>
      </c>
      <c r="L7" s="112">
        <f>J7*K7</f>
        <v>2.7990331491712714</v>
      </c>
      <c r="R7" s="35"/>
    </row>
    <row r="8" spans="1:25" ht="14.85" customHeight="1" x14ac:dyDescent="0.25">
      <c r="A8" s="106"/>
      <c r="B8" s="106" t="s">
        <v>46</v>
      </c>
      <c r="C8" s="16" t="s">
        <v>204</v>
      </c>
      <c r="D8" s="107">
        <v>0.96685082872928163</v>
      </c>
      <c r="E8" s="108">
        <f>$G$1</f>
        <v>193</v>
      </c>
      <c r="F8" s="109">
        <v>1</v>
      </c>
      <c r="G8" s="108">
        <f>E8*D8</f>
        <v>186.60220994475137</v>
      </c>
      <c r="H8" s="110">
        <f>G8*F8</f>
        <v>186.60220994475137</v>
      </c>
      <c r="I8" s="106">
        <f>VLOOKUP(B8,Ordering!$A$1:$J$45,6,FALSE)</f>
        <v>1</v>
      </c>
      <c r="J8" s="111">
        <f>VLOOKUP(B8,Ordering!$A$1:$J$45,10,FALSE)</f>
        <v>11.243386243386244</v>
      </c>
      <c r="K8" s="107">
        <f>((H8/(I8))/1000)</f>
        <v>0.18660220994475135</v>
      </c>
      <c r="L8" s="112">
        <f>J8*K8</f>
        <v>2.0980407202782891</v>
      </c>
      <c r="V8" s="63" t="s">
        <v>205</v>
      </c>
      <c r="W8" s="64">
        <v>1</v>
      </c>
      <c r="X8" s="63" t="s">
        <v>203</v>
      </c>
      <c r="Y8" s="65">
        <f>(SUM(L5:L9)/Q20)*W8</f>
        <v>0.23200451335313221</v>
      </c>
    </row>
    <row r="9" spans="1:25" ht="14.85" customHeight="1" x14ac:dyDescent="0.25">
      <c r="A9" s="106"/>
      <c r="B9" s="106" t="s">
        <v>88</v>
      </c>
      <c r="C9" s="16" t="s">
        <v>204</v>
      </c>
      <c r="D9" s="107">
        <v>0.19337016574585639</v>
      </c>
      <c r="E9" s="108">
        <f>$G$1</f>
        <v>193</v>
      </c>
      <c r="F9" s="109">
        <v>1</v>
      </c>
      <c r="G9" s="108">
        <f>E9*D9</f>
        <v>37.320441988950286</v>
      </c>
      <c r="H9" s="110">
        <f>G9*F9</f>
        <v>37.320441988950286</v>
      </c>
      <c r="I9" s="106">
        <f>VLOOKUP(B9,Ordering!$A$1:$J$45,6,FALSE)</f>
        <v>1</v>
      </c>
      <c r="J9" s="111">
        <f>VLOOKUP(B9,Ordering!$A$1:$J$45,10,FALSE)</f>
        <v>0.74</v>
      </c>
      <c r="K9" s="107">
        <f>((H9/(I9))/1000)</f>
        <v>3.7320441988950286E-2</v>
      </c>
      <c r="L9" s="112">
        <f>J9*K9</f>
        <v>2.7617127071823212E-2</v>
      </c>
    </row>
    <row r="10" spans="1:25" ht="14.85" customHeight="1" x14ac:dyDescent="0.25">
      <c r="A10" s="11"/>
      <c r="B10" s="57" t="s">
        <v>189</v>
      </c>
      <c r="C10" s="132" t="s">
        <v>204</v>
      </c>
      <c r="D10" s="127">
        <f>$I$1</f>
        <v>35</v>
      </c>
      <c r="E10" s="133"/>
      <c r="F10" s="133"/>
      <c r="G10" s="134" t="s">
        <v>323</v>
      </c>
      <c r="H10" s="135">
        <f>SUM(H5:H9)</f>
        <v>6755.0000000000027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191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193</v>
      </c>
    </row>
    <row r="21" spans="11:17" x14ac:dyDescent="0.25">
      <c r="P21" s="61" t="s">
        <v>203</v>
      </c>
      <c r="Q21" s="62">
        <f>SUM(L5:L9)</f>
        <v>44.776871077154517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5" tint="-0.249977111117893"/>
    <pageSetUpPr fitToPage="1"/>
  </sheetPr>
  <dimension ref="A1:W27"/>
  <sheetViews>
    <sheetView topLeftCell="B1" zoomScale="84" zoomScaleNormal="84" zoomScaleSheetLayoutView="100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5.140625" customWidth="1"/>
    <col min="19" max="19" width="8.42578125" bestFit="1" customWidth="1"/>
  </cols>
  <sheetData>
    <row r="1" spans="1:23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111</v>
      </c>
      <c r="F1" s="17" t="s">
        <v>188</v>
      </c>
      <c r="G1" s="10">
        <f>D1/B1</f>
        <v>111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109</v>
      </c>
    </row>
    <row r="2" spans="1:23" ht="14.25" customHeight="1" x14ac:dyDescent="0.25">
      <c r="A2" s="41"/>
      <c r="B2" s="152" t="s">
        <v>239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3" ht="14.25" customHeight="1" x14ac:dyDescent="0.25">
      <c r="A3" s="41"/>
      <c r="B3" s="156" t="s">
        <v>240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3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3" ht="14.85" customHeight="1" x14ac:dyDescent="0.25">
      <c r="A5" s="11"/>
      <c r="B5" s="11" t="s">
        <v>148</v>
      </c>
      <c r="C5" s="16" t="s">
        <v>204</v>
      </c>
      <c r="D5" s="15">
        <v>33.700000000000003</v>
      </c>
      <c r="E5" s="12">
        <f t="shared" ref="E5:E10" si="0">$G$1</f>
        <v>111</v>
      </c>
      <c r="F5" s="13">
        <v>1</v>
      </c>
      <c r="G5" s="12">
        <f t="shared" ref="G5:G10" si="1">E5*D5</f>
        <v>3740.7000000000003</v>
      </c>
      <c r="H5" s="56">
        <f t="shared" ref="H5:H10" si="2">G5*F5</f>
        <v>3740.7000000000003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3817.0408163265311</v>
      </c>
      <c r="L5" s="76">
        <f t="shared" ref="L5:L10" si="4">J5*K5</f>
        <v>13359.642857142859</v>
      </c>
    </row>
    <row r="6" spans="1:23" ht="14.85" customHeight="1" x14ac:dyDescent="0.25">
      <c r="A6" s="11"/>
      <c r="B6" s="11" t="s">
        <v>145</v>
      </c>
      <c r="C6" s="16" t="s">
        <v>204</v>
      </c>
      <c r="D6" s="15">
        <v>0.24</v>
      </c>
      <c r="E6" s="12">
        <f t="shared" si="0"/>
        <v>111</v>
      </c>
      <c r="F6" s="13">
        <v>1</v>
      </c>
      <c r="G6" s="12">
        <f t="shared" si="1"/>
        <v>26.64</v>
      </c>
      <c r="H6" s="56">
        <f t="shared" si="2"/>
        <v>26.64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27.75</v>
      </c>
      <c r="L6" s="76">
        <f t="shared" si="4"/>
        <v>111</v>
      </c>
    </row>
    <row r="7" spans="1:23" ht="14.85" customHeight="1" x14ac:dyDescent="0.25">
      <c r="A7" s="11"/>
      <c r="B7" s="11" t="s">
        <v>132</v>
      </c>
      <c r="C7" s="16" t="s">
        <v>204</v>
      </c>
      <c r="D7" s="15">
        <v>0.2</v>
      </c>
      <c r="E7" s="12">
        <f t="shared" si="0"/>
        <v>111</v>
      </c>
      <c r="F7" s="13">
        <v>1</v>
      </c>
      <c r="G7" s="12">
        <f t="shared" si="1"/>
        <v>22.200000000000003</v>
      </c>
      <c r="H7" s="56">
        <f t="shared" si="2"/>
        <v>22.200000000000003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23.61702127659575</v>
      </c>
      <c r="L7" s="76">
        <f t="shared" si="4"/>
        <v>85.880077369439107</v>
      </c>
      <c r="R7" s="35"/>
    </row>
    <row r="8" spans="1:23" ht="14.85" customHeight="1" x14ac:dyDescent="0.25">
      <c r="A8" s="11"/>
      <c r="B8" s="11" t="s">
        <v>97</v>
      </c>
      <c r="C8" s="16" t="s">
        <v>204</v>
      </c>
      <c r="D8" s="24">
        <v>3.0000000000000001E-3</v>
      </c>
      <c r="E8" s="12">
        <f t="shared" si="0"/>
        <v>111</v>
      </c>
      <c r="F8" s="13">
        <v>1</v>
      </c>
      <c r="G8" s="12">
        <f t="shared" si="1"/>
        <v>0.33300000000000002</v>
      </c>
      <c r="H8" s="56">
        <f t="shared" si="2"/>
        <v>0.33300000000000002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0.33300000000000002</v>
      </c>
      <c r="L8" s="76">
        <f t="shared" si="4"/>
        <v>11.655000000000001</v>
      </c>
    </row>
    <row r="9" spans="1:23" ht="14.85" customHeight="1" x14ac:dyDescent="0.25">
      <c r="A9" s="11"/>
      <c r="B9" s="11" t="s">
        <v>88</v>
      </c>
      <c r="C9" s="16" t="s">
        <v>204</v>
      </c>
      <c r="D9" s="15">
        <v>0.12</v>
      </c>
      <c r="E9" s="12">
        <f t="shared" si="0"/>
        <v>111</v>
      </c>
      <c r="F9" s="13">
        <v>1</v>
      </c>
      <c r="G9" s="12">
        <f t="shared" si="1"/>
        <v>13.32</v>
      </c>
      <c r="H9" s="56">
        <f t="shared" si="2"/>
        <v>13.32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13.32</v>
      </c>
      <c r="L9" s="76">
        <f t="shared" si="4"/>
        <v>9.8567999999999998</v>
      </c>
    </row>
    <row r="10" spans="1:23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111</v>
      </c>
      <c r="F10" s="13">
        <v>1</v>
      </c>
      <c r="G10" s="12">
        <f t="shared" si="1"/>
        <v>83.25</v>
      </c>
      <c r="H10" s="56">
        <f t="shared" si="2"/>
        <v>83.25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83.25</v>
      </c>
      <c r="L10" s="76">
        <f t="shared" si="4"/>
        <v>0</v>
      </c>
    </row>
    <row r="11" spans="1:23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3886.4430000000002</v>
      </c>
      <c r="M11" s="72"/>
      <c r="N11" s="22"/>
      <c r="W11" s="35"/>
    </row>
    <row r="12" spans="1:23" ht="14.85" customHeight="1" x14ac:dyDescent="0.25">
      <c r="M12" s="72"/>
      <c r="N12" s="22"/>
      <c r="O12" s="22"/>
    </row>
    <row r="13" spans="1:23" ht="14.85" customHeight="1" x14ac:dyDescent="0.25"/>
    <row r="14" spans="1:23" ht="14.85" customHeight="1" x14ac:dyDescent="0.25"/>
    <row r="15" spans="1:23" x14ac:dyDescent="0.25">
      <c r="P15" s="136"/>
      <c r="Q15" s="137"/>
    </row>
    <row r="16" spans="1:23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109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111</v>
      </c>
    </row>
    <row r="27" spans="11:17" x14ac:dyDescent="0.25">
      <c r="K27" s="20"/>
    </row>
  </sheetData>
  <mergeCells count="4">
    <mergeCell ref="B3:H3"/>
    <mergeCell ref="B2:H2"/>
    <mergeCell ref="P15:Q15"/>
    <mergeCell ref="P16:Q16"/>
  </mergeCells>
  <printOptions horizontalCentered="1"/>
  <pageMargins left="0.4" right="0.4" top="1" bottom="0.5" header="0.3" footer="0.3"/>
  <pageSetup paperSize="9" scale="47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theme="5" tint="-0.249977111117893"/>
    <pageSetUpPr fitToPage="1"/>
  </sheetPr>
  <dimension ref="A1:V27"/>
  <sheetViews>
    <sheetView zoomScale="85" zoomScaleNormal="85" zoomScaleSheetLayoutView="100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111</v>
      </c>
      <c r="F1" s="17" t="s">
        <v>188</v>
      </c>
      <c r="G1" s="10">
        <f>D1/B1</f>
        <v>111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109</v>
      </c>
    </row>
    <row r="2" spans="1:22" ht="14.25" customHeight="1" x14ac:dyDescent="0.25">
      <c r="A2" s="37"/>
      <c r="B2" s="150" t="s">
        <v>241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242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23</v>
      </c>
      <c r="C5" s="16" t="s">
        <v>204</v>
      </c>
      <c r="D5" s="15">
        <v>20</v>
      </c>
      <c r="E5" s="12">
        <f t="shared" ref="E5:E10" si="0">$G$1</f>
        <v>111</v>
      </c>
      <c r="F5" s="13">
        <v>1</v>
      </c>
      <c r="G5" s="12">
        <f t="shared" ref="G5:G10" si="1">E5*D5</f>
        <v>2220</v>
      </c>
      <c r="H5" s="56">
        <f t="shared" ref="H5:H10" si="2">G5*F5</f>
        <v>2220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H5/I5</f>
        <v>2220</v>
      </c>
      <c r="L5" s="59">
        <f t="shared" ref="L5:L10" si="4">J5*K5</f>
        <v>14865.119999999999</v>
      </c>
    </row>
    <row r="6" spans="1:22" ht="14.85" customHeight="1" x14ac:dyDescent="0.25">
      <c r="A6" s="11"/>
      <c r="B6" s="11" t="s">
        <v>141</v>
      </c>
      <c r="C6" s="16" t="s">
        <v>204</v>
      </c>
      <c r="D6" s="15">
        <v>5.4</v>
      </c>
      <c r="E6" s="12">
        <f t="shared" si="0"/>
        <v>111</v>
      </c>
      <c r="F6" s="13">
        <v>1</v>
      </c>
      <c r="G6" s="12">
        <f t="shared" si="1"/>
        <v>599.40000000000009</v>
      </c>
      <c r="H6" s="56">
        <f t="shared" si="2"/>
        <v>599.40000000000009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749.25000000000011</v>
      </c>
      <c r="L6" s="59">
        <f t="shared" si="4"/>
        <v>2247.7500000000005</v>
      </c>
    </row>
    <row r="7" spans="1:22" ht="14.85" customHeight="1" x14ac:dyDescent="0.25">
      <c r="A7" s="11"/>
      <c r="B7" s="11" t="s">
        <v>80</v>
      </c>
      <c r="C7" s="16" t="s">
        <v>204</v>
      </c>
      <c r="D7" s="15">
        <v>0.05</v>
      </c>
      <c r="E7" s="12">
        <f t="shared" si="0"/>
        <v>111</v>
      </c>
      <c r="F7" s="13">
        <v>1</v>
      </c>
      <c r="G7" s="12">
        <f t="shared" si="1"/>
        <v>5.5500000000000007</v>
      </c>
      <c r="H7" s="56">
        <f t="shared" si="2"/>
        <v>5.5500000000000007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5.5500000000000007</v>
      </c>
      <c r="L7" s="59">
        <f t="shared" si="4"/>
        <v>44.400000000000006</v>
      </c>
      <c r="R7" s="35"/>
    </row>
    <row r="8" spans="1:22" ht="14.85" customHeight="1" x14ac:dyDescent="0.25">
      <c r="A8" s="11"/>
      <c r="B8" s="11" t="s">
        <v>119</v>
      </c>
      <c r="C8" s="16" t="s">
        <v>204</v>
      </c>
      <c r="D8" s="15">
        <v>0.02</v>
      </c>
      <c r="E8" s="12">
        <f t="shared" si="0"/>
        <v>111</v>
      </c>
      <c r="F8" s="13">
        <v>1</v>
      </c>
      <c r="G8" s="12">
        <f t="shared" si="1"/>
        <v>2.2200000000000002</v>
      </c>
      <c r="H8" s="56">
        <f t="shared" si="2"/>
        <v>2.2200000000000002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2.2200000000000002</v>
      </c>
      <c r="L8" s="59">
        <f t="shared" si="4"/>
        <v>44.400000000000006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111</v>
      </c>
      <c r="F9" s="13">
        <v>1</v>
      </c>
      <c r="G9" s="12">
        <f t="shared" si="1"/>
        <v>1048.9499999999998</v>
      </c>
      <c r="H9" s="56">
        <f t="shared" si="2"/>
        <v>1048.9499999999998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1048.9499999999998</v>
      </c>
      <c r="L9" s="59">
        <f t="shared" si="4"/>
        <v>0</v>
      </c>
    </row>
    <row r="10" spans="1:22" ht="14.85" customHeight="1" x14ac:dyDescent="0.25">
      <c r="A10" s="11"/>
      <c r="B10" s="11" t="s">
        <v>88</v>
      </c>
      <c r="C10" s="16" t="s">
        <v>204</v>
      </c>
      <c r="D10" s="15">
        <v>0.08</v>
      </c>
      <c r="E10" s="12">
        <f t="shared" si="0"/>
        <v>111</v>
      </c>
      <c r="F10" s="13">
        <v>1</v>
      </c>
      <c r="G10" s="12">
        <f t="shared" si="1"/>
        <v>8.8800000000000008</v>
      </c>
      <c r="H10" s="56">
        <f t="shared" si="2"/>
        <v>8.8800000000000008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8.8800000000000008</v>
      </c>
      <c r="L10" s="59">
        <f t="shared" si="4"/>
        <v>6.5712000000000002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3885</v>
      </c>
      <c r="M11" s="72"/>
      <c r="N11" s="22"/>
    </row>
    <row r="12" spans="1:22" ht="14.85" customHeight="1" x14ac:dyDescent="0.25">
      <c r="M12" s="72"/>
      <c r="N12" s="22"/>
      <c r="R12" s="35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109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111</v>
      </c>
    </row>
    <row r="27" spans="11:17" x14ac:dyDescent="0.25">
      <c r="K27" s="20"/>
    </row>
  </sheetData>
  <mergeCells count="4">
    <mergeCell ref="B3:H3"/>
    <mergeCell ref="B2:H2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>
    <tabColor theme="5" tint="-0.249977111117893"/>
    <pageSetUpPr fitToPage="1"/>
  </sheetPr>
  <dimension ref="A1:V27"/>
  <sheetViews>
    <sheetView zoomScale="70" zoomScaleNormal="70" zoomScaleSheetLayoutView="100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6.28515625" customWidth="1"/>
    <col min="8" max="8" width="29.85546875" bestFit="1" customWidth="1"/>
    <col min="10" max="10" width="22.140625" bestFit="1" customWidth="1"/>
    <col min="11" max="11" width="13.7109375" customWidth="1"/>
    <col min="13" max="15" width="4.140625" customWidth="1"/>
    <col min="16" max="16" width="13.85546875" customWidth="1"/>
    <col min="18" max="18" width="22.42578125" customWidth="1"/>
    <col min="19" max="19" width="14.85546875" customWidth="1"/>
  </cols>
  <sheetData>
    <row r="1" spans="1:22" ht="25.35" customHeight="1" x14ac:dyDescent="0.25">
      <c r="A1" s="17" t="s">
        <v>220</v>
      </c>
      <c r="B1" s="9">
        <v>20</v>
      </c>
      <c r="D1" s="8">
        <f>Q20</f>
        <v>99</v>
      </c>
      <c r="E1" s="17" t="s">
        <v>221</v>
      </c>
      <c r="F1" s="10">
        <f>Q20</f>
        <v>99</v>
      </c>
      <c r="H1" s="17" t="s">
        <v>189</v>
      </c>
      <c r="I1" s="21">
        <v>20</v>
      </c>
      <c r="J1" s="1"/>
      <c r="K1" s="18" t="s">
        <v>190</v>
      </c>
      <c r="U1" s="93" t="s">
        <v>20</v>
      </c>
      <c r="V1" s="94">
        <v>97</v>
      </c>
    </row>
    <row r="2" spans="1:22" ht="14.25" customHeight="1" x14ac:dyDescent="0.25">
      <c r="A2" s="39"/>
      <c r="B2" s="155" t="s">
        <v>223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243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42</v>
      </c>
      <c r="C5" s="16" t="s">
        <v>204</v>
      </c>
      <c r="D5" s="15">
        <v>10.75268817204301</v>
      </c>
      <c r="E5" s="12">
        <f>$F$1</f>
        <v>99</v>
      </c>
      <c r="F5" s="13">
        <v>1</v>
      </c>
      <c r="G5" s="12">
        <f>E5*D5</f>
        <v>1064.516129032258</v>
      </c>
      <c r="H5" s="56">
        <f>G5*F5</f>
        <v>1064.516129032258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1064.516129032258</v>
      </c>
      <c r="L5" s="59">
        <f>J5*K5</f>
        <v>6833.0427201394941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7.311827956989247</v>
      </c>
      <c r="E6" s="12">
        <f>$F$1</f>
        <v>99</v>
      </c>
      <c r="F6" s="13">
        <v>1</v>
      </c>
      <c r="G6" s="12">
        <f>E6*D6</f>
        <v>723.87096774193549</v>
      </c>
      <c r="H6" s="56">
        <f>G6*F6</f>
        <v>723.87096774193549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723.87096774193549</v>
      </c>
      <c r="L6" s="59">
        <f>J6*K6</f>
        <v>2352.5806451612902</v>
      </c>
    </row>
    <row r="7" spans="1:22" ht="14.85" customHeight="1" x14ac:dyDescent="0.25">
      <c r="A7" s="11"/>
      <c r="B7" s="11" t="s">
        <v>46</v>
      </c>
      <c r="C7" s="16" t="s">
        <v>204</v>
      </c>
      <c r="D7" s="15">
        <v>0.78853046594982079</v>
      </c>
      <c r="E7" s="12">
        <f>$F$1</f>
        <v>99</v>
      </c>
      <c r="F7" s="13">
        <v>1</v>
      </c>
      <c r="G7" s="12">
        <f>E7*D7</f>
        <v>78.064516129032256</v>
      </c>
      <c r="H7" s="56">
        <f>G7*F7</f>
        <v>78.064516129032256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78.064516129032256</v>
      </c>
      <c r="L7" s="59">
        <f>J7*K7</f>
        <v>877.70950674176481</v>
      </c>
    </row>
    <row r="8" spans="1:22" ht="14.85" customHeight="1" x14ac:dyDescent="0.25">
      <c r="A8" s="11"/>
      <c r="B8" s="11" t="s">
        <v>57</v>
      </c>
      <c r="C8" s="16" t="s">
        <v>36</v>
      </c>
      <c r="D8" s="15">
        <v>1.1469534050179211</v>
      </c>
      <c r="E8" s="12">
        <f>$F$1</f>
        <v>99</v>
      </c>
      <c r="F8" s="13">
        <v>1</v>
      </c>
      <c r="G8" s="12">
        <f>E8*D8</f>
        <v>113.54838709677419</v>
      </c>
      <c r="H8" s="56">
        <f>G8*F8</f>
        <v>113.54838709677419</v>
      </c>
      <c r="I8" s="11">
        <f>VLOOKUP(B8,Ordering!$A$1:$J$45,6,FALSE)</f>
        <v>1</v>
      </c>
      <c r="J8" s="58">
        <f>VLOOKUP(B8,Ordering!$A$1:$J$45,10,FALSE)</f>
        <v>58.685446009389672</v>
      </c>
      <c r="K8" s="58">
        <f>H8/I8</f>
        <v>113.54838709677419</v>
      </c>
      <c r="L8" s="59">
        <f>J8*K8</f>
        <v>6663.6377404210207</v>
      </c>
      <c r="R8" s="35"/>
    </row>
    <row r="9" spans="1:22" x14ac:dyDescent="0.25">
      <c r="B9" s="57" t="s">
        <v>189</v>
      </c>
      <c r="C9" s="132" t="s">
        <v>204</v>
      </c>
      <c r="D9" s="127">
        <f>$I$1</f>
        <v>20</v>
      </c>
      <c r="E9" s="133"/>
      <c r="F9" s="133"/>
      <c r="G9" s="134" t="s">
        <v>323</v>
      </c>
      <c r="H9" s="135">
        <f>SUM(H5:H8)</f>
        <v>1980</v>
      </c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ht="14.85" customHeight="1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97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99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">
    <tabColor theme="5" tint="-0.249977111117893"/>
    <pageSetUpPr fitToPage="1"/>
  </sheetPr>
  <dimension ref="A1:Y27"/>
  <sheetViews>
    <sheetView zoomScale="85" zoomScaleNormal="85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8.8554687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168</v>
      </c>
      <c r="F1" s="17" t="s">
        <v>188</v>
      </c>
      <c r="G1" s="10">
        <f>D1/B1</f>
        <v>168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166</v>
      </c>
    </row>
    <row r="2" spans="1:25" ht="14.25" customHeight="1" x14ac:dyDescent="0.25">
      <c r="A2" s="39"/>
      <c r="B2" s="152" t="s">
        <v>277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273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22.975929978118163</v>
      </c>
      <c r="E5" s="108">
        <f>$G$1</f>
        <v>168</v>
      </c>
      <c r="F5" s="109">
        <v>1</v>
      </c>
      <c r="G5" s="108">
        <f>E5*D5</f>
        <v>3859.9562363238515</v>
      </c>
      <c r="H5" s="110">
        <f>G5*F5</f>
        <v>3859.9562363238515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3.8599562363238515</v>
      </c>
      <c r="L5" s="112">
        <f>J5*K5</f>
        <v>24.776746111538234</v>
      </c>
    </row>
    <row r="6" spans="1:25" ht="14.85" customHeight="1" x14ac:dyDescent="0.25">
      <c r="A6" s="106"/>
      <c r="B6" s="113" t="s">
        <v>264</v>
      </c>
      <c r="C6" s="16" t="s">
        <v>204</v>
      </c>
      <c r="D6" s="107">
        <v>9.1903719912472646</v>
      </c>
      <c r="E6" s="108">
        <f>$G$1</f>
        <v>168</v>
      </c>
      <c r="F6" s="109">
        <v>1</v>
      </c>
      <c r="G6" s="108">
        <f>E6*D6</f>
        <v>1543.9824945295404</v>
      </c>
      <c r="H6" s="110">
        <f>G6*F6</f>
        <v>1543.9824945295404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>((H6/(I6))/1000)</f>
        <v>1.5439824945295404</v>
      </c>
      <c r="L6" s="112">
        <f>J6*K6</f>
        <v>26.989139910971517</v>
      </c>
    </row>
    <row r="7" spans="1:25" ht="14.85" customHeight="1" x14ac:dyDescent="0.25">
      <c r="A7" s="106"/>
      <c r="B7" s="106" t="s">
        <v>263</v>
      </c>
      <c r="C7" s="16" t="s">
        <v>204</v>
      </c>
      <c r="D7" s="107">
        <v>1.5317286652078774</v>
      </c>
      <c r="E7" s="108">
        <f>$G$1</f>
        <v>168</v>
      </c>
      <c r="F7" s="109">
        <v>1</v>
      </c>
      <c r="G7" s="108">
        <f>E7*D7</f>
        <v>257.33041575492342</v>
      </c>
      <c r="H7" s="110">
        <f>G7*F7</f>
        <v>257.33041575492342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0.25733041575492344</v>
      </c>
      <c r="L7" s="112">
        <f>J7*K7</f>
        <v>4.3746170678336984</v>
      </c>
      <c r="R7" s="35"/>
    </row>
    <row r="8" spans="1:25" ht="14.85" customHeight="1" x14ac:dyDescent="0.25">
      <c r="A8" s="106"/>
      <c r="B8" s="113" t="s">
        <v>262</v>
      </c>
      <c r="C8" s="16" t="s">
        <v>204</v>
      </c>
      <c r="D8" s="107">
        <v>0.53610503282275712</v>
      </c>
      <c r="E8" s="108">
        <f>$G$1</f>
        <v>168</v>
      </c>
      <c r="F8" s="109">
        <v>1</v>
      </c>
      <c r="G8" s="108">
        <f>E8*D8</f>
        <v>90.065645514223192</v>
      </c>
      <c r="H8" s="110">
        <f>G8*F8</f>
        <v>90.065645514223192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>((H8/(I8))/1000)</f>
        <v>9.0065645514223192E-2</v>
      </c>
      <c r="L8" s="112">
        <f>J8*K8</f>
        <v>8.7288290806736129</v>
      </c>
      <c r="V8" s="63" t="s">
        <v>205</v>
      </c>
      <c r="W8" s="64">
        <v>1</v>
      </c>
      <c r="X8" s="63" t="s">
        <v>203</v>
      </c>
      <c r="Y8" s="65">
        <f>(SUM(L5:L9)/Q20)*W8</f>
        <v>0.38778290008974059</v>
      </c>
    </row>
    <row r="9" spans="1:25" ht="14.85" customHeight="1" x14ac:dyDescent="0.25">
      <c r="A9" s="106"/>
      <c r="B9" s="106" t="s">
        <v>311</v>
      </c>
      <c r="C9" s="16" t="s">
        <v>204</v>
      </c>
      <c r="D9" s="107">
        <v>0.76586433260393871</v>
      </c>
      <c r="E9" s="108">
        <f>$G$1</f>
        <v>168</v>
      </c>
      <c r="F9" s="109">
        <v>1</v>
      </c>
      <c r="G9" s="108">
        <f>E9*D9</f>
        <v>128.66520787746171</v>
      </c>
      <c r="H9" s="110">
        <f>G9*F9</f>
        <v>128.66520787746171</v>
      </c>
      <c r="I9" s="106">
        <f>VLOOKUP(B9,Ordering!$A$1:$J$45,6,FALSE)</f>
        <v>1</v>
      </c>
      <c r="J9" s="111">
        <f>VLOOKUP(B9,Ordering!$A$1:$J$45,10,FALSE)</f>
        <v>2.1621621621621623</v>
      </c>
      <c r="K9" s="107">
        <f>((H9/(I9))/1000)</f>
        <v>0.12866520787746172</v>
      </c>
      <c r="L9" s="112">
        <f>J9*K9</f>
        <v>0.27819504405937673</v>
      </c>
    </row>
    <row r="10" spans="1:25" ht="14.85" customHeight="1" x14ac:dyDescent="0.25">
      <c r="A10" s="11"/>
      <c r="B10" s="57" t="s">
        <v>189</v>
      </c>
      <c r="C10" s="132" t="s">
        <v>204</v>
      </c>
      <c r="D10" s="127">
        <f>$I$1</f>
        <v>35</v>
      </c>
      <c r="E10" s="133"/>
      <c r="F10" s="133"/>
      <c r="G10" s="134" t="s">
        <v>323</v>
      </c>
      <c r="H10" s="135">
        <f>SUM(H5:H9)</f>
        <v>5880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166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168</v>
      </c>
    </row>
    <row r="21" spans="11:17" x14ac:dyDescent="0.25">
      <c r="P21" s="61" t="s">
        <v>203</v>
      </c>
      <c r="Q21" s="62">
        <f>SUM(L5:L9)</f>
        <v>65.147527215076423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11E3-6EFA-4E98-93AD-E005A424C1B6}">
  <sheetPr codeName="Sheet35">
    <tabColor theme="5" tint="-0.249977111117893"/>
    <pageSetUpPr fitToPage="1"/>
  </sheetPr>
  <dimension ref="A1:Y27"/>
  <sheetViews>
    <sheetView zoomScale="85" zoomScaleNormal="85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8.8554687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168</v>
      </c>
      <c r="F1" s="17" t="s">
        <v>188</v>
      </c>
      <c r="G1" s="10">
        <f>D1/B1</f>
        <v>168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166</v>
      </c>
    </row>
    <row r="2" spans="1:25" ht="14.25" customHeight="1" x14ac:dyDescent="0.25">
      <c r="A2" s="39"/>
      <c r="B2" s="152" t="s">
        <v>282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273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13.12910284463895</v>
      </c>
      <c r="E5" s="108">
        <f>$G$1</f>
        <v>168</v>
      </c>
      <c r="F5" s="109">
        <v>1</v>
      </c>
      <c r="G5" s="108">
        <f>E5*D5</f>
        <v>2205.6892778993438</v>
      </c>
      <c r="H5" s="110">
        <f>G5*F5</f>
        <v>2205.6892778993438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2.205689277899344</v>
      </c>
      <c r="L5" s="112">
        <f>J5*K5</f>
        <v>14.158140635164706</v>
      </c>
    </row>
    <row r="6" spans="1:25" ht="14.85" customHeight="1" x14ac:dyDescent="0.25">
      <c r="A6" s="106"/>
      <c r="B6" s="113" t="s">
        <v>264</v>
      </c>
      <c r="C6" s="16" t="s">
        <v>204</v>
      </c>
      <c r="D6" s="107">
        <v>5.2516411378555796</v>
      </c>
      <c r="E6" s="108">
        <f>$G$1</f>
        <v>168</v>
      </c>
      <c r="F6" s="109">
        <v>1</v>
      </c>
      <c r="G6" s="108">
        <f>E6*D6</f>
        <v>882.2757111597374</v>
      </c>
      <c r="H6" s="110">
        <f>G6*F6</f>
        <v>882.2757111597374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>((H6/(I6))/1000)</f>
        <v>0.88227571115973735</v>
      </c>
      <c r="L6" s="112">
        <f>J6*K6</f>
        <v>15.422365663412295</v>
      </c>
    </row>
    <row r="7" spans="1:25" ht="14.85" customHeight="1" x14ac:dyDescent="0.25">
      <c r="A7" s="106"/>
      <c r="B7" s="106" t="s">
        <v>263</v>
      </c>
      <c r="C7" s="16" t="s">
        <v>204</v>
      </c>
      <c r="D7" s="107">
        <v>0.87527352297592997</v>
      </c>
      <c r="E7" s="108">
        <f>$G$1</f>
        <v>168</v>
      </c>
      <c r="F7" s="109">
        <v>1</v>
      </c>
      <c r="G7" s="108">
        <f>E7*D7</f>
        <v>147.04595185995623</v>
      </c>
      <c r="H7" s="110">
        <f>G7*F7</f>
        <v>147.04595185995623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0.14704595185995623</v>
      </c>
      <c r="L7" s="112">
        <f>J7*K7</f>
        <v>2.4997811816192557</v>
      </c>
      <c r="R7" s="35"/>
    </row>
    <row r="8" spans="1:25" ht="14.85" customHeight="1" x14ac:dyDescent="0.25">
      <c r="A8" s="106"/>
      <c r="B8" s="113" t="s">
        <v>262</v>
      </c>
      <c r="C8" s="16" t="s">
        <v>204</v>
      </c>
      <c r="D8" s="107">
        <v>0.30634573304157547</v>
      </c>
      <c r="E8" s="108">
        <f>$G$1</f>
        <v>168</v>
      </c>
      <c r="F8" s="109">
        <v>1</v>
      </c>
      <c r="G8" s="108">
        <f>E8*D8</f>
        <v>51.46608315098468</v>
      </c>
      <c r="H8" s="110">
        <f>G8*F8</f>
        <v>51.46608315098468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>((H8/(I8))/1000)</f>
        <v>5.1466083150984679E-2</v>
      </c>
      <c r="L8" s="112">
        <f>J8*K8</f>
        <v>4.9879023318134932</v>
      </c>
      <c r="V8" s="63" t="s">
        <v>205</v>
      </c>
      <c r="W8" s="64">
        <v>1</v>
      </c>
      <c r="X8" s="63" t="s">
        <v>203</v>
      </c>
      <c r="Y8" s="65">
        <f>(SUM(L5:L9)/Q20)*W8</f>
        <v>0.22159022862270894</v>
      </c>
    </row>
    <row r="9" spans="1:25" ht="14.85" customHeight="1" x14ac:dyDescent="0.25">
      <c r="A9" s="106"/>
      <c r="B9" s="106" t="s">
        <v>311</v>
      </c>
      <c r="C9" s="16" t="s">
        <v>204</v>
      </c>
      <c r="D9" s="107">
        <v>0.43763676148796499</v>
      </c>
      <c r="E9" s="108">
        <f>$G$1</f>
        <v>168</v>
      </c>
      <c r="F9" s="109">
        <v>1</v>
      </c>
      <c r="G9" s="108">
        <f>E9*D9</f>
        <v>73.522975929978116</v>
      </c>
      <c r="H9" s="110">
        <f>G9*F9</f>
        <v>73.522975929978116</v>
      </c>
      <c r="I9" s="106">
        <f>VLOOKUP(B9,Ordering!$A$1:$J$45,6,FALSE)</f>
        <v>1</v>
      </c>
      <c r="J9" s="111">
        <f>VLOOKUP(B9,Ordering!$A$1:$J$45,10,FALSE)</f>
        <v>2.1621621621621623</v>
      </c>
      <c r="K9" s="107">
        <f>((H9/(I9))/1000)</f>
        <v>7.3522975929978113E-2</v>
      </c>
      <c r="L9" s="112">
        <f>J9*K9</f>
        <v>0.15896859660535809</v>
      </c>
    </row>
    <row r="10" spans="1:25" ht="14.85" customHeight="1" x14ac:dyDescent="0.25">
      <c r="A10" s="11"/>
      <c r="B10" s="57" t="s">
        <v>189</v>
      </c>
      <c r="C10" s="132" t="s">
        <v>204</v>
      </c>
      <c r="D10" s="127">
        <f>$I$1</f>
        <v>20</v>
      </c>
      <c r="E10" s="133"/>
      <c r="F10" s="133"/>
      <c r="G10" s="134" t="s">
        <v>323</v>
      </c>
      <c r="H10" s="135">
        <f>SUM(H5:H9)</f>
        <v>3360.0000000000005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166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168</v>
      </c>
    </row>
    <row r="21" spans="11:17" x14ac:dyDescent="0.25">
      <c r="P21" s="61" t="s">
        <v>203</v>
      </c>
      <c r="Q21" s="62">
        <f>SUM(L5:L9)</f>
        <v>37.227158408615104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">
    <tabColor theme="4" tint="-0.249977111117893"/>
    <pageSetUpPr fitToPage="1"/>
  </sheetPr>
  <dimension ref="A1:Y27"/>
  <sheetViews>
    <sheetView zoomScaleNormal="100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2.7109375" bestFit="1" customWidth="1"/>
    <col min="13" max="15" width="3.285156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112</v>
      </c>
      <c r="F1" s="17" t="s">
        <v>188</v>
      </c>
      <c r="G1" s="10">
        <f>D1/B1</f>
        <v>112</v>
      </c>
      <c r="H1" s="17" t="s">
        <v>189</v>
      </c>
      <c r="I1" s="21">
        <v>10</v>
      </c>
      <c r="J1" s="1"/>
      <c r="K1" s="23" t="s">
        <v>190</v>
      </c>
      <c r="U1" s="93" t="s">
        <v>20</v>
      </c>
      <c r="V1" s="94">
        <v>110</v>
      </c>
    </row>
    <row r="2" spans="1:25" ht="14.25" customHeight="1" x14ac:dyDescent="0.25">
      <c r="A2" s="39"/>
      <c r="B2" s="155" t="s">
        <v>244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5" ht="14.25" customHeight="1" x14ac:dyDescent="0.25">
      <c r="A3" s="41"/>
      <c r="B3" s="149" t="s">
        <v>245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1"/>
      <c r="B5" s="11" t="s">
        <v>324</v>
      </c>
      <c r="C5" s="16" t="s">
        <v>204</v>
      </c>
      <c r="D5" s="15">
        <v>0.26345933562428409</v>
      </c>
      <c r="E5" s="12">
        <f>$G$1</f>
        <v>112</v>
      </c>
      <c r="F5" s="13">
        <v>1</v>
      </c>
      <c r="G5" s="12">
        <f>E5*D5</f>
        <v>29.507445589919818</v>
      </c>
      <c r="H5" s="56">
        <f>G5*F5</f>
        <v>29.507445589919818</v>
      </c>
      <c r="I5" s="11">
        <f>VLOOKUP(B5,Ordering!$A$1:$J$45,6,FALSE)</f>
        <v>1</v>
      </c>
      <c r="J5" s="58">
        <f>VLOOKUP(B5,Ordering!$A$1:$J$45,10,FALSE)</f>
        <v>5</v>
      </c>
      <c r="K5" s="58">
        <f>((H5/(I5))/1000)</f>
        <v>2.9507445589919818E-2</v>
      </c>
      <c r="L5" s="59">
        <f>J5*K5</f>
        <v>0.14753722794959909</v>
      </c>
    </row>
    <row r="6" spans="1:25" ht="14.85" customHeight="1" x14ac:dyDescent="0.25">
      <c r="A6" s="11"/>
      <c r="B6" s="11" t="s">
        <v>146</v>
      </c>
      <c r="C6" s="16" t="s">
        <v>204</v>
      </c>
      <c r="D6" s="15">
        <v>9.7365406643757169</v>
      </c>
      <c r="E6" s="12">
        <f>$G$1</f>
        <v>112</v>
      </c>
      <c r="F6" s="13">
        <v>1</v>
      </c>
      <c r="G6" s="12">
        <f>E6*D6</f>
        <v>1090.4925544100802</v>
      </c>
      <c r="H6" s="56">
        <f>G6*F6</f>
        <v>1090.4925544100802</v>
      </c>
      <c r="I6" s="11">
        <f>VLOOKUP(B6,Ordering!$A$1:$J$45,6,FALSE)</f>
        <v>0.9</v>
      </c>
      <c r="J6" s="58">
        <f>VLOOKUP(B6,Ordering!$A$1:$J$45,10,FALSE)</f>
        <v>3</v>
      </c>
      <c r="K6" s="58">
        <f>((H6/(I6))/1000)</f>
        <v>1.211658393788978</v>
      </c>
      <c r="L6" s="59">
        <f>J6*K6</f>
        <v>3.6349751813669338</v>
      </c>
    </row>
    <row r="7" spans="1:25" x14ac:dyDescent="0.25">
      <c r="B7" s="57" t="s">
        <v>189</v>
      </c>
      <c r="C7" s="132" t="s">
        <v>204</v>
      </c>
      <c r="D7" s="127">
        <f>$I$1</f>
        <v>10</v>
      </c>
      <c r="E7" s="133"/>
      <c r="F7" s="133"/>
      <c r="G7" s="134" t="s">
        <v>323</v>
      </c>
      <c r="H7" s="135">
        <f>SUM(H2:H6)</f>
        <v>1120</v>
      </c>
      <c r="J7" s="19"/>
      <c r="K7" s="19"/>
      <c r="L7" s="19"/>
    </row>
    <row r="8" spans="1:25" x14ac:dyDescent="0.25">
      <c r="J8" s="19"/>
      <c r="K8" s="19"/>
      <c r="L8" s="19"/>
      <c r="R8" s="35"/>
      <c r="V8" s="63" t="s">
        <v>205</v>
      </c>
      <c r="W8" s="64">
        <v>1</v>
      </c>
      <c r="X8" s="63" t="s">
        <v>203</v>
      </c>
      <c r="Y8" s="65">
        <f>SUM(L5:L6)/Q20</f>
        <v>3.3772432226040469E-2</v>
      </c>
    </row>
    <row r="9" spans="1:25" x14ac:dyDescent="0.25"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M11" s="72"/>
    </row>
    <row r="12" spans="1:25" ht="14.85" customHeight="1" x14ac:dyDescent="0.25">
      <c r="M12" s="7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 t="s">
        <v>124</v>
      </c>
      <c r="Q15" s="137"/>
    </row>
    <row r="16" spans="1:25" x14ac:dyDescent="0.25">
      <c r="P16" s="140" t="s">
        <v>225</v>
      </c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110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112</v>
      </c>
    </row>
    <row r="21" spans="11:17" x14ac:dyDescent="0.25">
      <c r="P21" s="61" t="s">
        <v>203</v>
      </c>
      <c r="Q21" s="62">
        <f>SUM(L5:L6)</f>
        <v>3.7825124093165328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verticalDpi="1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>
    <tabColor theme="4" tint="-0.249977111117893"/>
    <pageSetUpPr fitToPage="1"/>
  </sheetPr>
  <dimension ref="A1:V27"/>
  <sheetViews>
    <sheetView topLeftCell="B1"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7" max="17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367</v>
      </c>
      <c r="F1" s="17" t="s">
        <v>188</v>
      </c>
      <c r="G1" s="10">
        <f>D1/B1</f>
        <v>367</v>
      </c>
      <c r="H1" s="17" t="s">
        <v>189</v>
      </c>
      <c r="I1" s="21">
        <v>20</v>
      </c>
      <c r="J1" s="1"/>
      <c r="K1" s="23" t="s">
        <v>190</v>
      </c>
      <c r="N1" t="s">
        <v>246</v>
      </c>
      <c r="U1" s="93" t="s">
        <v>20</v>
      </c>
      <c r="V1" s="94">
        <v>365</v>
      </c>
    </row>
    <row r="2" spans="1:22" ht="14.25" customHeight="1" x14ac:dyDescent="0.25">
      <c r="A2" s="40"/>
      <c r="B2" s="150" t="s">
        <v>247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248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34</v>
      </c>
      <c r="C5" s="16" t="s">
        <v>36</v>
      </c>
      <c r="D5" s="15">
        <v>1.215066828675577</v>
      </c>
      <c r="E5" s="12">
        <f t="shared" ref="E5:E10" si="0">$G$1</f>
        <v>367</v>
      </c>
      <c r="F5" s="13">
        <v>1</v>
      </c>
      <c r="G5" s="12">
        <f t="shared" ref="G5:G10" si="1">E5*D5</f>
        <v>445.9295261239368</v>
      </c>
      <c r="H5" s="56">
        <f t="shared" ref="H5:H10" si="2">G5*F5</f>
        <v>445.9295261239368</v>
      </c>
      <c r="I5" s="11">
        <f>VLOOKUP(B5,Ordering!$A$1:$J$45,6,FALSE)</f>
        <v>1</v>
      </c>
      <c r="J5" s="58">
        <f>VLOOKUP(B5,Ordering!$A$1:$J$45,10,FALSE)</f>
        <v>5</v>
      </c>
      <c r="K5" s="58">
        <f t="shared" ref="K5:K10" si="3">H5/I5</f>
        <v>445.9295261239368</v>
      </c>
      <c r="L5" s="59">
        <f t="shared" ref="L5:L10" si="4">J5*K5</f>
        <v>2229.6476306196842</v>
      </c>
    </row>
    <row r="6" spans="1:22" ht="14.85" customHeight="1" x14ac:dyDescent="0.25">
      <c r="A6" s="11"/>
      <c r="B6" s="11" t="s">
        <v>80</v>
      </c>
      <c r="C6" s="16" t="s">
        <v>204</v>
      </c>
      <c r="D6" s="15">
        <v>2.430133657351154E-2</v>
      </c>
      <c r="E6" s="12">
        <f t="shared" si="0"/>
        <v>367</v>
      </c>
      <c r="F6" s="13">
        <v>1</v>
      </c>
      <c r="G6" s="12">
        <f t="shared" si="1"/>
        <v>8.9185905224787358</v>
      </c>
      <c r="H6" s="56">
        <f t="shared" si="2"/>
        <v>8.9185905224787358</v>
      </c>
      <c r="I6" s="11">
        <f>VLOOKUP(B6,Ordering!$A$1:$J$45,6,FALSE)</f>
        <v>1</v>
      </c>
      <c r="J6" s="58">
        <f>VLOOKUP(B6,Ordering!$A$1:$J$45,10,FALSE)</f>
        <v>8</v>
      </c>
      <c r="K6" s="58">
        <f t="shared" si="3"/>
        <v>8.9185905224787358</v>
      </c>
      <c r="L6" s="59">
        <f t="shared" si="4"/>
        <v>71.348724179829887</v>
      </c>
    </row>
    <row r="7" spans="1:22" ht="14.85" customHeight="1" x14ac:dyDescent="0.25">
      <c r="A7" s="11"/>
      <c r="B7" s="11" t="s">
        <v>88</v>
      </c>
      <c r="C7" s="16" t="s">
        <v>204</v>
      </c>
      <c r="D7" s="15">
        <v>8.910490076954232E-2</v>
      </c>
      <c r="E7" s="12">
        <f t="shared" si="0"/>
        <v>367</v>
      </c>
      <c r="F7" s="13">
        <v>1</v>
      </c>
      <c r="G7" s="12">
        <f t="shared" si="1"/>
        <v>32.701498582422033</v>
      </c>
      <c r="H7" s="56">
        <f t="shared" si="2"/>
        <v>32.701498582422033</v>
      </c>
      <c r="I7" s="11">
        <f>VLOOKUP(B7,Ordering!$A$1:$J$45,6,FALSE)</f>
        <v>1</v>
      </c>
      <c r="J7" s="58">
        <f>VLOOKUP(B7,Ordering!$A$1:$J$45,10,FALSE)</f>
        <v>0.74</v>
      </c>
      <c r="K7" s="58">
        <f t="shared" si="3"/>
        <v>32.701498582422033</v>
      </c>
      <c r="L7" s="59">
        <f t="shared" si="4"/>
        <v>24.199108950992304</v>
      </c>
      <c r="P7" s="35"/>
    </row>
    <row r="8" spans="1:22" ht="14.85" customHeight="1" x14ac:dyDescent="0.25">
      <c r="A8" s="11"/>
      <c r="B8" s="11" t="s">
        <v>66</v>
      </c>
      <c r="C8" s="16" t="s">
        <v>36</v>
      </c>
      <c r="D8" s="15">
        <v>10.54678007290401</v>
      </c>
      <c r="E8" s="12">
        <f t="shared" si="0"/>
        <v>367</v>
      </c>
      <c r="F8" s="13">
        <v>1</v>
      </c>
      <c r="G8" s="12">
        <f t="shared" si="1"/>
        <v>3870.6682867557715</v>
      </c>
      <c r="H8" s="56">
        <f t="shared" si="2"/>
        <v>3870.6682867557715</v>
      </c>
      <c r="I8" s="11">
        <f>VLOOKUP(B8,Ordering!$A$1:$J$45,6,FALSE)</f>
        <v>1</v>
      </c>
      <c r="J8" s="58">
        <f>VLOOKUP(B8,Ordering!$A$1:$J$45,10,FALSE)</f>
        <v>0</v>
      </c>
      <c r="K8" s="58">
        <f t="shared" si="3"/>
        <v>3870.6682867557715</v>
      </c>
      <c r="L8" s="59">
        <f t="shared" si="4"/>
        <v>0</v>
      </c>
    </row>
    <row r="9" spans="1:22" ht="14.85" customHeight="1" x14ac:dyDescent="0.25">
      <c r="A9" s="11"/>
      <c r="B9" s="11" t="s">
        <v>76</v>
      </c>
      <c r="C9" s="16" t="s">
        <v>204</v>
      </c>
      <c r="D9" s="15">
        <v>2.430133657351154E-2</v>
      </c>
      <c r="E9" s="12">
        <f t="shared" si="0"/>
        <v>367</v>
      </c>
      <c r="F9" s="13">
        <v>1</v>
      </c>
      <c r="G9" s="12">
        <f t="shared" si="1"/>
        <v>8.9185905224787358</v>
      </c>
      <c r="H9" s="56">
        <f t="shared" si="2"/>
        <v>8.9185905224787358</v>
      </c>
      <c r="I9" s="11">
        <f>VLOOKUP(B9,Ordering!$A$1:$J$45,6,FALSE)</f>
        <v>1</v>
      </c>
      <c r="J9" s="58">
        <f>VLOOKUP(B9,Ordering!$A$1:$J$45,10,FALSE)</f>
        <v>31</v>
      </c>
      <c r="K9" s="58">
        <f t="shared" si="3"/>
        <v>8.9185905224787358</v>
      </c>
      <c r="L9" s="59">
        <f t="shared" si="4"/>
        <v>276.47630619684082</v>
      </c>
    </row>
    <row r="10" spans="1:22" ht="14.85" customHeight="1" x14ac:dyDescent="0.25">
      <c r="A10" s="11"/>
      <c r="B10" s="11" t="s">
        <v>51</v>
      </c>
      <c r="C10" s="16" t="s">
        <v>204</v>
      </c>
      <c r="D10" s="15">
        <v>8.1004455245038471</v>
      </c>
      <c r="E10" s="12">
        <f t="shared" si="0"/>
        <v>367</v>
      </c>
      <c r="F10" s="13">
        <v>1</v>
      </c>
      <c r="G10" s="12">
        <f t="shared" si="1"/>
        <v>2972.863507492912</v>
      </c>
      <c r="H10" s="56">
        <f t="shared" si="2"/>
        <v>2972.863507492912</v>
      </c>
      <c r="I10" s="11">
        <f>VLOOKUP(B10,Ordering!$A$1:$J$45,6,FALSE)</f>
        <v>1</v>
      </c>
      <c r="J10" s="58">
        <f>VLOOKUP(B10,Ordering!$A$1:$J$45,10,FALSE)</f>
        <v>10</v>
      </c>
      <c r="K10" s="58">
        <f t="shared" si="3"/>
        <v>2972.863507492912</v>
      </c>
      <c r="L10" s="59">
        <f t="shared" si="4"/>
        <v>29728.63507492912</v>
      </c>
    </row>
    <row r="11" spans="1:22" x14ac:dyDescent="0.25">
      <c r="B11" s="57" t="s">
        <v>189</v>
      </c>
      <c r="C11" s="132" t="s">
        <v>204</v>
      </c>
      <c r="D11" s="127">
        <f>$I$1</f>
        <v>20</v>
      </c>
      <c r="E11" s="133"/>
      <c r="F11" s="133"/>
      <c r="G11" s="134" t="s">
        <v>323</v>
      </c>
      <c r="H11" s="135">
        <f>SUM(H5:H10)</f>
        <v>7340</v>
      </c>
    </row>
    <row r="12" spans="1:22" ht="14.85" customHeight="1" x14ac:dyDescent="0.25">
      <c r="M12" s="22"/>
    </row>
    <row r="13" spans="1:22" ht="14.85" customHeight="1" x14ac:dyDescent="0.25"/>
    <row r="14" spans="1:22" ht="14.85" customHeight="1" x14ac:dyDescent="0.25">
      <c r="L14" s="72"/>
      <c r="M14" s="74"/>
    </row>
    <row r="15" spans="1:22" x14ac:dyDescent="0.25">
      <c r="L15" s="72"/>
      <c r="M15" s="75"/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365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367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6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>
    <tabColor theme="4" tint="-0.249977111117893"/>
    <pageSetUpPr fitToPage="1"/>
  </sheetPr>
  <dimension ref="A1:V27"/>
  <sheetViews>
    <sheetView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5703125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257</v>
      </c>
      <c r="F1" s="17" t="s">
        <v>188</v>
      </c>
      <c r="G1" s="10">
        <f>D1/B1</f>
        <v>257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255</v>
      </c>
    </row>
    <row r="2" spans="1:22" ht="14.25" customHeight="1" x14ac:dyDescent="0.25">
      <c r="A2" s="39"/>
      <c r="B2" s="152" t="s">
        <v>211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56" t="s">
        <v>249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148</v>
      </c>
      <c r="C5" s="16" t="s">
        <v>204</v>
      </c>
      <c r="D5" s="15">
        <v>19.3</v>
      </c>
      <c r="E5" s="12">
        <f t="shared" ref="E5:E10" si="0">$G$1</f>
        <v>257</v>
      </c>
      <c r="F5" s="13">
        <v>1</v>
      </c>
      <c r="G5" s="12">
        <f t="shared" ref="G5:G10" si="1">E5*D5</f>
        <v>4960.1000000000004</v>
      </c>
      <c r="H5" s="56">
        <f t="shared" ref="H5:H10" si="2">G5*F5</f>
        <v>4960.1000000000004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5061.3265306122457</v>
      </c>
      <c r="L5" s="59">
        <f t="shared" ref="L5:L10" si="4">J5*K5</f>
        <v>17714.642857142859</v>
      </c>
    </row>
    <row r="6" spans="1:22" ht="14.85" customHeight="1" x14ac:dyDescent="0.25">
      <c r="A6" s="11"/>
      <c r="B6" s="11" t="s">
        <v>145</v>
      </c>
      <c r="C6" s="16" t="s">
        <v>204</v>
      </c>
      <c r="D6" s="15">
        <v>0.11</v>
      </c>
      <c r="E6" s="12">
        <f t="shared" si="0"/>
        <v>257</v>
      </c>
      <c r="F6" s="13">
        <v>1</v>
      </c>
      <c r="G6" s="12">
        <f t="shared" si="1"/>
        <v>28.27</v>
      </c>
      <c r="H6" s="56">
        <f t="shared" si="2"/>
        <v>28.27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29.447916666666668</v>
      </c>
      <c r="L6" s="59">
        <f t="shared" si="4"/>
        <v>117.79166666666667</v>
      </c>
    </row>
    <row r="7" spans="1:22" ht="14.85" customHeight="1" x14ac:dyDescent="0.25">
      <c r="A7" s="11"/>
      <c r="B7" s="11" t="s">
        <v>132</v>
      </c>
      <c r="C7" s="16" t="s">
        <v>204</v>
      </c>
      <c r="D7" s="15">
        <v>0.12</v>
      </c>
      <c r="E7" s="12">
        <f t="shared" si="0"/>
        <v>257</v>
      </c>
      <c r="F7" s="13">
        <v>1</v>
      </c>
      <c r="G7" s="12">
        <f t="shared" si="1"/>
        <v>30.84</v>
      </c>
      <c r="H7" s="56">
        <f t="shared" si="2"/>
        <v>30.84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32.808510638297875</v>
      </c>
      <c r="L7" s="59">
        <f t="shared" si="4"/>
        <v>119.30367504835593</v>
      </c>
      <c r="R7" s="35"/>
    </row>
    <row r="8" spans="1:22" ht="14.85" customHeight="1" x14ac:dyDescent="0.25">
      <c r="A8" s="11"/>
      <c r="B8" s="11" t="s">
        <v>97</v>
      </c>
      <c r="C8" s="16" t="s">
        <v>204</v>
      </c>
      <c r="D8" s="71">
        <v>6.9999999999999999E-4</v>
      </c>
      <c r="E8" s="12">
        <f t="shared" si="0"/>
        <v>257</v>
      </c>
      <c r="F8" s="13">
        <v>1</v>
      </c>
      <c r="G8" s="128">
        <f t="shared" si="1"/>
        <v>0.1799</v>
      </c>
      <c r="H8" s="129">
        <f t="shared" si="2"/>
        <v>0.1799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0.1799</v>
      </c>
      <c r="L8" s="59">
        <f t="shared" si="4"/>
        <v>6.2965</v>
      </c>
    </row>
    <row r="9" spans="1:22" ht="14.85" customHeight="1" x14ac:dyDescent="0.25">
      <c r="A9" s="11"/>
      <c r="B9" s="11" t="s">
        <v>88</v>
      </c>
      <c r="C9" s="16" t="s">
        <v>204</v>
      </c>
      <c r="D9" s="15">
        <v>6.6000000000000003E-2</v>
      </c>
      <c r="E9" s="12">
        <f t="shared" si="0"/>
        <v>257</v>
      </c>
      <c r="F9" s="13">
        <v>1</v>
      </c>
      <c r="G9" s="12">
        <f t="shared" si="1"/>
        <v>16.962</v>
      </c>
      <c r="H9" s="56">
        <f t="shared" si="2"/>
        <v>16.962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16.962</v>
      </c>
      <c r="L9" s="59">
        <f t="shared" si="4"/>
        <v>12.551879999999999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0.40899999999999997</v>
      </c>
      <c r="E10" s="12">
        <f t="shared" si="0"/>
        <v>257</v>
      </c>
      <c r="F10" s="13">
        <v>1</v>
      </c>
      <c r="G10" s="12">
        <f t="shared" si="1"/>
        <v>105.113</v>
      </c>
      <c r="H10" s="56">
        <f t="shared" si="2"/>
        <v>105.113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105.113</v>
      </c>
      <c r="L10" s="59">
        <f t="shared" si="4"/>
        <v>0</v>
      </c>
    </row>
    <row r="11" spans="1:22" x14ac:dyDescent="0.25">
      <c r="B11" s="57" t="s">
        <v>189</v>
      </c>
      <c r="C11" s="132" t="s">
        <v>204</v>
      </c>
      <c r="D11" s="127">
        <f>$I$1</f>
        <v>20</v>
      </c>
      <c r="E11" s="133"/>
      <c r="F11" s="133"/>
      <c r="G11" s="134" t="s">
        <v>323</v>
      </c>
      <c r="H11" s="135">
        <f>SUM(H5:H10)</f>
        <v>5141.4649000000018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255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257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9"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theme="4" tint="-0.249977111117893"/>
    <pageSetUpPr fitToPage="1"/>
  </sheetPr>
  <dimension ref="A1:V27"/>
  <sheetViews>
    <sheetView topLeftCell="B1"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3.42578125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81</v>
      </c>
      <c r="F1" s="17" t="s">
        <v>188</v>
      </c>
      <c r="G1" s="10">
        <f>D1/B1</f>
        <v>81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79</v>
      </c>
    </row>
    <row r="2" spans="1:22" ht="14.25" customHeight="1" x14ac:dyDescent="0.25">
      <c r="A2" s="41"/>
      <c r="B2" s="152" t="s">
        <v>216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56" t="s">
        <v>250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148</v>
      </c>
      <c r="C5" s="16" t="s">
        <v>204</v>
      </c>
      <c r="D5" s="15">
        <v>33.700000000000003</v>
      </c>
      <c r="E5" s="12">
        <f t="shared" ref="E5:E10" si="0">$G$1</f>
        <v>81</v>
      </c>
      <c r="F5" s="13">
        <v>1</v>
      </c>
      <c r="G5" s="12">
        <f t="shared" ref="G5:G10" si="1">E5*D5</f>
        <v>2729.7000000000003</v>
      </c>
      <c r="H5" s="56">
        <f t="shared" ref="H5:H10" si="2">G5*F5</f>
        <v>2729.7000000000003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2785.4081632653065</v>
      </c>
      <c r="L5" s="59">
        <f t="shared" ref="L5:L10" si="4">J5*K5</f>
        <v>9748.9285714285725</v>
      </c>
    </row>
    <row r="6" spans="1:22" ht="14.85" customHeight="1" x14ac:dyDescent="0.25">
      <c r="A6" s="11"/>
      <c r="B6" s="11" t="s">
        <v>145</v>
      </c>
      <c r="C6" s="16" t="s">
        <v>204</v>
      </c>
      <c r="D6" s="15">
        <v>0.24</v>
      </c>
      <c r="E6" s="12">
        <f t="shared" si="0"/>
        <v>81</v>
      </c>
      <c r="F6" s="13">
        <v>1</v>
      </c>
      <c r="G6" s="12">
        <f t="shared" si="1"/>
        <v>19.439999999999998</v>
      </c>
      <c r="H6" s="56">
        <f t="shared" si="2"/>
        <v>19.439999999999998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20.25</v>
      </c>
      <c r="L6" s="59">
        <f t="shared" si="4"/>
        <v>81</v>
      </c>
    </row>
    <row r="7" spans="1:22" ht="14.85" customHeight="1" x14ac:dyDescent="0.25">
      <c r="A7" s="11"/>
      <c r="B7" s="11" t="s">
        <v>132</v>
      </c>
      <c r="C7" s="16" t="s">
        <v>204</v>
      </c>
      <c r="D7" s="15">
        <v>0.2</v>
      </c>
      <c r="E7" s="12">
        <f t="shared" si="0"/>
        <v>81</v>
      </c>
      <c r="F7" s="13">
        <v>1</v>
      </c>
      <c r="G7" s="12">
        <f t="shared" si="1"/>
        <v>16.2</v>
      </c>
      <c r="H7" s="56">
        <f t="shared" si="2"/>
        <v>16.2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17.23404255319149</v>
      </c>
      <c r="L7" s="59">
        <f t="shared" si="4"/>
        <v>62.669245647969063</v>
      </c>
      <c r="R7" s="35"/>
    </row>
    <row r="8" spans="1:22" ht="14.85" customHeight="1" x14ac:dyDescent="0.25">
      <c r="A8" s="11"/>
      <c r="B8" s="11" t="s">
        <v>97</v>
      </c>
      <c r="C8" s="16" t="s">
        <v>204</v>
      </c>
      <c r="D8" s="24">
        <v>3.0000000000000001E-3</v>
      </c>
      <c r="E8" s="12">
        <f t="shared" si="0"/>
        <v>81</v>
      </c>
      <c r="F8" s="13">
        <v>1</v>
      </c>
      <c r="G8" s="128">
        <f t="shared" si="1"/>
        <v>0.24299999999999999</v>
      </c>
      <c r="H8" s="129">
        <f t="shared" si="2"/>
        <v>0.24299999999999999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0.24299999999999999</v>
      </c>
      <c r="L8" s="59">
        <f t="shared" si="4"/>
        <v>8.504999999999999</v>
      </c>
    </row>
    <row r="9" spans="1:22" ht="14.85" customHeight="1" x14ac:dyDescent="0.25">
      <c r="A9" s="11"/>
      <c r="B9" s="11" t="s">
        <v>88</v>
      </c>
      <c r="C9" s="16" t="s">
        <v>204</v>
      </c>
      <c r="D9" s="15">
        <v>0.12</v>
      </c>
      <c r="E9" s="12">
        <f t="shared" si="0"/>
        <v>81</v>
      </c>
      <c r="F9" s="13">
        <v>1</v>
      </c>
      <c r="G9" s="12">
        <f t="shared" si="1"/>
        <v>9.7199999999999989</v>
      </c>
      <c r="H9" s="56">
        <f t="shared" si="2"/>
        <v>9.7199999999999989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9.7199999999999989</v>
      </c>
      <c r="L9" s="59">
        <f t="shared" si="4"/>
        <v>7.1927999999999992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81</v>
      </c>
      <c r="F10" s="13">
        <v>1</v>
      </c>
      <c r="G10" s="12">
        <f t="shared" si="1"/>
        <v>60.75</v>
      </c>
      <c r="H10" s="56">
        <f t="shared" si="2"/>
        <v>60.75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60.75</v>
      </c>
      <c r="L10" s="59">
        <f t="shared" si="4"/>
        <v>0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2836.0529999999999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79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81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4" tint="-0.249977111117893"/>
    <pageSetUpPr fitToPage="1"/>
  </sheetPr>
  <dimension ref="A1:V27"/>
  <sheetViews>
    <sheetView topLeftCell="B1"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85546875" customWidth="1"/>
    <col min="19" max="19" width="8.42578125" bestFit="1" customWidth="1"/>
  </cols>
  <sheetData>
    <row r="1" spans="1:22" ht="26.25" customHeight="1" x14ac:dyDescent="0.25">
      <c r="A1" s="17" t="s">
        <v>186</v>
      </c>
      <c r="B1" s="9">
        <v>1</v>
      </c>
      <c r="C1" s="17" t="s">
        <v>187</v>
      </c>
      <c r="D1" s="10">
        <f>Q20</f>
        <v>132</v>
      </c>
      <c r="F1" s="17" t="s">
        <v>188</v>
      </c>
      <c r="G1" s="10">
        <f>D1/B1</f>
        <v>132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130</v>
      </c>
    </row>
    <row r="2" spans="1:22" ht="14.25" customHeight="1" x14ac:dyDescent="0.25">
      <c r="A2" s="37"/>
      <c r="B2" s="150" t="s">
        <v>226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251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2" ht="14.85" customHeight="1" x14ac:dyDescent="0.25">
      <c r="A5" s="11"/>
      <c r="B5" s="11" t="s">
        <v>23</v>
      </c>
      <c r="C5" s="16" t="s">
        <v>204</v>
      </c>
      <c r="D5" s="15">
        <v>20</v>
      </c>
      <c r="E5" s="12">
        <f t="shared" ref="E5:E10" si="0">$G$1</f>
        <v>132</v>
      </c>
      <c r="F5" s="13">
        <v>1</v>
      </c>
      <c r="G5" s="12">
        <f t="shared" ref="G5:G10" si="1">E5*D5</f>
        <v>2640</v>
      </c>
      <c r="H5" s="56">
        <f t="shared" ref="H5:H10" si="2">G5*F5</f>
        <v>2640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H5/I5</f>
        <v>2640</v>
      </c>
      <c r="L5" s="59">
        <f t="shared" ref="L5:L10" si="4">J5*K5</f>
        <v>17677.439999999999</v>
      </c>
    </row>
    <row r="6" spans="1:22" ht="14.85" customHeight="1" x14ac:dyDescent="0.25">
      <c r="A6" s="11"/>
      <c r="B6" s="11" t="s">
        <v>141</v>
      </c>
      <c r="C6" s="16" t="s">
        <v>204</v>
      </c>
      <c r="D6" s="15">
        <v>5.4</v>
      </c>
      <c r="E6" s="12">
        <f t="shared" si="0"/>
        <v>132</v>
      </c>
      <c r="F6" s="13">
        <v>1</v>
      </c>
      <c r="G6" s="12">
        <f t="shared" si="1"/>
        <v>712.80000000000007</v>
      </c>
      <c r="H6" s="56">
        <f t="shared" si="2"/>
        <v>712.80000000000007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891</v>
      </c>
      <c r="L6" s="59">
        <f t="shared" si="4"/>
        <v>2673</v>
      </c>
    </row>
    <row r="7" spans="1:22" ht="14.85" customHeight="1" x14ac:dyDescent="0.25">
      <c r="A7" s="11"/>
      <c r="B7" s="11" t="s">
        <v>80</v>
      </c>
      <c r="C7" s="16" t="s">
        <v>204</v>
      </c>
      <c r="D7" s="15">
        <v>0.05</v>
      </c>
      <c r="E7" s="12">
        <f t="shared" si="0"/>
        <v>132</v>
      </c>
      <c r="F7" s="13">
        <v>1</v>
      </c>
      <c r="G7" s="12">
        <f t="shared" si="1"/>
        <v>6.6000000000000005</v>
      </c>
      <c r="H7" s="56">
        <f t="shared" si="2"/>
        <v>6.6000000000000005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6.6000000000000005</v>
      </c>
      <c r="L7" s="59">
        <f t="shared" si="4"/>
        <v>52.800000000000004</v>
      </c>
      <c r="R7" s="35"/>
    </row>
    <row r="8" spans="1:22" ht="14.85" customHeight="1" x14ac:dyDescent="0.25">
      <c r="A8" s="11"/>
      <c r="B8" s="11" t="s">
        <v>119</v>
      </c>
      <c r="C8" s="16" t="s">
        <v>204</v>
      </c>
      <c r="D8" s="15">
        <v>0.02</v>
      </c>
      <c r="E8" s="12">
        <f t="shared" si="0"/>
        <v>132</v>
      </c>
      <c r="F8" s="13">
        <v>1</v>
      </c>
      <c r="G8" s="12">
        <f t="shared" si="1"/>
        <v>2.64</v>
      </c>
      <c r="H8" s="56">
        <f t="shared" si="2"/>
        <v>2.64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2.64</v>
      </c>
      <c r="L8" s="59">
        <f t="shared" si="4"/>
        <v>52.800000000000004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132</v>
      </c>
      <c r="F9" s="13">
        <v>1</v>
      </c>
      <c r="G9" s="12">
        <f t="shared" si="1"/>
        <v>1247.3999999999999</v>
      </c>
      <c r="H9" s="56">
        <f t="shared" si="2"/>
        <v>1247.3999999999999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1247.3999999999999</v>
      </c>
      <c r="L9" s="59">
        <f t="shared" si="4"/>
        <v>0</v>
      </c>
    </row>
    <row r="10" spans="1:22" ht="14.85" customHeight="1" x14ac:dyDescent="0.25">
      <c r="A10" s="11"/>
      <c r="B10" s="11" t="s">
        <v>88</v>
      </c>
      <c r="C10" s="16" t="s">
        <v>204</v>
      </c>
      <c r="D10" s="15">
        <v>0.08</v>
      </c>
      <c r="E10" s="12">
        <f t="shared" si="0"/>
        <v>132</v>
      </c>
      <c r="F10" s="13">
        <v>1</v>
      </c>
      <c r="G10" s="12">
        <f t="shared" si="1"/>
        <v>10.56</v>
      </c>
      <c r="H10" s="56">
        <f t="shared" si="2"/>
        <v>10.56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10.56</v>
      </c>
      <c r="L10" s="59">
        <f t="shared" si="4"/>
        <v>7.8144</v>
      </c>
    </row>
    <row r="11" spans="1:22" x14ac:dyDescent="0.25">
      <c r="B11" s="57" t="s">
        <v>189</v>
      </c>
      <c r="C11" s="132" t="s">
        <v>204</v>
      </c>
      <c r="D11" s="127">
        <f>$I$1</f>
        <v>35</v>
      </c>
      <c r="E11" s="133"/>
      <c r="F11" s="133"/>
      <c r="G11" s="134" t="s">
        <v>323</v>
      </c>
      <c r="H11" s="135">
        <f>SUM(H5:H10)</f>
        <v>4620</v>
      </c>
      <c r="M11" s="72"/>
      <c r="N11" s="22"/>
    </row>
    <row r="12" spans="1:22" ht="14.85" customHeight="1" x14ac:dyDescent="0.25">
      <c r="M12" s="72"/>
      <c r="N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130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132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57">
    <tabColor theme="4" tint="-0.249977111117893"/>
    <pageSetUpPr fitToPage="1"/>
  </sheetPr>
  <dimension ref="A1:Y27"/>
  <sheetViews>
    <sheetView zoomScale="85" zoomScaleNormal="85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200</v>
      </c>
      <c r="F1" s="17" t="s">
        <v>188</v>
      </c>
      <c r="G1" s="10">
        <f>D1/B1</f>
        <v>200</v>
      </c>
      <c r="H1" s="17" t="s">
        <v>189</v>
      </c>
      <c r="I1" s="21">
        <v>35</v>
      </c>
      <c r="J1" s="1"/>
      <c r="K1" s="23" t="s">
        <v>190</v>
      </c>
      <c r="U1" s="93" t="s">
        <v>20</v>
      </c>
      <c r="V1" s="94">
        <v>198</v>
      </c>
    </row>
    <row r="2" spans="1:25" ht="14.25" customHeight="1" x14ac:dyDescent="0.25">
      <c r="A2" s="39"/>
      <c r="B2" s="152" t="s">
        <v>276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288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29.005524861878463</v>
      </c>
      <c r="E5" s="108">
        <f>$G$1</f>
        <v>200</v>
      </c>
      <c r="F5" s="109">
        <v>1</v>
      </c>
      <c r="G5" s="108">
        <f>E5*D5</f>
        <v>5801.1049723756923</v>
      </c>
      <c r="H5" s="110">
        <f>G5*F5</f>
        <v>5801.1049723756923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5.8011049723756924</v>
      </c>
      <c r="L5" s="112">
        <f>J5*K5</f>
        <v>37.236822457816942</v>
      </c>
    </row>
    <row r="6" spans="1:25" ht="14.85" customHeight="1" x14ac:dyDescent="0.25">
      <c r="A6" s="106"/>
      <c r="B6" s="106" t="s">
        <v>261</v>
      </c>
      <c r="C6" s="16" t="s">
        <v>204</v>
      </c>
      <c r="D6" s="107">
        <v>1.9337016574585641</v>
      </c>
      <c r="E6" s="108">
        <f>$G$1</f>
        <v>200</v>
      </c>
      <c r="F6" s="109">
        <v>1</v>
      </c>
      <c r="G6" s="108">
        <f>E6*D6</f>
        <v>386.74033149171282</v>
      </c>
      <c r="H6" s="110">
        <f>G6*F6</f>
        <v>386.74033149171282</v>
      </c>
      <c r="I6" s="106">
        <f>VLOOKUP(B6,Ordering!$A$1:$J$45,6,FALSE)</f>
        <v>1</v>
      </c>
      <c r="J6" s="111">
        <f>VLOOKUP(B6,Ordering!$A$1:$J$45,10,FALSE)</f>
        <v>10.5</v>
      </c>
      <c r="K6" s="107">
        <f>((H6/(I6))/1000)</f>
        <v>0.38674033149171283</v>
      </c>
      <c r="L6" s="112">
        <f>J6*K6</f>
        <v>4.0607734806629843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2.9005524861878462</v>
      </c>
      <c r="E7" s="108">
        <f>$G$1</f>
        <v>200</v>
      </c>
      <c r="F7" s="109">
        <v>1</v>
      </c>
      <c r="G7" s="108">
        <f>E7*D7</f>
        <v>580.11049723756923</v>
      </c>
      <c r="H7" s="110">
        <f>G7*F7</f>
        <v>580.11049723756923</v>
      </c>
      <c r="I7" s="106">
        <f>VLOOKUP(B7,Ordering!$A$1:$J$45,6,FALSE)</f>
        <v>1</v>
      </c>
      <c r="J7" s="111">
        <f>VLOOKUP(B7,Ordering!$A$1:$J$45,10,FALSE)</f>
        <v>5</v>
      </c>
      <c r="K7" s="107">
        <f>((H7/(I7))/1000)</f>
        <v>0.58011049723756924</v>
      </c>
      <c r="L7" s="112">
        <f>J7*K7</f>
        <v>2.9005524861878462</v>
      </c>
      <c r="R7" s="35"/>
    </row>
    <row r="8" spans="1:25" ht="14.85" customHeight="1" x14ac:dyDescent="0.25">
      <c r="A8" s="106"/>
      <c r="B8" s="106" t="s">
        <v>46</v>
      </c>
      <c r="C8" s="16" t="s">
        <v>204</v>
      </c>
      <c r="D8" s="107">
        <v>0.96685082872928163</v>
      </c>
      <c r="E8" s="108">
        <f>$G$1</f>
        <v>200</v>
      </c>
      <c r="F8" s="109">
        <v>1</v>
      </c>
      <c r="G8" s="108">
        <f>E8*D8</f>
        <v>193.37016574585633</v>
      </c>
      <c r="H8" s="110">
        <f>G8*F8</f>
        <v>193.37016574585633</v>
      </c>
      <c r="I8" s="106">
        <f>VLOOKUP(B8,Ordering!$A$1:$J$45,6,FALSE)</f>
        <v>1</v>
      </c>
      <c r="J8" s="111">
        <f>VLOOKUP(B8,Ordering!$A$1:$J$45,10,FALSE)</f>
        <v>11.243386243386244</v>
      </c>
      <c r="K8" s="107">
        <f>((H8/(I8))/1000)</f>
        <v>0.19337016574585633</v>
      </c>
      <c r="L8" s="112">
        <f>J8*K8</f>
        <v>2.1741354614282788</v>
      </c>
      <c r="V8" s="63" t="s">
        <v>205</v>
      </c>
      <c r="W8" s="64">
        <v>1</v>
      </c>
      <c r="X8" s="63" t="s">
        <v>203</v>
      </c>
      <c r="Y8" s="65">
        <f>(SUM(L5:L9)/Q20)*W8</f>
        <v>0.23200451335313221</v>
      </c>
    </row>
    <row r="9" spans="1:25" ht="14.85" customHeight="1" x14ac:dyDescent="0.25">
      <c r="A9" s="106"/>
      <c r="B9" s="106" t="s">
        <v>88</v>
      </c>
      <c r="C9" s="16" t="s">
        <v>204</v>
      </c>
      <c r="D9" s="107">
        <v>0.19337016574585639</v>
      </c>
      <c r="E9" s="108">
        <f>$G$1</f>
        <v>200</v>
      </c>
      <c r="F9" s="109">
        <v>1</v>
      </c>
      <c r="G9" s="108">
        <f>E9*D9</f>
        <v>38.674033149171279</v>
      </c>
      <c r="H9" s="110">
        <f>G9*F9</f>
        <v>38.674033149171279</v>
      </c>
      <c r="I9" s="106">
        <f>VLOOKUP(B9,Ordering!$A$1:$J$45,6,FALSE)</f>
        <v>1</v>
      </c>
      <c r="J9" s="111">
        <f>VLOOKUP(B9,Ordering!$A$1:$J$45,10,FALSE)</f>
        <v>0.74</v>
      </c>
      <c r="K9" s="107">
        <f>((H9/(I9))/1000)</f>
        <v>3.8674033149171276E-2</v>
      </c>
      <c r="L9" s="112">
        <f>J9*K9</f>
        <v>2.8618784530386743E-2</v>
      </c>
    </row>
    <row r="10" spans="1:25" ht="14.85" customHeight="1" x14ac:dyDescent="0.25">
      <c r="A10" s="11"/>
      <c r="B10" s="57" t="s">
        <v>189</v>
      </c>
      <c r="C10" s="132" t="s">
        <v>204</v>
      </c>
      <c r="D10" s="127">
        <f>$I$1</f>
        <v>35</v>
      </c>
      <c r="E10" s="133"/>
      <c r="F10" s="133"/>
      <c r="G10" s="134" t="s">
        <v>323</v>
      </c>
      <c r="H10" s="135">
        <f>SUM(H5:H9)</f>
        <v>7000.0000000000009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198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200</v>
      </c>
    </row>
    <row r="21" spans="11:17" x14ac:dyDescent="0.25">
      <c r="P21" s="61" t="s">
        <v>203</v>
      </c>
      <c r="Q21" s="62">
        <f>SUM(L5:L9)</f>
        <v>46.400902670626444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A689-26D7-45BA-8922-2E044BF03A50}">
  <sheetPr codeName="Sheet34">
    <tabColor theme="4" tint="-0.249977111117893"/>
    <pageSetUpPr fitToPage="1"/>
  </sheetPr>
  <dimension ref="A1:Y27"/>
  <sheetViews>
    <sheetView zoomScale="85" zoomScaleNormal="85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186</v>
      </c>
      <c r="B1" s="9">
        <v>1</v>
      </c>
      <c r="C1" s="17" t="s">
        <v>187</v>
      </c>
      <c r="D1" s="10">
        <f>Q20</f>
        <v>200</v>
      </c>
      <c r="F1" s="17" t="s">
        <v>188</v>
      </c>
      <c r="G1" s="10">
        <f>D1/B1</f>
        <v>200</v>
      </c>
      <c r="H1" s="17" t="s">
        <v>189</v>
      </c>
      <c r="I1" s="21">
        <v>20</v>
      </c>
      <c r="J1" s="1"/>
      <c r="K1" s="23" t="s">
        <v>190</v>
      </c>
      <c r="U1" s="93" t="s">
        <v>20</v>
      </c>
      <c r="V1" s="94">
        <v>198</v>
      </c>
    </row>
    <row r="2" spans="1:25" ht="14.25" customHeight="1" x14ac:dyDescent="0.25">
      <c r="A2" s="39"/>
      <c r="B2" s="152" t="s">
        <v>289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288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193</v>
      </c>
      <c r="C4" s="17" t="s">
        <v>194</v>
      </c>
      <c r="D4" s="17" t="s">
        <v>195</v>
      </c>
      <c r="E4" s="14" t="s">
        <v>196</v>
      </c>
      <c r="F4" s="14" t="s">
        <v>197</v>
      </c>
      <c r="G4" s="17" t="s">
        <v>198</v>
      </c>
      <c r="H4" s="55" t="s">
        <v>199</v>
      </c>
      <c r="I4" s="57" t="s">
        <v>200</v>
      </c>
      <c r="J4" s="57" t="s">
        <v>201</v>
      </c>
      <c r="K4" s="57" t="s">
        <v>202</v>
      </c>
      <c r="L4" s="57" t="s">
        <v>203</v>
      </c>
    </row>
    <row r="5" spans="1:25" ht="14.85" customHeight="1" x14ac:dyDescent="0.25">
      <c r="A5" s="106"/>
      <c r="B5" s="106" t="s">
        <v>42</v>
      </c>
      <c r="C5" s="16" t="s">
        <v>204</v>
      </c>
      <c r="D5" s="107">
        <v>16.574585635359121</v>
      </c>
      <c r="E5" s="108">
        <f>$G$1</f>
        <v>200</v>
      </c>
      <c r="F5" s="109">
        <v>1</v>
      </c>
      <c r="G5" s="108">
        <f>E5*D5</f>
        <v>3314.9171270718243</v>
      </c>
      <c r="H5" s="110">
        <f>G5*F5</f>
        <v>3314.9171270718243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3.3149171270718245</v>
      </c>
      <c r="L5" s="112">
        <f>J5*K5</f>
        <v>21.278184261609681</v>
      </c>
    </row>
    <row r="6" spans="1:25" ht="14.85" customHeight="1" x14ac:dyDescent="0.25">
      <c r="A6" s="106"/>
      <c r="B6" s="106" t="s">
        <v>261</v>
      </c>
      <c r="C6" s="16" t="s">
        <v>204</v>
      </c>
      <c r="D6" s="107">
        <v>1.104972375690608</v>
      </c>
      <c r="E6" s="108">
        <f>$G$1</f>
        <v>200</v>
      </c>
      <c r="F6" s="109">
        <v>1</v>
      </c>
      <c r="G6" s="108">
        <f>E6*D6</f>
        <v>220.9944751381216</v>
      </c>
      <c r="H6" s="110">
        <f>G6*F6</f>
        <v>220.9944751381216</v>
      </c>
      <c r="I6" s="106">
        <f>VLOOKUP(B6,Ordering!$A$1:$J$45,6,FALSE)</f>
        <v>1</v>
      </c>
      <c r="J6" s="111">
        <f>VLOOKUP(B6,Ordering!$A$1:$J$45,10,FALSE)</f>
        <v>10.5</v>
      </c>
      <c r="K6" s="107">
        <f>((H6/(I6))/1000)</f>
        <v>0.22099447513812159</v>
      </c>
      <c r="L6" s="112">
        <f>J6*K6</f>
        <v>2.3204419889502765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1.657458563535912</v>
      </c>
      <c r="E7" s="108">
        <f>$G$1</f>
        <v>200</v>
      </c>
      <c r="F7" s="109">
        <v>1</v>
      </c>
      <c r="G7" s="108">
        <f>E7*D7</f>
        <v>331.49171270718239</v>
      </c>
      <c r="H7" s="110">
        <f>G7*F7</f>
        <v>331.49171270718239</v>
      </c>
      <c r="I7" s="106">
        <f>VLOOKUP(B7,Ordering!$A$1:$J$45,6,FALSE)</f>
        <v>1</v>
      </c>
      <c r="J7" s="111">
        <f>VLOOKUP(B7,Ordering!$A$1:$J$45,10,FALSE)</f>
        <v>5</v>
      </c>
      <c r="K7" s="107">
        <f>((H7/(I7))/1000)</f>
        <v>0.33149171270718236</v>
      </c>
      <c r="L7" s="112">
        <f>J7*K7</f>
        <v>1.6574585635359118</v>
      </c>
      <c r="R7" s="35"/>
    </row>
    <row r="8" spans="1:25" ht="14.85" customHeight="1" x14ac:dyDescent="0.25">
      <c r="A8" s="106"/>
      <c r="B8" s="106" t="s">
        <v>46</v>
      </c>
      <c r="C8" s="16" t="s">
        <v>204</v>
      </c>
      <c r="D8" s="107">
        <v>0.55248618784530379</v>
      </c>
      <c r="E8" s="108">
        <f>$G$1</f>
        <v>200</v>
      </c>
      <c r="F8" s="109">
        <v>1</v>
      </c>
      <c r="G8" s="108">
        <f>E8*D8</f>
        <v>110.49723756906076</v>
      </c>
      <c r="H8" s="110">
        <f>G8*F8</f>
        <v>110.49723756906076</v>
      </c>
      <c r="I8" s="106">
        <f>VLOOKUP(B8,Ordering!$A$1:$J$45,6,FALSE)</f>
        <v>1</v>
      </c>
      <c r="J8" s="111">
        <f>VLOOKUP(B8,Ordering!$A$1:$J$45,10,FALSE)</f>
        <v>11.243386243386244</v>
      </c>
      <c r="K8" s="107">
        <f>((H8/(I8))/1000)</f>
        <v>0.11049723756906076</v>
      </c>
      <c r="L8" s="112">
        <f>J8*K8</f>
        <v>1.2423631208161594</v>
      </c>
      <c r="V8" s="63" t="s">
        <v>205</v>
      </c>
      <c r="W8" s="64">
        <v>1</v>
      </c>
      <c r="X8" s="63" t="s">
        <v>203</v>
      </c>
      <c r="Y8" s="65">
        <f>(SUM(L5:L9)/Q20)*W8</f>
        <v>0.13257400763036123</v>
      </c>
    </row>
    <row r="9" spans="1:25" ht="14.85" customHeight="1" x14ac:dyDescent="0.25">
      <c r="A9" s="106"/>
      <c r="B9" s="106" t="s">
        <v>88</v>
      </c>
      <c r="C9" s="16" t="s">
        <v>204</v>
      </c>
      <c r="D9" s="107">
        <v>0.1104972375690608</v>
      </c>
      <c r="E9" s="108">
        <f>$G$1</f>
        <v>200</v>
      </c>
      <c r="F9" s="109">
        <v>1</v>
      </c>
      <c r="G9" s="108">
        <f>E9*D9</f>
        <v>22.099447513812159</v>
      </c>
      <c r="H9" s="110">
        <f>G9*F9</f>
        <v>22.099447513812159</v>
      </c>
      <c r="I9" s="106">
        <f>VLOOKUP(B9,Ordering!$A$1:$J$45,6,FALSE)</f>
        <v>1</v>
      </c>
      <c r="J9" s="111">
        <f>VLOOKUP(B9,Ordering!$A$1:$J$45,10,FALSE)</f>
        <v>0.74</v>
      </c>
      <c r="K9" s="107">
        <f>((H9/(I9))/1000)</f>
        <v>2.2099447513812157E-2</v>
      </c>
      <c r="L9" s="112">
        <f>J9*K9</f>
        <v>1.6353591160220997E-2</v>
      </c>
    </row>
    <row r="10" spans="1:25" ht="14.85" customHeight="1" x14ac:dyDescent="0.25">
      <c r="A10" s="11"/>
      <c r="B10" s="57" t="s">
        <v>189</v>
      </c>
      <c r="C10" s="132" t="s">
        <v>204</v>
      </c>
      <c r="D10" s="127">
        <f>$I$1</f>
        <v>20</v>
      </c>
      <c r="E10" s="133"/>
      <c r="F10" s="133"/>
      <c r="G10" s="134" t="s">
        <v>323</v>
      </c>
      <c r="H10" s="135">
        <f>SUM(H5:H9)</f>
        <v>4000.0000000000014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206</v>
      </c>
      <c r="Q17" s="3" t="s">
        <v>207</v>
      </c>
    </row>
    <row r="18" spans="11:17" ht="14.85" customHeight="1" thickBot="1" x14ac:dyDescent="0.3">
      <c r="P18" s="4" t="s">
        <v>208</v>
      </c>
      <c r="Q18" s="5">
        <f>V1</f>
        <v>198</v>
      </c>
    </row>
    <row r="19" spans="11:17" ht="14.85" customHeight="1" thickBot="1" x14ac:dyDescent="0.3">
      <c r="P19" s="4" t="s">
        <v>209</v>
      </c>
      <c r="Q19" s="6">
        <v>2</v>
      </c>
    </row>
    <row r="20" spans="11:17" x14ac:dyDescent="0.25">
      <c r="P20" s="7" t="s">
        <v>210</v>
      </c>
      <c r="Q20" s="8">
        <f>Q18+Q19</f>
        <v>200</v>
      </c>
    </row>
    <row r="21" spans="11:17" x14ac:dyDescent="0.25">
      <c r="P21" s="61" t="s">
        <v>203</v>
      </c>
      <c r="Q21" s="62">
        <f>SUM(L5:L9)</f>
        <v>26.514801526072247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Ordering</vt:lpstr>
      <vt:lpstr>Tahina Small</vt:lpstr>
      <vt:lpstr>Red sauce</vt:lpstr>
      <vt:lpstr>Cucumber yogurt sauce</vt:lpstr>
      <vt:lpstr>Herbal Sauce</vt:lpstr>
      <vt:lpstr>Red sauce Big</vt:lpstr>
      <vt:lpstr>Tahina Big</vt:lpstr>
      <vt:lpstr>Coctail Sauce Weight</vt:lpstr>
      <vt:lpstr>Lemon Herb Sauce Packed</vt:lpstr>
      <vt:lpstr>Lemon Herb Sauce unpacked</vt:lpstr>
      <vt:lpstr>Cucumber yogurt sauce (2)</vt:lpstr>
      <vt:lpstr>Red sauce Big (2)</vt:lpstr>
      <vt:lpstr>House Sauce Packed</vt:lpstr>
      <vt:lpstr>House Sauce unpacked</vt:lpstr>
      <vt:lpstr>Honey Mustard Sauce Packed</vt:lpstr>
      <vt:lpstr>Honey Mustard Sauce unpacked</vt:lpstr>
      <vt:lpstr>Tahina Big (2)</vt:lpstr>
      <vt:lpstr>Red sauce Big (3)</vt:lpstr>
      <vt:lpstr>Coctail Sauce Dip In  (3)</vt:lpstr>
      <vt:lpstr>Biryani Yoghrt sauce</vt:lpstr>
      <vt:lpstr>Coctail Sauce Weight (2)</vt:lpstr>
      <vt:lpstr>Mixed Pickle</vt:lpstr>
      <vt:lpstr>Smoked Sauce Packed</vt:lpstr>
      <vt:lpstr>Smoked Sauce unpacked</vt:lpstr>
      <vt:lpstr>Cucumber yogurt sauce (3)</vt:lpstr>
      <vt:lpstr>Shabat Sauce</vt:lpstr>
      <vt:lpstr>Coctail Sauce Dip In  (4)</vt:lpstr>
      <vt:lpstr>Coctail Sauce Weight (5)</vt:lpstr>
      <vt:lpstr>Coleslaw Salad</vt:lpstr>
      <vt:lpstr>Garlic Aioli (2)</vt:lpstr>
      <vt:lpstr>Red sauce Big (4)</vt:lpstr>
      <vt:lpstr>Cucumber yogurt sauce (4)</vt:lpstr>
      <vt:lpstr>Coctail Sauce Weight (4)</vt:lpstr>
      <vt:lpstr>BBQ Sauce Packed</vt:lpstr>
      <vt:lpstr>BBQ Sauce unpacked</vt:lpstr>
      <vt:lpstr>Sumak Onion</vt:lpstr>
      <vt:lpstr>Tahina Small (2)</vt:lpstr>
      <vt:lpstr>Red sauce (2)</vt:lpstr>
      <vt:lpstr>Red sauce Big (5)</vt:lpstr>
      <vt:lpstr>Cucumber yogurt sauce (5)</vt:lpstr>
      <vt:lpstr>Garlic Aioli</vt:lpstr>
      <vt:lpstr>Garlic Aioli unpacked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2026-08-30T15:24:53Z</cp:lastPrinted>
  <dcterms:created xsi:type="dcterms:W3CDTF">2026-01-12T00:14:28Z</dcterms:created>
  <dcterms:modified xsi:type="dcterms:W3CDTF">2026-08-30T15:25:07Z</dcterms:modified>
</cp:coreProperties>
</file>