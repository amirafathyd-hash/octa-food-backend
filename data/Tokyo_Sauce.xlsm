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August/W3/"/>
    </mc:Choice>
  </mc:AlternateContent>
  <xr:revisionPtr revIDLastSave="6288" documentId="8_{EA1F5125-DDAF-493A-AFA9-2079C62AD1A1}" xr6:coauthVersionLast="47" xr6:coauthVersionMax="47" xr10:uidLastSave="{37EEC983-69B3-4F43-911A-596149DDD104}"/>
  <bookViews>
    <workbookView xWindow="2100" yWindow="690" windowWidth="17085" windowHeight="13995" tabRatio="843" xr2:uid="{00000000-000D-0000-FFFF-FFFF00000000}"/>
  </bookViews>
  <sheets>
    <sheet name="Ordering" sheetId="1" r:id="rId1"/>
    <sheet name="Tahina Small" sheetId="2" r:id="rId2"/>
    <sheet name="Red sauce" sheetId="3" r:id="rId3"/>
    <sheet name="Cucumber yogurt sauce" sheetId="4" r:id="rId4"/>
    <sheet name="Herbal Sauce" sheetId="5" r:id="rId5"/>
    <sheet name="Red sauce Big" sheetId="6" r:id="rId6"/>
    <sheet name="Tahina Big" sheetId="7" r:id="rId7"/>
    <sheet name="Coctail Sauce Weight" sheetId="8" r:id="rId8"/>
    <sheet name="Lemon Herb Sauce Packed" sheetId="39" r:id="rId9"/>
    <sheet name="Lemon Herb Sauce unpacked" sheetId="46" r:id="rId10"/>
    <sheet name="Cucumber yogurt sauce (2)" sheetId="12" r:id="rId11"/>
    <sheet name="Red sauce Big (2)" sheetId="13" r:id="rId12"/>
    <sheet name="House Sauce Packed" sheetId="32" r:id="rId13"/>
    <sheet name="House Sauce unpacked" sheetId="42" r:id="rId14"/>
    <sheet name="Honey Mustard Sauce Packed" sheetId="38" r:id="rId15"/>
    <sheet name="Honey Mustard Sauce unpacked" sheetId="45" r:id="rId16"/>
    <sheet name="Tahina Big (2)" sheetId="14" r:id="rId17"/>
    <sheet name="Red sauce Big (3)" sheetId="15" r:id="rId18"/>
    <sheet name="Coctail Sauce Dip In  (3)" sheetId="16" r:id="rId19"/>
    <sheet name="Coctail Sauce Weight (2)" sheetId="17" r:id="rId20"/>
    <sheet name="Mixed Pickle" sheetId="18" r:id="rId21"/>
    <sheet name="Smoked Sauce Packed" sheetId="35" r:id="rId22"/>
    <sheet name="Smoked Sauce unpacked" sheetId="43" r:id="rId23"/>
    <sheet name="Cucumber yogurt sauce (3)" sheetId="19" r:id="rId24"/>
    <sheet name="Shabat Sauce" sheetId="20" r:id="rId25"/>
    <sheet name="Biryani Yoghrt sauce" sheetId="21" r:id="rId26"/>
    <sheet name="Coctail Sauce Dip In  (4)" sheetId="22" r:id="rId27"/>
    <sheet name="Coctail Sauce Weight (5)" sheetId="23" r:id="rId28"/>
    <sheet name="Coleslaw Salad" sheetId="34" r:id="rId29"/>
    <sheet name="Garlic Aioli (2)" sheetId="47" r:id="rId30"/>
    <sheet name="Red sauce Big (4)" sheetId="24" r:id="rId31"/>
    <sheet name="Cucumber yogurt sauce (4)" sheetId="25" r:id="rId32"/>
    <sheet name="Coctail Sauce Weight (4)" sheetId="26" r:id="rId33"/>
    <sheet name="BBQ Sauce Packed" sheetId="36" r:id="rId34"/>
    <sheet name="BBQ Sauce unpacked" sheetId="44" r:id="rId35"/>
    <sheet name="Sumak Onion" sheetId="27" r:id="rId36"/>
    <sheet name="Tahina Small (2)" sheetId="28" r:id="rId37"/>
    <sheet name="Red sauce (2)" sheetId="29" r:id="rId38"/>
    <sheet name="Red sauce Big (5)" sheetId="30" r:id="rId39"/>
    <sheet name="Cucumber yogurt sauce (5)" sheetId="31" r:id="rId40"/>
    <sheet name="Garlic Aioli" sheetId="33" r:id="rId41"/>
    <sheet name="Garlic Aioli unpacked" sheetId="48" r:id="rId42"/>
  </sheets>
  <definedNames>
    <definedName name="_xlnm._FilterDatabase" localSheetId="0" hidden="1">Ordering!$A$1:$O$44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48" l="1"/>
  <c r="D10" i="33"/>
  <c r="D11" i="31"/>
  <c r="D11" i="30"/>
  <c r="D11" i="29"/>
  <c r="D11" i="28"/>
  <c r="D7" i="27"/>
  <c r="D10" i="44"/>
  <c r="D10" i="36"/>
  <c r="D9" i="26"/>
  <c r="D11" i="25"/>
  <c r="D11" i="24"/>
  <c r="D10" i="47"/>
  <c r="D10" i="34"/>
  <c r="D9" i="23"/>
  <c r="D9" i="22"/>
  <c r="D11" i="21"/>
  <c r="D9" i="20"/>
  <c r="D11" i="19"/>
  <c r="D12" i="43"/>
  <c r="D12" i="35"/>
  <c r="D8" i="18"/>
  <c r="D9" i="17"/>
  <c r="D9" i="16"/>
  <c r="D11" i="15"/>
  <c r="D11" i="14"/>
  <c r="D9" i="45"/>
  <c r="D9" i="38"/>
  <c r="D11" i="42"/>
  <c r="D11" i="32"/>
  <c r="D11" i="13"/>
  <c r="D11" i="12"/>
  <c r="D13" i="46"/>
  <c r="D11" i="2"/>
  <c r="D13" i="39"/>
  <c r="D9" i="8"/>
  <c r="D11" i="7"/>
  <c r="D11" i="6"/>
  <c r="D10" i="5"/>
  <c r="D11" i="4"/>
  <c r="AC37" i="1"/>
  <c r="AC36" i="1"/>
  <c r="AC35" i="1"/>
  <c r="AC34" i="1"/>
  <c r="AC33" i="1"/>
  <c r="AC31" i="1"/>
  <c r="AC32" i="1"/>
  <c r="J22" i="1"/>
  <c r="D11" i="3"/>
  <c r="Q18" i="2"/>
  <c r="Q20" i="2" s="1"/>
  <c r="Q18" i="3"/>
  <c r="Q20" i="3" s="1"/>
  <c r="Q18" i="4"/>
  <c r="Q20" i="4" s="1"/>
  <c r="Q18" i="5"/>
  <c r="Q20" i="5" s="1"/>
  <c r="Q18" i="6"/>
  <c r="Q20" i="6" s="1"/>
  <c r="Q18" i="7"/>
  <c r="Q20" i="7" s="1"/>
  <c r="Q18" i="8"/>
  <c r="Q20" i="8" s="1"/>
  <c r="Q18" i="39"/>
  <c r="Q20" i="39" s="1"/>
  <c r="Q18" i="46"/>
  <c r="Q20" i="46" s="1"/>
  <c r="Q18" i="12"/>
  <c r="Q20" i="12" s="1"/>
  <c r="Q18" i="13"/>
  <c r="Q20" i="13" s="1"/>
  <c r="Q18" i="32"/>
  <c r="Q20" i="32" s="1"/>
  <c r="Q18" i="42"/>
  <c r="Q20" i="42" s="1"/>
  <c r="Q18" i="38"/>
  <c r="Q20" i="38" s="1"/>
  <c r="Q18" i="45"/>
  <c r="Q20" i="45" s="1"/>
  <c r="Q18" i="14"/>
  <c r="Q20" i="14" s="1"/>
  <c r="Q18" i="15"/>
  <c r="Q20" i="15" s="1"/>
  <c r="Q18" i="16"/>
  <c r="Q20" i="16" s="1"/>
  <c r="Q18" i="17"/>
  <c r="Q20" i="17" s="1"/>
  <c r="Q18" i="18"/>
  <c r="Q20" i="18" s="1"/>
  <c r="Q18" i="19"/>
  <c r="Q20" i="19" s="1"/>
  <c r="Q18" i="20"/>
  <c r="Q20" i="20" s="1"/>
  <c r="Q18" i="21"/>
  <c r="Q20" i="21" s="1"/>
  <c r="Q18" i="22"/>
  <c r="Q20" i="22" s="1"/>
  <c r="Q18" i="23"/>
  <c r="Q20" i="23" s="1"/>
  <c r="Q18" i="34"/>
  <c r="Q20" i="34" s="1"/>
  <c r="Q18" i="47"/>
  <c r="Q20" i="47" s="1"/>
  <c r="Q18" i="24"/>
  <c r="Q20" i="24" s="1"/>
  <c r="Q18" i="25"/>
  <c r="Q20" i="25" s="1"/>
  <c r="Q18" i="26"/>
  <c r="Q20" i="26" s="1"/>
  <c r="Q18" i="36"/>
  <c r="Q20" i="36" s="1"/>
  <c r="Q18" i="44"/>
  <c r="Q20" i="44" s="1"/>
  <c r="Q18" i="27"/>
  <c r="Q20" i="27" s="1"/>
  <c r="Q18" i="28"/>
  <c r="Q20" i="28" s="1"/>
  <c r="Q18" i="29"/>
  <c r="Q20" i="29" s="1"/>
  <c r="Q18" i="30"/>
  <c r="Q20" i="30" s="1"/>
  <c r="Q18" i="31"/>
  <c r="Q20" i="31" s="1"/>
  <c r="Q18" i="33"/>
  <c r="Q20" i="33" s="1"/>
  <c r="Q18" i="48"/>
  <c r="Q20" i="48" s="1"/>
  <c r="D1" i="48" s="1"/>
  <c r="G1" i="48" s="1"/>
  <c r="I6" i="34"/>
  <c r="J6" i="34"/>
  <c r="I7" i="34"/>
  <c r="J7" i="34"/>
  <c r="I8" i="34"/>
  <c r="J8" i="34"/>
  <c r="I9" i="34"/>
  <c r="J9" i="34"/>
  <c r="J5" i="34"/>
  <c r="I5" i="34"/>
  <c r="I6" i="46"/>
  <c r="J6" i="46"/>
  <c r="I7" i="46"/>
  <c r="J7" i="46"/>
  <c r="I8" i="46"/>
  <c r="J8" i="46"/>
  <c r="I9" i="46"/>
  <c r="J9" i="46"/>
  <c r="I10" i="46"/>
  <c r="J10" i="46"/>
  <c r="I11" i="46"/>
  <c r="J11" i="46"/>
  <c r="I12" i="46"/>
  <c r="J12" i="46"/>
  <c r="J5" i="46"/>
  <c r="I5" i="46"/>
  <c r="J6" i="39"/>
  <c r="J7" i="39"/>
  <c r="J8" i="39"/>
  <c r="J9" i="39"/>
  <c r="J10" i="39"/>
  <c r="J11" i="39"/>
  <c r="J12" i="39"/>
  <c r="J5" i="39"/>
  <c r="I6" i="39"/>
  <c r="I7" i="39"/>
  <c r="I8" i="39"/>
  <c r="I9" i="39"/>
  <c r="I10" i="39"/>
  <c r="I11" i="39"/>
  <c r="I12" i="39"/>
  <c r="I5" i="39"/>
  <c r="AC42" i="1"/>
  <c r="AC41" i="1"/>
  <c r="AC40" i="1"/>
  <c r="AC39" i="1"/>
  <c r="AC38" i="1"/>
  <c r="AC29" i="1"/>
  <c r="AC28" i="1"/>
  <c r="AC26" i="1"/>
  <c r="AC22" i="1"/>
  <c r="AC20" i="1"/>
  <c r="AC19" i="1"/>
  <c r="AC17" i="1"/>
  <c r="AC15" i="1"/>
  <c r="AC14" i="1"/>
  <c r="AC13" i="1"/>
  <c r="AC11" i="1"/>
  <c r="AC10" i="1"/>
  <c r="AC9" i="1"/>
  <c r="AC8" i="1"/>
  <c r="AC7" i="1"/>
  <c r="AC6" i="1"/>
  <c r="AC4" i="1"/>
  <c r="AC12" i="1"/>
  <c r="L45" i="1"/>
  <c r="K45" i="1"/>
  <c r="N45" i="1" s="1"/>
  <c r="J45" i="1"/>
  <c r="L22" i="1"/>
  <c r="O22" i="1" s="1"/>
  <c r="K22" i="1"/>
  <c r="N22" i="1" s="1"/>
  <c r="L23" i="1"/>
  <c r="O23" i="1" s="1"/>
  <c r="K23" i="1"/>
  <c r="N23" i="1" s="1"/>
  <c r="J23" i="1"/>
  <c r="L24" i="1"/>
  <c r="O24" i="1" s="1"/>
  <c r="K24" i="1"/>
  <c r="N24" i="1" s="1"/>
  <c r="J24" i="1"/>
  <c r="L49" i="1"/>
  <c r="O49" i="1" s="1"/>
  <c r="K49" i="1"/>
  <c r="N49" i="1" s="1"/>
  <c r="J49" i="1"/>
  <c r="L48" i="1"/>
  <c r="O48" i="1" s="1"/>
  <c r="K48" i="1"/>
  <c r="N48" i="1" s="1"/>
  <c r="J48" i="1"/>
  <c r="L47" i="1"/>
  <c r="O47" i="1" s="1"/>
  <c r="J47" i="1"/>
  <c r="G34" i="1"/>
  <c r="G10" i="1"/>
  <c r="G7" i="1"/>
  <c r="L46" i="1"/>
  <c r="O46" i="1" s="1"/>
  <c r="K46" i="1"/>
  <c r="N46" i="1" s="1"/>
  <c r="G9" i="1"/>
  <c r="G8" i="1"/>
  <c r="AC21" i="1"/>
  <c r="AC23" i="1"/>
  <c r="AC27" i="1"/>
  <c r="AC30" i="1"/>
  <c r="AC44" i="1"/>
  <c r="AC43" i="1"/>
  <c r="AC25" i="1"/>
  <c r="AC24" i="1"/>
  <c r="AC16" i="1"/>
  <c r="AC18" i="1"/>
  <c r="AC5" i="1"/>
  <c r="I9" i="48"/>
  <c r="I8" i="48"/>
  <c r="I7" i="48"/>
  <c r="J6" i="48"/>
  <c r="I6" i="48"/>
  <c r="I5" i="48"/>
  <c r="I9" i="47"/>
  <c r="I8" i="47"/>
  <c r="I7" i="47"/>
  <c r="J6" i="47"/>
  <c r="I6" i="47"/>
  <c r="I5" i="47"/>
  <c r="I8" i="45"/>
  <c r="I7" i="45"/>
  <c r="I6" i="45"/>
  <c r="I5" i="45"/>
  <c r="I9" i="44"/>
  <c r="J8" i="44"/>
  <c r="I8" i="44"/>
  <c r="I7" i="44"/>
  <c r="I6" i="44"/>
  <c r="I5" i="44"/>
  <c r="Q18" i="43"/>
  <c r="Q20" i="43" s="1"/>
  <c r="D1" i="43" s="1"/>
  <c r="G1" i="43" s="1"/>
  <c r="I11" i="43"/>
  <c r="I10" i="43"/>
  <c r="J9" i="43"/>
  <c r="I9" i="43"/>
  <c r="J8" i="43"/>
  <c r="I8" i="43"/>
  <c r="I7" i="43"/>
  <c r="I6" i="43"/>
  <c r="I5" i="43"/>
  <c r="J10" i="42"/>
  <c r="I10" i="42"/>
  <c r="J9" i="42"/>
  <c r="I9" i="42"/>
  <c r="I8" i="42"/>
  <c r="I7" i="42"/>
  <c r="I6" i="42"/>
  <c r="I5" i="42"/>
  <c r="I6" i="32"/>
  <c r="I7" i="32"/>
  <c r="I8" i="32"/>
  <c r="I9" i="32"/>
  <c r="J9" i="32"/>
  <c r="I10" i="32"/>
  <c r="J10" i="32"/>
  <c r="I6" i="35"/>
  <c r="I7" i="35"/>
  <c r="I8" i="35"/>
  <c r="J8" i="35"/>
  <c r="I9" i="35"/>
  <c r="J9" i="35"/>
  <c r="I10" i="35"/>
  <c r="I11" i="35"/>
  <c r="I6" i="33"/>
  <c r="J6" i="33"/>
  <c r="I7" i="33"/>
  <c r="I8" i="33"/>
  <c r="I9" i="33"/>
  <c r="I6" i="36"/>
  <c r="I7" i="36"/>
  <c r="I8" i="36"/>
  <c r="J8" i="36"/>
  <c r="I9" i="36"/>
  <c r="I6" i="38"/>
  <c r="I7" i="38"/>
  <c r="I8" i="38"/>
  <c r="I5" i="32"/>
  <c r="I5" i="35"/>
  <c r="I5" i="33"/>
  <c r="I5" i="36"/>
  <c r="I5" i="38"/>
  <c r="Q18" i="35"/>
  <c r="Q20" i="35" s="1"/>
  <c r="D1" i="35" s="1"/>
  <c r="I10" i="31"/>
  <c r="J9" i="31"/>
  <c r="I9" i="31"/>
  <c r="I8" i="31"/>
  <c r="I7" i="31"/>
  <c r="I6" i="31"/>
  <c r="J5" i="31"/>
  <c r="I5" i="31"/>
  <c r="J10" i="30"/>
  <c r="I10" i="30"/>
  <c r="I9" i="30"/>
  <c r="I8" i="30"/>
  <c r="J7" i="30"/>
  <c r="I7" i="30"/>
  <c r="I6" i="30"/>
  <c r="I5" i="30"/>
  <c r="J10" i="29"/>
  <c r="I10" i="29"/>
  <c r="I9" i="29"/>
  <c r="I8" i="29"/>
  <c r="J7" i="29"/>
  <c r="I7" i="29"/>
  <c r="I6" i="29"/>
  <c r="I5" i="29"/>
  <c r="I10" i="28"/>
  <c r="I9" i="28"/>
  <c r="J8" i="28"/>
  <c r="I8" i="28"/>
  <c r="I7" i="28"/>
  <c r="I6" i="28"/>
  <c r="I5" i="28"/>
  <c r="I6" i="27"/>
  <c r="I5" i="27"/>
  <c r="I8" i="26"/>
  <c r="I7" i="26"/>
  <c r="I6" i="26"/>
  <c r="I5" i="26"/>
  <c r="I10" i="25"/>
  <c r="J9" i="25"/>
  <c r="I9" i="25"/>
  <c r="I8" i="25"/>
  <c r="I7" i="25"/>
  <c r="I6" i="25"/>
  <c r="J5" i="25"/>
  <c r="I5" i="25"/>
  <c r="J10" i="24"/>
  <c r="I10" i="24"/>
  <c r="I9" i="24"/>
  <c r="I8" i="24"/>
  <c r="J7" i="24"/>
  <c r="I7" i="24"/>
  <c r="I6" i="24"/>
  <c r="I5" i="24"/>
  <c r="I8" i="23"/>
  <c r="I7" i="23"/>
  <c r="I6" i="23"/>
  <c r="I5" i="23"/>
  <c r="I8" i="22"/>
  <c r="I7" i="22"/>
  <c r="I6" i="22"/>
  <c r="I5" i="22"/>
  <c r="I10" i="21"/>
  <c r="J9" i="21"/>
  <c r="I9" i="21"/>
  <c r="I8" i="21"/>
  <c r="J7" i="21"/>
  <c r="I7" i="21"/>
  <c r="J6" i="21"/>
  <c r="I6" i="21"/>
  <c r="I5" i="21"/>
  <c r="I8" i="20"/>
  <c r="I7" i="20"/>
  <c r="J6" i="20"/>
  <c r="I6" i="20"/>
  <c r="I5" i="20"/>
  <c r="I10" i="19"/>
  <c r="J9" i="19"/>
  <c r="I9" i="19"/>
  <c r="I8" i="19"/>
  <c r="I7" i="19"/>
  <c r="I6" i="19"/>
  <c r="J5" i="19"/>
  <c r="I5" i="19"/>
  <c r="I7" i="18"/>
  <c r="I6" i="18"/>
  <c r="I5" i="18"/>
  <c r="I8" i="17"/>
  <c r="I7" i="17"/>
  <c r="I6" i="17"/>
  <c r="I5" i="17"/>
  <c r="I8" i="16"/>
  <c r="I7" i="16"/>
  <c r="I6" i="16"/>
  <c r="I5" i="16"/>
  <c r="J10" i="15"/>
  <c r="I10" i="15"/>
  <c r="I9" i="15"/>
  <c r="I8" i="15"/>
  <c r="J7" i="15"/>
  <c r="I7" i="15"/>
  <c r="I6" i="15"/>
  <c r="I5" i="15"/>
  <c r="I10" i="14"/>
  <c r="I9" i="14"/>
  <c r="J8" i="14"/>
  <c r="I8" i="14"/>
  <c r="I7" i="14"/>
  <c r="I6" i="14"/>
  <c r="I5" i="14"/>
  <c r="J10" i="13"/>
  <c r="I10" i="13"/>
  <c r="I9" i="13"/>
  <c r="I8" i="13"/>
  <c r="J7" i="13"/>
  <c r="I7" i="13"/>
  <c r="I6" i="13"/>
  <c r="I5" i="13"/>
  <c r="I10" i="12"/>
  <c r="J9" i="12"/>
  <c r="I9" i="12"/>
  <c r="I8" i="12"/>
  <c r="I7" i="12"/>
  <c r="I6" i="12"/>
  <c r="J5" i="12"/>
  <c r="I5" i="12"/>
  <c r="I8" i="8"/>
  <c r="I7" i="8"/>
  <c r="I6" i="8"/>
  <c r="I5" i="8"/>
  <c r="I10" i="7"/>
  <c r="I9" i="7"/>
  <c r="J8" i="7"/>
  <c r="I8" i="7"/>
  <c r="J7" i="7"/>
  <c r="I7" i="7"/>
  <c r="I6" i="7"/>
  <c r="I5" i="7"/>
  <c r="J10" i="6"/>
  <c r="I10" i="6"/>
  <c r="I9" i="6"/>
  <c r="I8" i="6"/>
  <c r="J7" i="6"/>
  <c r="I7" i="6"/>
  <c r="I6" i="6"/>
  <c r="I5" i="6"/>
  <c r="I9" i="5"/>
  <c r="I8" i="5"/>
  <c r="I7" i="5"/>
  <c r="I6" i="5"/>
  <c r="I5" i="5"/>
  <c r="J10" i="4"/>
  <c r="I10" i="4"/>
  <c r="J9" i="4"/>
  <c r="I9" i="4"/>
  <c r="I8" i="4"/>
  <c r="J7" i="4"/>
  <c r="I7" i="4"/>
  <c r="I6" i="4"/>
  <c r="J5" i="4"/>
  <c r="I5" i="4"/>
  <c r="J10" i="3"/>
  <c r="I10" i="3"/>
  <c r="J9" i="3"/>
  <c r="I9" i="3"/>
  <c r="I8" i="3"/>
  <c r="J7" i="3"/>
  <c r="I7" i="3"/>
  <c r="I6" i="3"/>
  <c r="I5" i="3"/>
  <c r="I10" i="2"/>
  <c r="I9" i="2"/>
  <c r="J8" i="2"/>
  <c r="I8" i="2"/>
  <c r="I7" i="2"/>
  <c r="J6" i="2"/>
  <c r="I6" i="2"/>
  <c r="I5" i="2"/>
  <c r="L44" i="1"/>
  <c r="O44" i="1" s="1"/>
  <c r="K44" i="1"/>
  <c r="N44" i="1" s="1"/>
  <c r="J44" i="1"/>
  <c r="L43" i="1"/>
  <c r="O43" i="1" s="1"/>
  <c r="K43" i="1"/>
  <c r="N43" i="1" s="1"/>
  <c r="J43" i="1"/>
  <c r="J6" i="27" s="1"/>
  <c r="L42" i="1"/>
  <c r="O42" i="1" s="1"/>
  <c r="K42" i="1"/>
  <c r="N42" i="1" s="1"/>
  <c r="J42" i="1"/>
  <c r="L41" i="1"/>
  <c r="O41" i="1" s="1"/>
  <c r="K41" i="1"/>
  <c r="N41" i="1" s="1"/>
  <c r="J41" i="1"/>
  <c r="L40" i="1"/>
  <c r="O40" i="1" s="1"/>
  <c r="K40" i="1"/>
  <c r="N40" i="1" s="1"/>
  <c r="J40" i="1"/>
  <c r="L39" i="1"/>
  <c r="O39" i="1" s="1"/>
  <c r="K39" i="1"/>
  <c r="N39" i="1" s="1"/>
  <c r="L38" i="1"/>
  <c r="O38" i="1" s="1"/>
  <c r="K38" i="1"/>
  <c r="N38" i="1" s="1"/>
  <c r="J38" i="1"/>
  <c r="J5" i="21" s="1"/>
  <c r="L36" i="1"/>
  <c r="O36" i="1" s="1"/>
  <c r="K36" i="1"/>
  <c r="N36" i="1" s="1"/>
  <c r="J36" i="1"/>
  <c r="L32" i="1"/>
  <c r="O32" i="1" s="1"/>
  <c r="K32" i="1"/>
  <c r="N32" i="1" s="1"/>
  <c r="J32" i="1"/>
  <c r="L31" i="1"/>
  <c r="O31" i="1" s="1"/>
  <c r="K31" i="1"/>
  <c r="N31" i="1" s="1"/>
  <c r="J31" i="1"/>
  <c r="J7" i="18" s="1"/>
  <c r="L30" i="1"/>
  <c r="O30" i="1" s="1"/>
  <c r="K30" i="1"/>
  <c r="N30" i="1" s="1"/>
  <c r="J30" i="1"/>
  <c r="J6" i="18" s="1"/>
  <c r="L28" i="1"/>
  <c r="O28" i="1" s="1"/>
  <c r="K28" i="1"/>
  <c r="N28" i="1" s="1"/>
  <c r="J28" i="1"/>
  <c r="J8" i="6" s="1"/>
  <c r="L26" i="1"/>
  <c r="O26" i="1" s="1"/>
  <c r="K26" i="1"/>
  <c r="N26" i="1" s="1"/>
  <c r="J26" i="1"/>
  <c r="J8" i="20" s="1"/>
  <c r="L25" i="1"/>
  <c r="O25" i="1" s="1"/>
  <c r="K25" i="1"/>
  <c r="N25" i="1" s="1"/>
  <c r="J25" i="1"/>
  <c r="J9" i="6" s="1"/>
  <c r="L21" i="1"/>
  <c r="O21" i="1" s="1"/>
  <c r="K21" i="1"/>
  <c r="N21" i="1" s="1"/>
  <c r="J21" i="1"/>
  <c r="J8" i="5" s="1"/>
  <c r="L20" i="1"/>
  <c r="O20" i="1" s="1"/>
  <c r="K20" i="1"/>
  <c r="N20" i="1" s="1"/>
  <c r="J20" i="1"/>
  <c r="L19" i="1"/>
  <c r="O19" i="1" s="1"/>
  <c r="K19" i="1"/>
  <c r="N19" i="1" s="1"/>
  <c r="J19" i="1"/>
  <c r="J9" i="7" s="1"/>
  <c r="L18" i="1"/>
  <c r="O18" i="1" s="1"/>
  <c r="K18" i="1"/>
  <c r="N18" i="1" s="1"/>
  <c r="J18" i="1"/>
  <c r="J5" i="27" s="1"/>
  <c r="L16" i="1"/>
  <c r="O16" i="1" s="1"/>
  <c r="K16" i="1"/>
  <c r="N16" i="1" s="1"/>
  <c r="G14" i="1"/>
  <c r="G13" i="1"/>
  <c r="L12" i="1"/>
  <c r="O12" i="1" s="1"/>
  <c r="K12" i="1"/>
  <c r="N12" i="1" s="1"/>
  <c r="J12" i="1"/>
  <c r="G11" i="1"/>
  <c r="G6" i="1"/>
  <c r="L5" i="1"/>
  <c r="O5" i="1" s="1"/>
  <c r="K5" i="1"/>
  <c r="N5" i="1" s="1"/>
  <c r="J5" i="1"/>
  <c r="L3" i="1"/>
  <c r="O3" i="1" s="1"/>
  <c r="K3" i="1"/>
  <c r="N3" i="1" s="1"/>
  <c r="J3" i="1"/>
  <c r="G1" i="35" l="1"/>
  <c r="D1" i="47"/>
  <c r="G1" i="47" s="1"/>
  <c r="J5" i="2"/>
  <c r="J5" i="14"/>
  <c r="J5" i="7"/>
  <c r="J5" i="28"/>
  <c r="J9" i="5"/>
  <c r="J7" i="33"/>
  <c r="J8" i="38"/>
  <c r="J7" i="12"/>
  <c r="J6" i="14"/>
  <c r="J6" i="7"/>
  <c r="J6" i="28"/>
  <c r="J7" i="19"/>
  <c r="J7" i="31"/>
  <c r="J8" i="21"/>
  <c r="J7" i="25"/>
  <c r="J9" i="2"/>
  <c r="J9" i="14"/>
  <c r="J9" i="28"/>
  <c r="J10" i="2"/>
  <c r="J10" i="28"/>
  <c r="J7" i="5"/>
  <c r="J10" i="14"/>
  <c r="J10" i="7"/>
  <c r="J6" i="3"/>
  <c r="J6" i="6"/>
  <c r="K34" i="1"/>
  <c r="N34" i="1" s="1"/>
  <c r="J34" i="1"/>
  <c r="L34" i="1"/>
  <c r="O34" i="1" s="1"/>
  <c r="L10" i="1"/>
  <c r="O10" i="1" s="1"/>
  <c r="K10" i="1"/>
  <c r="N10" i="1" s="1"/>
  <c r="J10" i="1"/>
  <c r="K7" i="1"/>
  <c r="N7" i="1" s="1"/>
  <c r="J7" i="1"/>
  <c r="L7" i="1"/>
  <c r="O7" i="1" s="1"/>
  <c r="L9" i="1"/>
  <c r="O9" i="1" s="1"/>
  <c r="K9" i="1"/>
  <c r="N9" i="1" s="1"/>
  <c r="J9" i="1"/>
  <c r="K8" i="1"/>
  <c r="N8" i="1" s="1"/>
  <c r="L8" i="1"/>
  <c r="O8" i="1" s="1"/>
  <c r="J8" i="1"/>
  <c r="J8" i="45"/>
  <c r="J8" i="15"/>
  <c r="J8" i="3"/>
  <c r="J8" i="13"/>
  <c r="J8" i="24"/>
  <c r="J10" i="19"/>
  <c r="J10" i="25"/>
  <c r="J7" i="28"/>
  <c r="J7" i="14"/>
  <c r="J7" i="20"/>
  <c r="J9" i="33"/>
  <c r="J10" i="21"/>
  <c r="J10" i="12"/>
  <c r="J11" i="35"/>
  <c r="J9" i="30"/>
  <c r="J9" i="29"/>
  <c r="J9" i="13"/>
  <c r="J7" i="2"/>
  <c r="J11" i="43"/>
  <c r="D1" i="44"/>
  <c r="G1" i="44" s="1"/>
  <c r="E7" i="44" s="1"/>
  <c r="G7" i="44" s="1"/>
  <c r="H7" i="44" s="1"/>
  <c r="K7" i="44" s="1"/>
  <c r="E9" i="48"/>
  <c r="G9" i="48" s="1"/>
  <c r="H9" i="48" s="1"/>
  <c r="K9" i="48" s="1"/>
  <c r="D1" i="46"/>
  <c r="G1" i="46" s="1"/>
  <c r="E12" i="46" s="1"/>
  <c r="G12" i="46" s="1"/>
  <c r="H12" i="46" s="1"/>
  <c r="K12" i="46" s="1"/>
  <c r="D1" i="30"/>
  <c r="G1" i="30" s="1"/>
  <c r="J7" i="48"/>
  <c r="J7" i="47"/>
  <c r="J8" i="30"/>
  <c r="J8" i="29"/>
  <c r="D1" i="45"/>
  <c r="G1" i="45" s="1"/>
  <c r="J5" i="6"/>
  <c r="J5" i="3"/>
  <c r="J9" i="48"/>
  <c r="J10" i="31"/>
  <c r="J9" i="24"/>
  <c r="J9" i="15"/>
  <c r="J9" i="47"/>
  <c r="D1" i="42"/>
  <c r="G1" i="42" s="1"/>
  <c r="D1" i="39"/>
  <c r="G1" i="39" s="1"/>
  <c r="D1" i="38"/>
  <c r="G1" i="38" s="1"/>
  <c r="D1" i="36"/>
  <c r="G1" i="36" s="1"/>
  <c r="D1" i="34"/>
  <c r="G1" i="34" s="1"/>
  <c r="D1" i="33"/>
  <c r="G1" i="33" s="1"/>
  <c r="D1" i="32"/>
  <c r="G1" i="32" s="1"/>
  <c r="D1" i="31"/>
  <c r="G1" i="31" s="1"/>
  <c r="D1" i="29"/>
  <c r="G1" i="29" s="1"/>
  <c r="D1" i="28"/>
  <c r="G1" i="28" s="1"/>
  <c r="D1" i="27"/>
  <c r="G1" i="27" s="1"/>
  <c r="D1" i="26"/>
  <c r="F1" i="26"/>
  <c r="D1" i="25"/>
  <c r="G1" i="25" s="1"/>
  <c r="D1" i="24"/>
  <c r="G1" i="24" s="1"/>
  <c r="D1" i="23"/>
  <c r="F1" i="23"/>
  <c r="D1" i="22"/>
  <c r="F1" i="22"/>
  <c r="D1" i="21"/>
  <c r="G1" i="21" s="1"/>
  <c r="D1" i="20"/>
  <c r="G1" i="20" s="1"/>
  <c r="D1" i="19"/>
  <c r="G1" i="19" s="1"/>
  <c r="D1" i="18"/>
  <c r="G1" i="18" s="1"/>
  <c r="D1" i="17"/>
  <c r="F1" i="17"/>
  <c r="D1" i="16"/>
  <c r="F1" i="16"/>
  <c r="D1" i="15"/>
  <c r="G1" i="15" s="1"/>
  <c r="D1" i="14"/>
  <c r="G1" i="14" s="1"/>
  <c r="D1" i="13"/>
  <c r="G1" i="13" s="1"/>
  <c r="D1" i="12"/>
  <c r="G1" i="12" s="1"/>
  <c r="E5" i="12" s="1"/>
  <c r="D1" i="8"/>
  <c r="F1" i="8"/>
  <c r="D1" i="7"/>
  <c r="G1" i="7" s="1"/>
  <c r="D1" i="6"/>
  <c r="G1" i="6" s="1"/>
  <c r="D1" i="5"/>
  <c r="G1" i="5" s="1"/>
  <c r="D1" i="4"/>
  <c r="G1" i="4" s="1"/>
  <c r="D1" i="3"/>
  <c r="G1" i="3" s="1"/>
  <c r="D1" i="2"/>
  <c r="G1" i="2" s="1"/>
  <c r="J5" i="30"/>
  <c r="J5" i="29"/>
  <c r="J5" i="13"/>
  <c r="J5" i="15"/>
  <c r="J5" i="24"/>
  <c r="J6" i="30"/>
  <c r="J6" i="29"/>
  <c r="J6" i="13"/>
  <c r="J6" i="15"/>
  <c r="J6" i="24"/>
  <c r="J6" i="25"/>
  <c r="J6" i="4"/>
  <c r="J6" i="12"/>
  <c r="J6" i="19"/>
  <c r="J6" i="31"/>
  <c r="J5" i="20"/>
  <c r="J8" i="12"/>
  <c r="J8" i="19"/>
  <c r="J8" i="25"/>
  <c r="J8" i="31"/>
  <c r="J8" i="4"/>
  <c r="J5" i="18"/>
  <c r="K14" i="1"/>
  <c r="N14" i="1" s="1"/>
  <c r="L14" i="1"/>
  <c r="O14" i="1" s="1"/>
  <c r="J14" i="1"/>
  <c r="L13" i="1"/>
  <c r="O13" i="1" s="1"/>
  <c r="K13" i="1"/>
  <c r="N13" i="1" s="1"/>
  <c r="J13" i="1"/>
  <c r="K11" i="1"/>
  <c r="N11" i="1" s="1"/>
  <c r="L11" i="1"/>
  <c r="O11" i="1" s="1"/>
  <c r="J11" i="1"/>
  <c r="J6" i="1"/>
  <c r="K6" i="1"/>
  <c r="N6" i="1" s="1"/>
  <c r="L6" i="1"/>
  <c r="O6" i="1" s="1"/>
  <c r="E10" i="30" l="1"/>
  <c r="G10" i="30" s="1"/>
  <c r="H10" i="30" s="1"/>
  <c r="K10" i="30" s="1"/>
  <c r="L10" i="30" s="1"/>
  <c r="E9" i="30"/>
  <c r="G9" i="30" s="1"/>
  <c r="H9" i="30" s="1"/>
  <c r="K9" i="30" s="1"/>
  <c r="L9" i="30" s="1"/>
  <c r="E6" i="16"/>
  <c r="G6" i="16" s="1"/>
  <c r="H6" i="16" s="1"/>
  <c r="K6" i="16" s="1"/>
  <c r="E7" i="16"/>
  <c r="G7" i="16" s="1"/>
  <c r="H7" i="16" s="1"/>
  <c r="K7" i="16" s="1"/>
  <c r="E8" i="16"/>
  <c r="G8" i="16" s="1"/>
  <c r="H8" i="16" s="1"/>
  <c r="K8" i="16" s="1"/>
  <c r="E5" i="16"/>
  <c r="G5" i="16" s="1"/>
  <c r="H5" i="16" s="1"/>
  <c r="E8" i="30"/>
  <c r="G8" i="30" s="1"/>
  <c r="H8" i="30" s="1"/>
  <c r="K8" i="30" s="1"/>
  <c r="L8" i="30" s="1"/>
  <c r="E5" i="30"/>
  <c r="G5" i="30" s="1"/>
  <c r="H5" i="30" s="1"/>
  <c r="E6" i="22"/>
  <c r="G6" i="22" s="1"/>
  <c r="H6" i="22" s="1"/>
  <c r="K6" i="22" s="1"/>
  <c r="E7" i="22"/>
  <c r="G7" i="22" s="1"/>
  <c r="H7" i="22" s="1"/>
  <c r="K7" i="22" s="1"/>
  <c r="E8" i="22"/>
  <c r="G8" i="22" s="1"/>
  <c r="H8" i="22" s="1"/>
  <c r="K8" i="22" s="1"/>
  <c r="E5" i="22"/>
  <c r="G5" i="22" s="1"/>
  <c r="H5" i="22" s="1"/>
  <c r="E6" i="46"/>
  <c r="G6" i="46" s="1"/>
  <c r="H6" i="46" s="1"/>
  <c r="K6" i="46" s="1"/>
  <c r="L6" i="46" s="1"/>
  <c r="E8" i="46"/>
  <c r="G8" i="46" s="1"/>
  <c r="H8" i="46" s="1"/>
  <c r="K8" i="46" s="1"/>
  <c r="L8" i="46" s="1"/>
  <c r="E10" i="46"/>
  <c r="G10" i="46" s="1"/>
  <c r="H10" i="46" s="1"/>
  <c r="K10" i="46" s="1"/>
  <c r="L10" i="46" s="1"/>
  <c r="E5" i="47"/>
  <c r="G5" i="47" s="1"/>
  <c r="H5" i="47" s="1"/>
  <c r="E6" i="47"/>
  <c r="G6" i="47" s="1"/>
  <c r="H6" i="47" s="1"/>
  <c r="K6" i="47" s="1"/>
  <c r="L6" i="47" s="1"/>
  <c r="E7" i="47"/>
  <c r="G7" i="47" s="1"/>
  <c r="H7" i="47" s="1"/>
  <c r="K7" i="47" s="1"/>
  <c r="L7" i="47" s="1"/>
  <c r="E9" i="47"/>
  <c r="G9" i="47" s="1"/>
  <c r="H9" i="47" s="1"/>
  <c r="K9" i="47" s="1"/>
  <c r="L9" i="47" s="1"/>
  <c r="E8" i="47"/>
  <c r="G8" i="47" s="1"/>
  <c r="H8" i="47" s="1"/>
  <c r="K8" i="47" s="1"/>
  <c r="E6" i="30"/>
  <c r="G6" i="30" s="1"/>
  <c r="H6" i="30" s="1"/>
  <c r="K6" i="30" s="1"/>
  <c r="L6" i="30" s="1"/>
  <c r="E9" i="44"/>
  <c r="G9" i="44" s="1"/>
  <c r="H9" i="44" s="1"/>
  <c r="K9" i="44" s="1"/>
  <c r="E7" i="30"/>
  <c r="G7" i="30" s="1"/>
  <c r="H7" i="30" s="1"/>
  <c r="K7" i="30" s="1"/>
  <c r="L7" i="30" s="1"/>
  <c r="E8" i="44"/>
  <c r="G8" i="44" s="1"/>
  <c r="H8" i="44" s="1"/>
  <c r="K8" i="44" s="1"/>
  <c r="L8" i="44" s="1"/>
  <c r="J9" i="44"/>
  <c r="J9" i="36"/>
  <c r="E6" i="48"/>
  <c r="G6" i="48" s="1"/>
  <c r="H6" i="48" s="1"/>
  <c r="K6" i="48" s="1"/>
  <c r="L6" i="48" s="1"/>
  <c r="E7" i="48"/>
  <c r="G7" i="48" s="1"/>
  <c r="H7" i="48" s="1"/>
  <c r="K7" i="48" s="1"/>
  <c r="L7" i="48" s="1"/>
  <c r="E5" i="44"/>
  <c r="G5" i="44" s="1"/>
  <c r="H5" i="44" s="1"/>
  <c r="E6" i="44"/>
  <c r="G6" i="44" s="1"/>
  <c r="H6" i="44" s="1"/>
  <c r="K6" i="44" s="1"/>
  <c r="E8" i="45"/>
  <c r="G8" i="45" s="1"/>
  <c r="H8" i="45" s="1"/>
  <c r="K8" i="45" s="1"/>
  <c r="L8" i="45" s="1"/>
  <c r="E5" i="45"/>
  <c r="G5" i="45" s="1"/>
  <c r="H5" i="45" s="1"/>
  <c r="E6" i="45"/>
  <c r="G6" i="45" s="1"/>
  <c r="H6" i="45" s="1"/>
  <c r="K6" i="45" s="1"/>
  <c r="E7" i="45"/>
  <c r="G7" i="45" s="1"/>
  <c r="H7" i="45" s="1"/>
  <c r="K7" i="45" s="1"/>
  <c r="E7" i="46"/>
  <c r="G7" i="46" s="1"/>
  <c r="H7" i="46" s="1"/>
  <c r="K7" i="46" s="1"/>
  <c r="L7" i="46" s="1"/>
  <c r="E5" i="46"/>
  <c r="G5" i="46" s="1"/>
  <c r="H5" i="46" s="1"/>
  <c r="E9" i="46"/>
  <c r="G9" i="46" s="1"/>
  <c r="H9" i="46" s="1"/>
  <c r="K9" i="46" s="1"/>
  <c r="L9" i="46" s="1"/>
  <c r="E11" i="46"/>
  <c r="G11" i="46" s="1"/>
  <c r="H11" i="46" s="1"/>
  <c r="K11" i="46" s="1"/>
  <c r="L11" i="46" s="1"/>
  <c r="E8" i="48"/>
  <c r="G8" i="48" s="1"/>
  <c r="H8" i="48" s="1"/>
  <c r="K8" i="48" s="1"/>
  <c r="E5" i="48"/>
  <c r="G5" i="48" s="1"/>
  <c r="H5" i="48" s="1"/>
  <c r="L9" i="48"/>
  <c r="L12" i="46"/>
  <c r="J7" i="38"/>
  <c r="J7" i="44"/>
  <c r="L7" i="44" s="1"/>
  <c r="J7" i="36"/>
  <c r="J7" i="35"/>
  <c r="J7" i="43"/>
  <c r="J7" i="45"/>
  <c r="J8" i="32"/>
  <c r="J8" i="42"/>
  <c r="J10" i="43"/>
  <c r="J10" i="35"/>
  <c r="J6" i="35"/>
  <c r="J6" i="44"/>
  <c r="J6" i="36"/>
  <c r="J6" i="43"/>
  <c r="J6" i="42"/>
  <c r="J6" i="32"/>
  <c r="J6" i="38"/>
  <c r="J8" i="33"/>
  <c r="J8" i="47"/>
  <c r="J8" i="48"/>
  <c r="J6" i="45"/>
  <c r="J7" i="32"/>
  <c r="J7" i="42"/>
  <c r="J5" i="43"/>
  <c r="J5" i="33"/>
  <c r="J5" i="47"/>
  <c r="J5" i="38"/>
  <c r="J5" i="44"/>
  <c r="J5" i="32"/>
  <c r="J5" i="35"/>
  <c r="J5" i="42"/>
  <c r="J5" i="48"/>
  <c r="J5" i="45"/>
  <c r="J5" i="36"/>
  <c r="E5" i="43"/>
  <c r="G5" i="43" s="1"/>
  <c r="H5" i="43" s="1"/>
  <c r="E6" i="43"/>
  <c r="G6" i="43" s="1"/>
  <c r="H6" i="43" s="1"/>
  <c r="K6" i="43" s="1"/>
  <c r="E8" i="43"/>
  <c r="G8" i="43" s="1"/>
  <c r="H8" i="43" s="1"/>
  <c r="K8" i="43" s="1"/>
  <c r="L8" i="43" s="1"/>
  <c r="E9" i="43"/>
  <c r="G9" i="43" s="1"/>
  <c r="H9" i="43" s="1"/>
  <c r="K9" i="43" s="1"/>
  <c r="L9" i="43" s="1"/>
  <c r="E7" i="43"/>
  <c r="G7" i="43" s="1"/>
  <c r="H7" i="43" s="1"/>
  <c r="K7" i="43" s="1"/>
  <c r="E10" i="43"/>
  <c r="G10" i="43" s="1"/>
  <c r="H10" i="43" s="1"/>
  <c r="K10" i="43" s="1"/>
  <c r="E11" i="43"/>
  <c r="G11" i="43" s="1"/>
  <c r="H11" i="43" s="1"/>
  <c r="K11" i="43" s="1"/>
  <c r="L11" i="43" s="1"/>
  <c r="E5" i="42"/>
  <c r="G5" i="42" s="1"/>
  <c r="H5" i="42" s="1"/>
  <c r="E6" i="42"/>
  <c r="G6" i="42" s="1"/>
  <c r="H6" i="42" s="1"/>
  <c r="K6" i="42" s="1"/>
  <c r="E7" i="42"/>
  <c r="G7" i="42" s="1"/>
  <c r="H7" i="42" s="1"/>
  <c r="K7" i="42" s="1"/>
  <c r="E9" i="42"/>
  <c r="G9" i="42" s="1"/>
  <c r="H9" i="42" s="1"/>
  <c r="K9" i="42" s="1"/>
  <c r="L9" i="42" s="1"/>
  <c r="E10" i="42"/>
  <c r="G10" i="42" s="1"/>
  <c r="H10" i="42" s="1"/>
  <c r="K10" i="42" s="1"/>
  <c r="L10" i="42" s="1"/>
  <c r="E8" i="42"/>
  <c r="G8" i="42" s="1"/>
  <c r="H8" i="42" s="1"/>
  <c r="K8" i="42" s="1"/>
  <c r="E5" i="39"/>
  <c r="G5" i="39" s="1"/>
  <c r="H5" i="39" s="1"/>
  <c r="E11" i="39"/>
  <c r="G11" i="39" s="1"/>
  <c r="H11" i="39" s="1"/>
  <c r="K11" i="39" s="1"/>
  <c r="L11" i="39" s="1"/>
  <c r="E12" i="39"/>
  <c r="G12" i="39" s="1"/>
  <c r="H12" i="39" s="1"/>
  <c r="K12" i="39" s="1"/>
  <c r="L12" i="39" s="1"/>
  <c r="E9" i="39"/>
  <c r="G9" i="39" s="1"/>
  <c r="H9" i="39" s="1"/>
  <c r="K9" i="39" s="1"/>
  <c r="L9" i="39" s="1"/>
  <c r="E6" i="39"/>
  <c r="G6" i="39" s="1"/>
  <c r="H6" i="39" s="1"/>
  <c r="K6" i="39" s="1"/>
  <c r="E10" i="39"/>
  <c r="G10" i="39" s="1"/>
  <c r="H10" i="39" s="1"/>
  <c r="K10" i="39" s="1"/>
  <c r="L10" i="39" s="1"/>
  <c r="E7" i="39"/>
  <c r="G7" i="39" s="1"/>
  <c r="H7" i="39" s="1"/>
  <c r="K7" i="39" s="1"/>
  <c r="L7" i="39" s="1"/>
  <c r="E8" i="39"/>
  <c r="G8" i="39" s="1"/>
  <c r="H8" i="39" s="1"/>
  <c r="K8" i="39" s="1"/>
  <c r="L8" i="39" s="1"/>
  <c r="E5" i="38"/>
  <c r="G5" i="38" s="1"/>
  <c r="H5" i="38" s="1"/>
  <c r="E8" i="38"/>
  <c r="G8" i="38" s="1"/>
  <c r="H8" i="38" s="1"/>
  <c r="K8" i="38" s="1"/>
  <c r="L8" i="38" s="1"/>
  <c r="E6" i="38"/>
  <c r="G6" i="38" s="1"/>
  <c r="H6" i="38" s="1"/>
  <c r="K6" i="38" s="1"/>
  <c r="E7" i="38"/>
  <c r="G7" i="38" s="1"/>
  <c r="H7" i="38" s="1"/>
  <c r="K7" i="38" s="1"/>
  <c r="E5" i="36"/>
  <c r="G5" i="36" s="1"/>
  <c r="H5" i="36" s="1"/>
  <c r="E6" i="36"/>
  <c r="G6" i="36" s="1"/>
  <c r="H6" i="36" s="1"/>
  <c r="K6" i="36" s="1"/>
  <c r="E9" i="36"/>
  <c r="G9" i="36" s="1"/>
  <c r="H9" i="36" s="1"/>
  <c r="K9" i="36" s="1"/>
  <c r="E8" i="36"/>
  <c r="G8" i="36" s="1"/>
  <c r="H8" i="36" s="1"/>
  <c r="K8" i="36" s="1"/>
  <c r="L8" i="36" s="1"/>
  <c r="E7" i="36"/>
  <c r="G7" i="36" s="1"/>
  <c r="H7" i="36" s="1"/>
  <c r="K7" i="36" s="1"/>
  <c r="E5" i="35"/>
  <c r="G5" i="35" s="1"/>
  <c r="H5" i="35" s="1"/>
  <c r="E8" i="35"/>
  <c r="G8" i="35" s="1"/>
  <c r="H8" i="35" s="1"/>
  <c r="K8" i="35" s="1"/>
  <c r="L8" i="35" s="1"/>
  <c r="E6" i="35"/>
  <c r="G6" i="35" s="1"/>
  <c r="H6" i="35" s="1"/>
  <c r="K6" i="35" s="1"/>
  <c r="E11" i="35"/>
  <c r="G11" i="35" s="1"/>
  <c r="H11" i="35" s="1"/>
  <c r="K11" i="35" s="1"/>
  <c r="L11" i="35" s="1"/>
  <c r="E9" i="35"/>
  <c r="G9" i="35" s="1"/>
  <c r="H9" i="35" s="1"/>
  <c r="K9" i="35" s="1"/>
  <c r="L9" i="35" s="1"/>
  <c r="E7" i="35"/>
  <c r="G7" i="35" s="1"/>
  <c r="H7" i="35" s="1"/>
  <c r="K7" i="35" s="1"/>
  <c r="E10" i="35"/>
  <c r="G10" i="35" s="1"/>
  <c r="H10" i="35" s="1"/>
  <c r="K10" i="35" s="1"/>
  <c r="E5" i="34"/>
  <c r="G5" i="34" s="1"/>
  <c r="H5" i="34" s="1"/>
  <c r="E6" i="34"/>
  <c r="G6" i="34" s="1"/>
  <c r="H6" i="34" s="1"/>
  <c r="K6" i="34" s="1"/>
  <c r="L6" i="34" s="1"/>
  <c r="E9" i="34"/>
  <c r="G9" i="34" s="1"/>
  <c r="H9" i="34" s="1"/>
  <c r="K9" i="34" s="1"/>
  <c r="L9" i="34" s="1"/>
  <c r="E7" i="34"/>
  <c r="G7" i="34" s="1"/>
  <c r="H7" i="34" s="1"/>
  <c r="K7" i="34" s="1"/>
  <c r="E8" i="34"/>
  <c r="G8" i="34" s="1"/>
  <c r="H8" i="34" s="1"/>
  <c r="K8" i="34" s="1"/>
  <c r="E6" i="33"/>
  <c r="G6" i="33" s="1"/>
  <c r="H6" i="33" s="1"/>
  <c r="K6" i="33" s="1"/>
  <c r="L6" i="33" s="1"/>
  <c r="E9" i="33"/>
  <c r="G9" i="33" s="1"/>
  <c r="H9" i="33" s="1"/>
  <c r="K9" i="33" s="1"/>
  <c r="L9" i="33" s="1"/>
  <c r="E7" i="33"/>
  <c r="G7" i="33" s="1"/>
  <c r="H7" i="33" s="1"/>
  <c r="K7" i="33" s="1"/>
  <c r="L7" i="33" s="1"/>
  <c r="E8" i="33"/>
  <c r="G8" i="33" s="1"/>
  <c r="H8" i="33" s="1"/>
  <c r="K8" i="33" s="1"/>
  <c r="E5" i="33"/>
  <c r="G5" i="33" s="1"/>
  <c r="H5" i="33" s="1"/>
  <c r="E5" i="32"/>
  <c r="G5" i="32" s="1"/>
  <c r="H5" i="32" s="1"/>
  <c r="E6" i="32"/>
  <c r="G6" i="32" s="1"/>
  <c r="H6" i="32" s="1"/>
  <c r="K6" i="32" s="1"/>
  <c r="E7" i="32"/>
  <c r="G7" i="32" s="1"/>
  <c r="H7" i="32" s="1"/>
  <c r="K7" i="32" s="1"/>
  <c r="E8" i="32"/>
  <c r="G8" i="32" s="1"/>
  <c r="H8" i="32" s="1"/>
  <c r="K8" i="32" s="1"/>
  <c r="E9" i="32"/>
  <c r="G9" i="32" s="1"/>
  <c r="H9" i="32" s="1"/>
  <c r="K9" i="32" s="1"/>
  <c r="L9" i="32" s="1"/>
  <c r="E10" i="32"/>
  <c r="G10" i="32" s="1"/>
  <c r="H10" i="32" s="1"/>
  <c r="K10" i="32" s="1"/>
  <c r="L10" i="32" s="1"/>
  <c r="E5" i="31"/>
  <c r="G5" i="31" s="1"/>
  <c r="H5" i="31" s="1"/>
  <c r="E8" i="31"/>
  <c r="G8" i="31" s="1"/>
  <c r="H8" i="31" s="1"/>
  <c r="K8" i="31" s="1"/>
  <c r="L8" i="31" s="1"/>
  <c r="E9" i="31"/>
  <c r="G9" i="31" s="1"/>
  <c r="H9" i="31" s="1"/>
  <c r="K9" i="31" s="1"/>
  <c r="L9" i="31" s="1"/>
  <c r="E10" i="31"/>
  <c r="G10" i="31" s="1"/>
  <c r="H10" i="31" s="1"/>
  <c r="K10" i="31" s="1"/>
  <c r="L10" i="31" s="1"/>
  <c r="E6" i="31"/>
  <c r="G6" i="31" s="1"/>
  <c r="H6" i="31" s="1"/>
  <c r="K6" i="31" s="1"/>
  <c r="L6" i="31" s="1"/>
  <c r="E7" i="31"/>
  <c r="G7" i="31" s="1"/>
  <c r="H7" i="31" s="1"/>
  <c r="K7" i="31" s="1"/>
  <c r="L7" i="31" s="1"/>
  <c r="E5" i="29"/>
  <c r="G5" i="29" s="1"/>
  <c r="H5" i="29" s="1"/>
  <c r="E6" i="29"/>
  <c r="G6" i="29" s="1"/>
  <c r="H6" i="29" s="1"/>
  <c r="K6" i="29" s="1"/>
  <c r="L6" i="29" s="1"/>
  <c r="E8" i="29"/>
  <c r="G8" i="29" s="1"/>
  <c r="H8" i="29" s="1"/>
  <c r="K8" i="29" s="1"/>
  <c r="L8" i="29" s="1"/>
  <c r="E9" i="29"/>
  <c r="G9" i="29" s="1"/>
  <c r="H9" i="29" s="1"/>
  <c r="K9" i="29" s="1"/>
  <c r="L9" i="29" s="1"/>
  <c r="E10" i="29"/>
  <c r="G10" i="29" s="1"/>
  <c r="H10" i="29" s="1"/>
  <c r="K10" i="29" s="1"/>
  <c r="L10" i="29" s="1"/>
  <c r="E7" i="29"/>
  <c r="G7" i="29" s="1"/>
  <c r="H7" i="29" s="1"/>
  <c r="K7" i="29" s="1"/>
  <c r="L7" i="29" s="1"/>
  <c r="E5" i="28"/>
  <c r="G5" i="28" s="1"/>
  <c r="H5" i="28" s="1"/>
  <c r="E6" i="28"/>
  <c r="G6" i="28" s="1"/>
  <c r="H6" i="28" s="1"/>
  <c r="K6" i="28" s="1"/>
  <c r="L6" i="28" s="1"/>
  <c r="E7" i="28"/>
  <c r="G7" i="28" s="1"/>
  <c r="H7" i="28" s="1"/>
  <c r="K7" i="28" s="1"/>
  <c r="L7" i="28" s="1"/>
  <c r="E9" i="28"/>
  <c r="G9" i="28" s="1"/>
  <c r="H9" i="28" s="1"/>
  <c r="K9" i="28" s="1"/>
  <c r="L9" i="28" s="1"/>
  <c r="E10" i="28"/>
  <c r="G10" i="28" s="1"/>
  <c r="H10" i="28" s="1"/>
  <c r="K10" i="28" s="1"/>
  <c r="L10" i="28" s="1"/>
  <c r="E8" i="28"/>
  <c r="G8" i="28" s="1"/>
  <c r="H8" i="28" s="1"/>
  <c r="K8" i="28" s="1"/>
  <c r="L8" i="28" s="1"/>
  <c r="E5" i="27"/>
  <c r="G5" i="27" s="1"/>
  <c r="H5" i="27" s="1"/>
  <c r="E6" i="27"/>
  <c r="G6" i="27" s="1"/>
  <c r="H6" i="27" s="1"/>
  <c r="K6" i="27" s="1"/>
  <c r="L6" i="27" s="1"/>
  <c r="E5" i="26"/>
  <c r="G5" i="26" s="1"/>
  <c r="H5" i="26" s="1"/>
  <c r="E6" i="26"/>
  <c r="G6" i="26" s="1"/>
  <c r="H6" i="26" s="1"/>
  <c r="K6" i="26" s="1"/>
  <c r="E7" i="26"/>
  <c r="G7" i="26" s="1"/>
  <c r="H7" i="26" s="1"/>
  <c r="K7" i="26" s="1"/>
  <c r="E8" i="26"/>
  <c r="G8" i="26" s="1"/>
  <c r="H8" i="26" s="1"/>
  <c r="K8" i="26" s="1"/>
  <c r="E8" i="25"/>
  <c r="G8" i="25" s="1"/>
  <c r="H8" i="25" s="1"/>
  <c r="K8" i="25" s="1"/>
  <c r="L8" i="25" s="1"/>
  <c r="E10" i="25"/>
  <c r="G10" i="25" s="1"/>
  <c r="H10" i="25" s="1"/>
  <c r="K10" i="25" s="1"/>
  <c r="L10" i="25" s="1"/>
  <c r="E5" i="25"/>
  <c r="G5" i="25" s="1"/>
  <c r="H5" i="25" s="1"/>
  <c r="E9" i="25"/>
  <c r="G9" i="25" s="1"/>
  <c r="H9" i="25" s="1"/>
  <c r="K9" i="25" s="1"/>
  <c r="L9" i="25" s="1"/>
  <c r="E6" i="25"/>
  <c r="G6" i="25" s="1"/>
  <c r="H6" i="25" s="1"/>
  <c r="K6" i="25" s="1"/>
  <c r="L6" i="25" s="1"/>
  <c r="E7" i="25"/>
  <c r="G7" i="25" s="1"/>
  <c r="H7" i="25" s="1"/>
  <c r="K7" i="25" s="1"/>
  <c r="L7" i="25" s="1"/>
  <c r="E5" i="24"/>
  <c r="G5" i="24" s="1"/>
  <c r="H5" i="24" s="1"/>
  <c r="E7" i="24"/>
  <c r="G7" i="24" s="1"/>
  <c r="H7" i="24" s="1"/>
  <c r="K7" i="24" s="1"/>
  <c r="L7" i="24" s="1"/>
  <c r="E8" i="24"/>
  <c r="G8" i="24" s="1"/>
  <c r="H8" i="24" s="1"/>
  <c r="K8" i="24" s="1"/>
  <c r="L8" i="24" s="1"/>
  <c r="E6" i="24"/>
  <c r="G6" i="24" s="1"/>
  <c r="H6" i="24" s="1"/>
  <c r="K6" i="24" s="1"/>
  <c r="L6" i="24" s="1"/>
  <c r="E9" i="24"/>
  <c r="G9" i="24" s="1"/>
  <c r="H9" i="24" s="1"/>
  <c r="K9" i="24" s="1"/>
  <c r="L9" i="24" s="1"/>
  <c r="E10" i="24"/>
  <c r="G10" i="24" s="1"/>
  <c r="H10" i="24" s="1"/>
  <c r="K10" i="24" s="1"/>
  <c r="L10" i="24" s="1"/>
  <c r="E5" i="23"/>
  <c r="G5" i="23" s="1"/>
  <c r="H5" i="23" s="1"/>
  <c r="E6" i="23"/>
  <c r="G6" i="23" s="1"/>
  <c r="H6" i="23" s="1"/>
  <c r="K6" i="23" s="1"/>
  <c r="E8" i="23"/>
  <c r="G8" i="23" s="1"/>
  <c r="H8" i="23" s="1"/>
  <c r="K8" i="23" s="1"/>
  <c r="E7" i="23"/>
  <c r="G7" i="23" s="1"/>
  <c r="H7" i="23" s="1"/>
  <c r="K7" i="23" s="1"/>
  <c r="E6" i="21"/>
  <c r="G6" i="21" s="1"/>
  <c r="H6" i="21" s="1"/>
  <c r="K6" i="21" s="1"/>
  <c r="L6" i="21" s="1"/>
  <c r="E9" i="21"/>
  <c r="G9" i="21" s="1"/>
  <c r="H9" i="21" s="1"/>
  <c r="K9" i="21" s="1"/>
  <c r="L9" i="21" s="1"/>
  <c r="E7" i="21"/>
  <c r="G7" i="21" s="1"/>
  <c r="H7" i="21" s="1"/>
  <c r="K7" i="21" s="1"/>
  <c r="L7" i="21" s="1"/>
  <c r="E8" i="21"/>
  <c r="G8" i="21" s="1"/>
  <c r="H8" i="21" s="1"/>
  <c r="K8" i="21" s="1"/>
  <c r="L8" i="21" s="1"/>
  <c r="E5" i="21"/>
  <c r="G5" i="21" s="1"/>
  <c r="H5" i="21" s="1"/>
  <c r="E10" i="21"/>
  <c r="G10" i="21" s="1"/>
  <c r="H10" i="21" s="1"/>
  <c r="K10" i="21" s="1"/>
  <c r="L10" i="21" s="1"/>
  <c r="E5" i="20"/>
  <c r="G5" i="20" s="1"/>
  <c r="H5" i="20" s="1"/>
  <c r="E7" i="20"/>
  <c r="G7" i="20" s="1"/>
  <c r="H7" i="20" s="1"/>
  <c r="K7" i="20" s="1"/>
  <c r="L7" i="20" s="1"/>
  <c r="E8" i="20"/>
  <c r="G8" i="20" s="1"/>
  <c r="H8" i="20" s="1"/>
  <c r="K8" i="20" s="1"/>
  <c r="L8" i="20" s="1"/>
  <c r="E6" i="20"/>
  <c r="G6" i="20" s="1"/>
  <c r="H6" i="20" s="1"/>
  <c r="K6" i="20" s="1"/>
  <c r="L6" i="20" s="1"/>
  <c r="E5" i="19"/>
  <c r="G5" i="19" s="1"/>
  <c r="H5" i="19" s="1"/>
  <c r="E6" i="19"/>
  <c r="G6" i="19" s="1"/>
  <c r="H6" i="19" s="1"/>
  <c r="K6" i="19" s="1"/>
  <c r="L6" i="19" s="1"/>
  <c r="E7" i="19"/>
  <c r="G7" i="19" s="1"/>
  <c r="H7" i="19" s="1"/>
  <c r="K7" i="19" s="1"/>
  <c r="L7" i="19" s="1"/>
  <c r="E9" i="19"/>
  <c r="G9" i="19" s="1"/>
  <c r="H9" i="19" s="1"/>
  <c r="K9" i="19" s="1"/>
  <c r="L9" i="19" s="1"/>
  <c r="E10" i="19"/>
  <c r="G10" i="19" s="1"/>
  <c r="H10" i="19" s="1"/>
  <c r="K10" i="19" s="1"/>
  <c r="L10" i="19" s="1"/>
  <c r="E8" i="19"/>
  <c r="G8" i="19" s="1"/>
  <c r="H8" i="19" s="1"/>
  <c r="K8" i="19" s="1"/>
  <c r="L8" i="19" s="1"/>
  <c r="E6" i="18"/>
  <c r="G6" i="18" s="1"/>
  <c r="H6" i="18" s="1"/>
  <c r="K6" i="18" s="1"/>
  <c r="L6" i="18" s="1"/>
  <c r="E7" i="18"/>
  <c r="G7" i="18" s="1"/>
  <c r="H7" i="18" s="1"/>
  <c r="K7" i="18" s="1"/>
  <c r="L7" i="18" s="1"/>
  <c r="E5" i="18"/>
  <c r="G5" i="18" s="1"/>
  <c r="H5" i="18" s="1"/>
  <c r="E5" i="17"/>
  <c r="G5" i="17" s="1"/>
  <c r="H5" i="17" s="1"/>
  <c r="E7" i="17"/>
  <c r="G7" i="17" s="1"/>
  <c r="H7" i="17" s="1"/>
  <c r="K7" i="17" s="1"/>
  <c r="E6" i="17"/>
  <c r="G6" i="17" s="1"/>
  <c r="H6" i="17" s="1"/>
  <c r="K6" i="17" s="1"/>
  <c r="E8" i="17"/>
  <c r="G8" i="17" s="1"/>
  <c r="H8" i="17" s="1"/>
  <c r="K8" i="17" s="1"/>
  <c r="E7" i="15"/>
  <c r="G7" i="15" s="1"/>
  <c r="H7" i="15" s="1"/>
  <c r="K7" i="15" s="1"/>
  <c r="L7" i="15" s="1"/>
  <c r="E5" i="15"/>
  <c r="G5" i="15" s="1"/>
  <c r="H5" i="15" s="1"/>
  <c r="E10" i="15"/>
  <c r="G10" i="15" s="1"/>
  <c r="H10" i="15" s="1"/>
  <c r="K10" i="15" s="1"/>
  <c r="L10" i="15" s="1"/>
  <c r="E9" i="15"/>
  <c r="G9" i="15" s="1"/>
  <c r="H9" i="15" s="1"/>
  <c r="K9" i="15" s="1"/>
  <c r="L9" i="15" s="1"/>
  <c r="E6" i="15"/>
  <c r="G6" i="15" s="1"/>
  <c r="H6" i="15" s="1"/>
  <c r="K6" i="15" s="1"/>
  <c r="L6" i="15" s="1"/>
  <c r="E8" i="15"/>
  <c r="G8" i="15" s="1"/>
  <c r="H8" i="15" s="1"/>
  <c r="K8" i="15" s="1"/>
  <c r="L8" i="15" s="1"/>
  <c r="E5" i="14"/>
  <c r="G5" i="14" s="1"/>
  <c r="H5" i="14" s="1"/>
  <c r="E10" i="14"/>
  <c r="G10" i="14" s="1"/>
  <c r="H10" i="14" s="1"/>
  <c r="K10" i="14" s="1"/>
  <c r="L10" i="14" s="1"/>
  <c r="E6" i="14"/>
  <c r="G6" i="14" s="1"/>
  <c r="H6" i="14" s="1"/>
  <c r="K6" i="14" s="1"/>
  <c r="L6" i="14" s="1"/>
  <c r="E9" i="14"/>
  <c r="G9" i="14" s="1"/>
  <c r="H9" i="14" s="1"/>
  <c r="K9" i="14" s="1"/>
  <c r="L9" i="14" s="1"/>
  <c r="E7" i="14"/>
  <c r="G7" i="14" s="1"/>
  <c r="H7" i="14" s="1"/>
  <c r="K7" i="14" s="1"/>
  <c r="L7" i="14" s="1"/>
  <c r="E8" i="14"/>
  <c r="G8" i="14" s="1"/>
  <c r="H8" i="14" s="1"/>
  <c r="K8" i="14" s="1"/>
  <c r="L8" i="14" s="1"/>
  <c r="E5" i="13"/>
  <c r="G5" i="13" s="1"/>
  <c r="H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L9" i="13" s="1"/>
  <c r="E10" i="13"/>
  <c r="G10" i="13" s="1"/>
  <c r="H10" i="13" s="1"/>
  <c r="K10" i="13" s="1"/>
  <c r="L10" i="13" s="1"/>
  <c r="G5" i="12"/>
  <c r="H5" i="12" s="1"/>
  <c r="E10" i="12"/>
  <c r="G10" i="12" s="1"/>
  <c r="H10" i="12" s="1"/>
  <c r="K10" i="12" s="1"/>
  <c r="L10" i="12" s="1"/>
  <c r="E7" i="12"/>
  <c r="G7" i="12" s="1"/>
  <c r="H7" i="12" s="1"/>
  <c r="K7" i="12" s="1"/>
  <c r="L7" i="12" s="1"/>
  <c r="E9" i="12"/>
  <c r="G9" i="12" s="1"/>
  <c r="H9" i="12" s="1"/>
  <c r="K9" i="12" s="1"/>
  <c r="L9" i="12" s="1"/>
  <c r="E6" i="12"/>
  <c r="G6" i="12" s="1"/>
  <c r="H6" i="12" s="1"/>
  <c r="K6" i="12" s="1"/>
  <c r="L6" i="12" s="1"/>
  <c r="E8" i="12"/>
  <c r="G8" i="12" s="1"/>
  <c r="H8" i="12" s="1"/>
  <c r="K8" i="12" s="1"/>
  <c r="L8" i="12" s="1"/>
  <c r="E5" i="8"/>
  <c r="G5" i="8" s="1"/>
  <c r="H5" i="8" s="1"/>
  <c r="E6" i="8"/>
  <c r="G6" i="8" s="1"/>
  <c r="H6" i="8" s="1"/>
  <c r="K6" i="8" s="1"/>
  <c r="E7" i="8"/>
  <c r="G7" i="8" s="1"/>
  <c r="H7" i="8" s="1"/>
  <c r="K7" i="8" s="1"/>
  <c r="E8" i="8"/>
  <c r="G8" i="8" s="1"/>
  <c r="H8" i="8" s="1"/>
  <c r="K8" i="8" s="1"/>
  <c r="E5" i="7"/>
  <c r="G5" i="7" s="1"/>
  <c r="H5" i="7" s="1"/>
  <c r="E6" i="7"/>
  <c r="G6" i="7" s="1"/>
  <c r="H6" i="7" s="1"/>
  <c r="K6" i="7" s="1"/>
  <c r="L6" i="7" s="1"/>
  <c r="E7" i="7"/>
  <c r="G7" i="7" s="1"/>
  <c r="H7" i="7" s="1"/>
  <c r="K7" i="7" s="1"/>
  <c r="L7" i="7" s="1"/>
  <c r="E8" i="7"/>
  <c r="G8" i="7" s="1"/>
  <c r="H8" i="7" s="1"/>
  <c r="K8" i="7" s="1"/>
  <c r="L8" i="7" s="1"/>
  <c r="E9" i="7"/>
  <c r="G9" i="7" s="1"/>
  <c r="H9" i="7" s="1"/>
  <c r="K9" i="7" s="1"/>
  <c r="L9" i="7" s="1"/>
  <c r="E10" i="7"/>
  <c r="G10" i="7" s="1"/>
  <c r="H10" i="7" s="1"/>
  <c r="K10" i="7" s="1"/>
  <c r="L10" i="7" s="1"/>
  <c r="E5" i="6"/>
  <c r="G5" i="6" s="1"/>
  <c r="H5" i="6" s="1"/>
  <c r="E8" i="6"/>
  <c r="G8" i="6" s="1"/>
  <c r="H8" i="6" s="1"/>
  <c r="K8" i="6" s="1"/>
  <c r="L8" i="6" s="1"/>
  <c r="E10" i="6"/>
  <c r="G10" i="6" s="1"/>
  <c r="H10" i="6" s="1"/>
  <c r="K10" i="6" s="1"/>
  <c r="L10" i="6" s="1"/>
  <c r="E6" i="6"/>
  <c r="G6" i="6" s="1"/>
  <c r="H6" i="6" s="1"/>
  <c r="K6" i="6" s="1"/>
  <c r="L6" i="6" s="1"/>
  <c r="E7" i="6"/>
  <c r="G7" i="6" s="1"/>
  <c r="H7" i="6" s="1"/>
  <c r="K7" i="6" s="1"/>
  <c r="L7" i="6" s="1"/>
  <c r="E9" i="6"/>
  <c r="G9" i="6" s="1"/>
  <c r="H9" i="6" s="1"/>
  <c r="K9" i="6" s="1"/>
  <c r="L9" i="6" s="1"/>
  <c r="E7" i="5"/>
  <c r="G7" i="5" s="1"/>
  <c r="H7" i="5" s="1"/>
  <c r="K7" i="5" s="1"/>
  <c r="L7" i="5" s="1"/>
  <c r="E8" i="5"/>
  <c r="G8" i="5" s="1"/>
  <c r="H8" i="5" s="1"/>
  <c r="K8" i="5" s="1"/>
  <c r="L8" i="5" s="1"/>
  <c r="E5" i="5"/>
  <c r="G5" i="5" s="1"/>
  <c r="H5" i="5" s="1"/>
  <c r="E6" i="5"/>
  <c r="G6" i="5" s="1"/>
  <c r="H6" i="5" s="1"/>
  <c r="K6" i="5" s="1"/>
  <c r="E9" i="5"/>
  <c r="G9" i="5" s="1"/>
  <c r="H9" i="5" s="1"/>
  <c r="K9" i="5" s="1"/>
  <c r="L9" i="5" s="1"/>
  <c r="E5" i="4"/>
  <c r="G5" i="4" s="1"/>
  <c r="H5" i="4" s="1"/>
  <c r="E6" i="4"/>
  <c r="G6" i="4" s="1"/>
  <c r="H6" i="4" s="1"/>
  <c r="K6" i="4" s="1"/>
  <c r="L6" i="4" s="1"/>
  <c r="E7" i="4"/>
  <c r="G7" i="4" s="1"/>
  <c r="H7" i="4" s="1"/>
  <c r="K7" i="4" s="1"/>
  <c r="L7" i="4" s="1"/>
  <c r="E8" i="4"/>
  <c r="G8" i="4" s="1"/>
  <c r="H8" i="4" s="1"/>
  <c r="K8" i="4" s="1"/>
  <c r="L8" i="4" s="1"/>
  <c r="E9" i="4"/>
  <c r="G9" i="4" s="1"/>
  <c r="H9" i="4" s="1"/>
  <c r="K9" i="4" s="1"/>
  <c r="L9" i="4" s="1"/>
  <c r="E10" i="4"/>
  <c r="G10" i="4" s="1"/>
  <c r="H10" i="4" s="1"/>
  <c r="K10" i="4" s="1"/>
  <c r="L10" i="4" s="1"/>
  <c r="E6" i="3"/>
  <c r="G6" i="3" s="1"/>
  <c r="H6" i="3" s="1"/>
  <c r="K6" i="3" s="1"/>
  <c r="L6" i="3" s="1"/>
  <c r="E7" i="3"/>
  <c r="G7" i="3" s="1"/>
  <c r="H7" i="3" s="1"/>
  <c r="K7" i="3" s="1"/>
  <c r="L7" i="3" s="1"/>
  <c r="E9" i="3"/>
  <c r="G9" i="3" s="1"/>
  <c r="H9" i="3" s="1"/>
  <c r="K9" i="3" s="1"/>
  <c r="L9" i="3" s="1"/>
  <c r="E10" i="3"/>
  <c r="G10" i="3" s="1"/>
  <c r="H10" i="3" s="1"/>
  <c r="K10" i="3" s="1"/>
  <c r="L10" i="3" s="1"/>
  <c r="E8" i="3"/>
  <c r="G8" i="3" s="1"/>
  <c r="H8" i="3" s="1"/>
  <c r="K8" i="3" s="1"/>
  <c r="L8" i="3" s="1"/>
  <c r="E5" i="3"/>
  <c r="G5" i="3" s="1"/>
  <c r="H5" i="3" s="1"/>
  <c r="E5" i="2"/>
  <c r="G5" i="2" s="1"/>
  <c r="H5" i="2" s="1"/>
  <c r="E10" i="2"/>
  <c r="G10" i="2" s="1"/>
  <c r="H10" i="2" s="1"/>
  <c r="K10" i="2" s="1"/>
  <c r="L10" i="2" s="1"/>
  <c r="E7" i="2"/>
  <c r="G7" i="2" s="1"/>
  <c r="H7" i="2" s="1"/>
  <c r="K7" i="2" s="1"/>
  <c r="L7" i="2" s="1"/>
  <c r="E9" i="2"/>
  <c r="G9" i="2" s="1"/>
  <c r="H9" i="2" s="1"/>
  <c r="K9" i="2" s="1"/>
  <c r="L9" i="2" s="1"/>
  <c r="E8" i="2"/>
  <c r="G8" i="2" s="1"/>
  <c r="H8" i="2" s="1"/>
  <c r="K8" i="2" s="1"/>
  <c r="L8" i="2" s="1"/>
  <c r="E6" i="2"/>
  <c r="G6" i="2" s="1"/>
  <c r="H6" i="2" s="1"/>
  <c r="K6" i="2" s="1"/>
  <c r="L6" i="2" s="1"/>
  <c r="J6" i="8"/>
  <c r="J6" i="22"/>
  <c r="J6" i="23"/>
  <c r="J6" i="26"/>
  <c r="J6" i="17"/>
  <c r="J6" i="16"/>
  <c r="J8" i="22"/>
  <c r="J8" i="8"/>
  <c r="J8" i="16"/>
  <c r="J8" i="23"/>
  <c r="J8" i="17"/>
  <c r="J6" i="5"/>
  <c r="J8" i="26"/>
  <c r="J7" i="8"/>
  <c r="J7" i="22"/>
  <c r="J7" i="23"/>
  <c r="J7" i="26"/>
  <c r="J7" i="17"/>
  <c r="J7" i="16"/>
  <c r="J5" i="8"/>
  <c r="J5" i="22"/>
  <c r="J5" i="23"/>
  <c r="J5" i="16"/>
  <c r="J5" i="17"/>
  <c r="J5" i="5"/>
  <c r="J5" i="26"/>
  <c r="H9" i="23" l="1"/>
  <c r="H9" i="26"/>
  <c r="H12" i="35"/>
  <c r="H9" i="17"/>
  <c r="H9" i="8"/>
  <c r="K5" i="48"/>
  <c r="L5" i="48" s="1"/>
  <c r="H10" i="48"/>
  <c r="K5" i="33"/>
  <c r="L5" i="33" s="1"/>
  <c r="H10" i="33"/>
  <c r="K5" i="31"/>
  <c r="L5" i="31" s="1"/>
  <c r="H11" i="31"/>
  <c r="K5" i="30"/>
  <c r="L5" i="30" s="1"/>
  <c r="H11" i="30"/>
  <c r="K5" i="29"/>
  <c r="L5" i="29" s="1"/>
  <c r="H11" i="29"/>
  <c r="K5" i="28"/>
  <c r="L5" i="28" s="1"/>
  <c r="H11" i="28"/>
  <c r="K5" i="27"/>
  <c r="L5" i="27" s="1"/>
  <c r="H7" i="27"/>
  <c r="K5" i="44"/>
  <c r="L5" i="44" s="1"/>
  <c r="H10" i="44"/>
  <c r="K5" i="36"/>
  <c r="L5" i="36" s="1"/>
  <c r="H10" i="36"/>
  <c r="K5" i="25"/>
  <c r="L5" i="25" s="1"/>
  <c r="H11" i="25"/>
  <c r="K5" i="24"/>
  <c r="L5" i="24" s="1"/>
  <c r="H11" i="24"/>
  <c r="K5" i="47"/>
  <c r="L5" i="47" s="1"/>
  <c r="H10" i="47"/>
  <c r="K5" i="34"/>
  <c r="L5" i="34" s="1"/>
  <c r="H10" i="34"/>
  <c r="K5" i="22"/>
  <c r="L5" i="22" s="1"/>
  <c r="H9" i="22"/>
  <c r="K5" i="21"/>
  <c r="L5" i="21" s="1"/>
  <c r="H11" i="21"/>
  <c r="K5" i="20"/>
  <c r="L5" i="20" s="1"/>
  <c r="H9" i="20"/>
  <c r="K5" i="19"/>
  <c r="L5" i="19" s="1"/>
  <c r="H11" i="19"/>
  <c r="K5" i="43"/>
  <c r="L5" i="43" s="1"/>
  <c r="H12" i="43"/>
  <c r="K5" i="18"/>
  <c r="L5" i="18" s="1"/>
  <c r="H8" i="18"/>
  <c r="K5" i="15"/>
  <c r="L5" i="15" s="1"/>
  <c r="H11" i="15"/>
  <c r="K5" i="14"/>
  <c r="L5" i="14" s="1"/>
  <c r="H11" i="14"/>
  <c r="K5" i="45"/>
  <c r="L5" i="45" s="1"/>
  <c r="H9" i="45"/>
  <c r="K5" i="38"/>
  <c r="L5" i="38" s="1"/>
  <c r="H9" i="38"/>
  <c r="K5" i="42"/>
  <c r="L5" i="42" s="1"/>
  <c r="H11" i="42"/>
  <c r="K5" i="32"/>
  <c r="L5" i="32" s="1"/>
  <c r="H11" i="32"/>
  <c r="K5" i="13"/>
  <c r="L5" i="13" s="1"/>
  <c r="H11" i="13"/>
  <c r="K5" i="12"/>
  <c r="L5" i="12" s="1"/>
  <c r="H11" i="12"/>
  <c r="K5" i="46"/>
  <c r="L5" i="46" s="1"/>
  <c r="H13" i="46"/>
  <c r="K5" i="39"/>
  <c r="L5" i="39" s="1"/>
  <c r="H13" i="39"/>
  <c r="K5" i="7"/>
  <c r="L5" i="7" s="1"/>
  <c r="H11" i="7"/>
  <c r="K5" i="6"/>
  <c r="L5" i="6" s="1"/>
  <c r="H11" i="6"/>
  <c r="K5" i="5"/>
  <c r="L5" i="5" s="1"/>
  <c r="H10" i="5"/>
  <c r="K5" i="4"/>
  <c r="L5" i="4" s="1"/>
  <c r="H11" i="4"/>
  <c r="K5" i="3"/>
  <c r="L5" i="3" s="1"/>
  <c r="H11" i="3"/>
  <c r="K5" i="2"/>
  <c r="L5" i="2" s="1"/>
  <c r="H11" i="2"/>
  <c r="K5" i="35"/>
  <c r="L5" i="35" s="1"/>
  <c r="K5" i="16"/>
  <c r="L5" i="16" s="1"/>
  <c r="H9" i="16"/>
  <c r="L8" i="47"/>
  <c r="L9" i="44"/>
  <c r="L6" i="44"/>
  <c r="L9" i="36"/>
  <c r="L8" i="23"/>
  <c r="L7" i="45"/>
  <c r="L6" i="45"/>
  <c r="L8" i="48"/>
  <c r="L8" i="26"/>
  <c r="L7" i="26"/>
  <c r="L6" i="26"/>
  <c r="L6" i="23"/>
  <c r="L7" i="23"/>
  <c r="L8" i="22"/>
  <c r="L6" i="22"/>
  <c r="L7" i="22"/>
  <c r="L6" i="17"/>
  <c r="L8" i="17"/>
  <c r="L7" i="17"/>
  <c r="L8" i="16"/>
  <c r="L6" i="16"/>
  <c r="L7" i="16"/>
  <c r="L8" i="8"/>
  <c r="L6" i="8"/>
  <c r="L6" i="5"/>
  <c r="L10" i="43"/>
  <c r="L6" i="42"/>
  <c r="L7" i="42"/>
  <c r="L8" i="42"/>
  <c r="L6" i="39"/>
  <c r="L6" i="38"/>
  <c r="L7" i="38"/>
  <c r="L6" i="36"/>
  <c r="L7" i="36"/>
  <c r="L7" i="35"/>
  <c r="L10" i="35"/>
  <c r="L8" i="34"/>
  <c r="L6" i="32"/>
  <c r="L7" i="32"/>
  <c r="L8" i="32"/>
  <c r="L6" i="35"/>
  <c r="L7" i="34"/>
  <c r="L8" i="33"/>
  <c r="L7" i="43"/>
  <c r="L6" i="43"/>
  <c r="K5" i="26"/>
  <c r="L5" i="26" s="1"/>
  <c r="K5" i="23"/>
  <c r="L5" i="23" s="1"/>
  <c r="K5" i="17"/>
  <c r="L5" i="17" s="1"/>
  <c r="K5" i="8"/>
  <c r="L5" i="8" s="1"/>
  <c r="L7" i="8"/>
  <c r="Y8" i="3" l="1"/>
  <c r="Q21" i="3"/>
  <c r="Y8" i="7"/>
  <c r="Q21" i="7"/>
  <c r="Y8" i="6"/>
  <c r="Q21" i="6"/>
  <c r="Y8" i="4"/>
  <c r="Q21" i="4"/>
  <c r="Y8" i="2"/>
  <c r="Q21" i="2"/>
  <c r="Q21" i="27"/>
  <c r="Y8" i="27"/>
  <c r="Y8" i="47"/>
  <c r="Q21" i="47"/>
  <c r="Q21" i="21"/>
  <c r="Y8" i="21"/>
  <c r="Q21" i="20"/>
  <c r="Y8" i="20"/>
  <c r="Q21" i="18"/>
  <c r="Y8" i="18"/>
  <c r="Q21" i="46"/>
  <c r="Y8" i="46"/>
  <c r="Q21" i="44"/>
  <c r="Y8" i="44"/>
  <c r="Y8" i="35"/>
  <c r="Y8" i="36"/>
  <c r="Y8" i="39"/>
  <c r="Q21" i="39"/>
  <c r="Q21" i="43"/>
  <c r="Q21" i="5"/>
  <c r="Y8" i="45"/>
  <c r="Q21" i="45"/>
  <c r="Q21" i="8"/>
  <c r="Y8" i="8" s="1"/>
  <c r="Y8" i="38"/>
  <c r="Y8" i="34"/>
  <c r="Q21" i="34"/>
  <c r="Y8" i="43"/>
  <c r="Y8" i="5"/>
  <c r="Y8" i="48"/>
  <c r="Q21" i="48"/>
  <c r="Y8" i="42"/>
  <c r="Q21" i="42"/>
  <c r="Q21" i="33"/>
  <c r="Y8" i="33"/>
  <c r="Q21" i="35"/>
  <c r="Q21" i="38"/>
  <c r="Q21" i="36"/>
  <c r="Y8" i="32"/>
  <c r="Q21" i="32"/>
</calcChain>
</file>

<file path=xl/sharedStrings.xml><?xml version="1.0" encoding="utf-8"?>
<sst xmlns="http://schemas.openxmlformats.org/spreadsheetml/2006/main" count="2070" uniqueCount="327">
  <si>
    <t>ITEMS</t>
  </si>
  <si>
    <t>Category</t>
  </si>
  <si>
    <t>Unit</t>
  </si>
  <si>
    <t>Daily Weight</t>
  </si>
  <si>
    <t>Weekly Weight</t>
  </si>
  <si>
    <t>Yield</t>
  </si>
  <si>
    <t>Order Base Unit وحدة الطلب الأساسية</t>
  </si>
  <si>
    <t>Order Unit وحدة الطلب</t>
  </si>
  <si>
    <t>Price of ordering unit سعر وحدة الطلب</t>
  </si>
  <si>
    <t>Cost Per KG or L السعر للكيلو او للتر</t>
  </si>
  <si>
    <t>Weekly Order</t>
  </si>
  <si>
    <t>Daily Order</t>
  </si>
  <si>
    <t>Order Unit</t>
  </si>
  <si>
    <t>Weekly Price</t>
  </si>
  <si>
    <t>Daily Price</t>
  </si>
  <si>
    <t>DAY SELECTOR
اليوم</t>
  </si>
  <si>
    <t>SHEET REFERENCE</t>
  </si>
  <si>
    <t>Meal name</t>
  </si>
  <si>
    <t>Total Count</t>
  </si>
  <si>
    <t>SHEET NAME</t>
  </si>
  <si>
    <t>Count</t>
  </si>
  <si>
    <t>فول</t>
  </si>
  <si>
    <t>كلوب ساندوتش بالدجاج</t>
  </si>
  <si>
    <t>Yogurt - زبادي</t>
  </si>
  <si>
    <t>منتجات ألبان</t>
  </si>
  <si>
    <t>gm</t>
  </si>
  <si>
    <t>10 Kg</t>
  </si>
  <si>
    <t>KG</t>
  </si>
  <si>
    <t>Tahina Small</t>
  </si>
  <si>
    <t>ساندوتش دجاج أوصال</t>
  </si>
  <si>
    <t>ساندوتش الدجاج المشوي</t>
  </si>
  <si>
    <t>Red sauce</t>
  </si>
  <si>
    <t>دجاج بالكاري</t>
  </si>
  <si>
    <t>ستيك دجاج</t>
  </si>
  <si>
    <t>Lemon Juice - عصير ليمون</t>
  </si>
  <si>
    <t>صوصات ومنكهات</t>
  </si>
  <si>
    <t>ml</t>
  </si>
  <si>
    <t>12000 ML/Cartoon</t>
  </si>
  <si>
    <t>Carton</t>
  </si>
  <si>
    <t>Cucumber yogurt sauce</t>
  </si>
  <si>
    <t>المكرونة</t>
  </si>
  <si>
    <t>خضار سوتيه</t>
  </si>
  <si>
    <t>Mayonnaise - مايونيز</t>
  </si>
  <si>
    <t>14800 L/Carton</t>
  </si>
  <si>
    <t>Herbal Sauce</t>
  </si>
  <si>
    <t>البطاطس المهروسة</t>
  </si>
  <si>
    <t>Mustard - خردل</t>
  </si>
  <si>
    <t>15.12 L / Carton</t>
  </si>
  <si>
    <t>Red sauce Big</t>
  </si>
  <si>
    <t>كبسة لحم</t>
  </si>
  <si>
    <t>دجاج بالفطر</t>
  </si>
  <si>
    <t>Sesame Paste - طحينة السمسم</t>
  </si>
  <si>
    <t>16000 KG/Can</t>
  </si>
  <si>
    <t>Can</t>
  </si>
  <si>
    <t>Tahina Big</t>
  </si>
  <si>
    <t>-</t>
  </si>
  <si>
    <t>الأرز الأبيض</t>
  </si>
  <si>
    <t>Sriracha Sauce - صوص سريراتشا</t>
  </si>
  <si>
    <t>2130 ml / Carton</t>
  </si>
  <si>
    <t>Coctail Sauce Weight</t>
  </si>
  <si>
    <t>بيف شيلي دراي</t>
  </si>
  <si>
    <t>Tomato Ketchup - كاتشب طماطم</t>
  </si>
  <si>
    <t>20 Kg / Carton</t>
  </si>
  <si>
    <t>خضار سوتيه 🌶</t>
  </si>
  <si>
    <t>ستروجانوف باستا</t>
  </si>
  <si>
    <t>البطاطس المهروسة 🌶</t>
  </si>
  <si>
    <t>Water - ماء</t>
  </si>
  <si>
    <t>سوائل ومرق</t>
  </si>
  <si>
    <t>بان فرايد فش</t>
  </si>
  <si>
    <t>بيف أمانسي</t>
  </si>
  <si>
    <t>Cucumber yogurt sauce (2)</t>
  </si>
  <si>
    <t>توابل</t>
  </si>
  <si>
    <t>Kg</t>
  </si>
  <si>
    <t>Red sauce Big (2)</t>
  </si>
  <si>
    <t>أرز الصيادية</t>
  </si>
  <si>
    <t>الأرز بالزعفران</t>
  </si>
  <si>
    <t>Black Pepper Powder - فلفل أسود مطحون</t>
  </si>
  <si>
    <t>Tahina Big (2)</t>
  </si>
  <si>
    <t>بامية لحم</t>
  </si>
  <si>
    <t>دجاج تكا</t>
  </si>
  <si>
    <t>Coriander Powder - كزبرة مطحونة</t>
  </si>
  <si>
    <t>Red sauce Big (3)</t>
  </si>
  <si>
    <t>الأرز البرياني</t>
  </si>
  <si>
    <t>Paprika Powder - بابريكا مطحون</t>
  </si>
  <si>
    <t>2724 gram/Carton</t>
  </si>
  <si>
    <t>Coctail Sauce Dip In  (3)</t>
  </si>
  <si>
    <t>دجاج صيني</t>
  </si>
  <si>
    <t>فاصولياء بيضاء باللحم</t>
  </si>
  <si>
    <t>Salt - ملح</t>
  </si>
  <si>
    <t>50 Kg</t>
  </si>
  <si>
    <t>Coctail Sauce Weight (2)</t>
  </si>
  <si>
    <t>White Pepper - فلفل أبيض</t>
  </si>
  <si>
    <t>Mixed Pickle</t>
  </si>
  <si>
    <t>دجاج بالأعشاب</t>
  </si>
  <si>
    <t>شرمب بالسبانخ والليمون</t>
  </si>
  <si>
    <t>Cucumber yogurt sauce (3)</t>
  </si>
  <si>
    <t>البطاطا</t>
  </si>
  <si>
    <t>لسان العصفور</t>
  </si>
  <si>
    <t>Orange Color - لون برتقالي</t>
  </si>
  <si>
    <t>ألوان وإضافات</t>
  </si>
  <si>
    <t>100 gm/Can</t>
  </si>
  <si>
    <t>Shabat Sauce</t>
  </si>
  <si>
    <t>مندي دجاج</t>
  </si>
  <si>
    <t>أوكتا بوكي بول الدجاج</t>
  </si>
  <si>
    <t>Biryani Yoghrt sauce</t>
  </si>
  <si>
    <t>الأرز المصري بالزعفران</t>
  </si>
  <si>
    <t>Radish Pickle - مخلل فجل</t>
  </si>
  <si>
    <t xml:space="preserve"> المخللات</t>
  </si>
  <si>
    <t>10,000 KG/Pail</t>
  </si>
  <si>
    <t>Pail</t>
  </si>
  <si>
    <t>Coctail Sauce Dip In  (4)</t>
  </si>
  <si>
    <t>ساندوتش الدجاج الآسيوي بخبز الشوفان</t>
  </si>
  <si>
    <t>مقلوبة دجاج</t>
  </si>
  <si>
    <t>Carrot Pickle - مخلل جزر</t>
  </si>
  <si>
    <t>Coctail Sauce Weight (5)</t>
  </si>
  <si>
    <t>Cucumber Pickle - مخلل خيار</t>
  </si>
  <si>
    <t>Red sauce Big (4)</t>
  </si>
  <si>
    <t>دجاج ألفريدو</t>
  </si>
  <si>
    <t>ساندوتش الدجاج بالباربيكيو بخبز الشيباتا</t>
  </si>
  <si>
    <t>Cucumber yogurt sauce (4)</t>
  </si>
  <si>
    <t>Dried Mint Leaves - نعناع مجفف</t>
  </si>
  <si>
    <t>أعشاب مجففة</t>
  </si>
  <si>
    <t>200 g / Pack</t>
  </si>
  <si>
    <t>Pack</t>
  </si>
  <si>
    <t>Coctail Sauce Weight (4)</t>
  </si>
  <si>
    <t>Sumak Onion</t>
  </si>
  <si>
    <t>دجاج 65 الهندي الحار</t>
  </si>
  <si>
    <t>ساندوتش اللحم الكلاسيكي</t>
  </si>
  <si>
    <t>Mint Leaves - نعناع طازج</t>
  </si>
  <si>
    <t>خضروات</t>
  </si>
  <si>
    <t>900 g / Pack</t>
  </si>
  <si>
    <t>Tahina Small (2)</t>
  </si>
  <si>
    <t>دجاج سيراتشا</t>
  </si>
  <si>
    <t>Coriander Leaves - كزبرة خضراء</t>
  </si>
  <si>
    <t>825 g / Pack</t>
  </si>
  <si>
    <t>Red sauce (2)</t>
  </si>
  <si>
    <t>الأرز الأبيض 🌶</t>
  </si>
  <si>
    <t>الأرز بالخضار 🌶</t>
  </si>
  <si>
    <t>Dill Leaves - شبت</t>
  </si>
  <si>
    <t>1000 g /Pack</t>
  </si>
  <si>
    <t>Red sauce Big (5)</t>
  </si>
  <si>
    <t>سمك بلانكويت</t>
  </si>
  <si>
    <t>Cucumber - خيار</t>
  </si>
  <si>
    <t>kg</t>
  </si>
  <si>
    <t>Cucumber yogurt sauce (5)</t>
  </si>
  <si>
    <t>دجاج هندي بالزبدة</t>
  </si>
  <si>
    <t>Green Bell Pepper - فلفل أخضر رومى</t>
  </si>
  <si>
    <t>Onion - بصل</t>
  </si>
  <si>
    <t>مختوم لحم</t>
  </si>
  <si>
    <t>Tomato - طماطم</t>
  </si>
  <si>
    <t>دجاج البيتزا</t>
  </si>
  <si>
    <t>أسياخ دجاج الباربكيو</t>
  </si>
  <si>
    <t>أرز جولوف</t>
  </si>
  <si>
    <t>دجاج بكريمة جوز الهند</t>
  </si>
  <si>
    <t>الأرز بالزعفران🌶</t>
  </si>
  <si>
    <t>كباب اللحم</t>
  </si>
  <si>
    <t>زربيان لحم</t>
  </si>
  <si>
    <t>الأرز المشكل</t>
  </si>
  <si>
    <t>كباب هندي</t>
  </si>
  <si>
    <t>ساندوتش الدجاج بالفلفل الرومي</t>
  </si>
  <si>
    <t>دجاج باللوز في الفرن</t>
  </si>
  <si>
    <t>لازانيا لحم عالية البروتين</t>
  </si>
  <si>
    <t>لحم بولونيز</t>
  </si>
  <si>
    <t>بطاطس ويدجز</t>
  </si>
  <si>
    <t>دجاج مكروني بالخضار</t>
  </si>
  <si>
    <t>بخاري لحم</t>
  </si>
  <si>
    <t>دجاج تشانجيزي</t>
  </si>
  <si>
    <t>ساندوتش فيلادلفيا لحم بخبز الشوفان</t>
  </si>
  <si>
    <t>داوود باشا</t>
  </si>
  <si>
    <t>ساندوتش الكباب</t>
  </si>
  <si>
    <t>دجاج بكريمة الطماطم</t>
  </si>
  <si>
    <t>سالمون بالكريمة</t>
  </si>
  <si>
    <t>الأرز المكسيكي</t>
  </si>
  <si>
    <t>دجاج بالزنجبيل</t>
  </si>
  <si>
    <t>بطاطس مهروسة</t>
  </si>
  <si>
    <t>مسقعة اللحم عالية البروتين</t>
  </si>
  <si>
    <t>كرات اللحم الفرنسية</t>
  </si>
  <si>
    <t>لحم أوريانتل</t>
  </si>
  <si>
    <t>الأرز بالمكسرات</t>
  </si>
  <si>
    <t>مكرونة سباغيتي</t>
  </si>
  <si>
    <t>سليق دجاج</t>
  </si>
  <si>
    <t>دجاج سنغافوري</t>
  </si>
  <si>
    <t>الأرز بالخضار</t>
  </si>
  <si>
    <t>سمك بالشبت والليمون</t>
  </si>
  <si>
    <t>ساندوتش فاهيتا الدجاج بخبز الشوفان</t>
  </si>
  <si>
    <t>ملوخية الدجاج</t>
  </si>
  <si>
    <t>كابلي لحم</t>
  </si>
  <si>
    <t>ساندوتش كباب لحم</t>
  </si>
  <si>
    <t>Base Recipe (1 Portion)</t>
  </si>
  <si>
    <t xml:space="preserve">Required Quantity </t>
  </si>
  <si>
    <t>Conversion Factor</t>
  </si>
  <si>
    <t>Sauce Quantity gm</t>
  </si>
  <si>
    <t>No Cooking</t>
  </si>
  <si>
    <t>سلطة الطحية صغير -   Small Tahina sauce</t>
  </si>
  <si>
    <t>(Foul &amp; Fish) - (فول و سمك)</t>
  </si>
  <si>
    <t>Ingredient</t>
  </si>
  <si>
    <t xml:space="preserve">Unit </t>
  </si>
  <si>
    <t>Base Recipe
 (1 Portion)</t>
  </si>
  <si>
    <t>Corrected Conversion Factor</t>
  </si>
  <si>
    <t>Scaling Factor 
(1-10KG)</t>
  </si>
  <si>
    <t xml:space="preserve">Linear Scaled Amount </t>
  </si>
  <si>
    <t>Scaled Amount Post Conversion Factor</t>
  </si>
  <si>
    <t>PreCooking Yield</t>
  </si>
  <si>
    <t>Price Per KG or L</t>
  </si>
  <si>
    <t>Ordering quantity (KG or L)</t>
  </si>
  <si>
    <t>Cost/Unit</t>
  </si>
  <si>
    <t xml:space="preserve">gm </t>
  </si>
  <si>
    <t># Unit</t>
  </si>
  <si>
    <t xml:space="preserve">Actuals </t>
  </si>
  <si>
    <t xml:space="preserve">Quantity </t>
  </si>
  <si>
    <t>Required</t>
  </si>
  <si>
    <t xml:space="preserve">Safety </t>
  </si>
  <si>
    <t xml:space="preserve">Total </t>
  </si>
  <si>
    <t>سلطة حمراء صغير- Red sauce Small</t>
  </si>
  <si>
    <t>صوص الزبادي بالخيار -Cucumber yogurt sauce</t>
  </si>
  <si>
    <t>(Kabsa) - (كبسة)</t>
  </si>
  <si>
    <t>صوص الأعشاب - Herbal Sauce</t>
  </si>
  <si>
    <t>دجاج الأعشاب  - Herbal Chicken</t>
  </si>
  <si>
    <t>سلطة حمراء كبير - Red sauce Big</t>
  </si>
  <si>
    <t>كبسة و مندى - Kabsa &amp; Mandi</t>
  </si>
  <si>
    <t>سلطة الطحية كبير -  Big Tahina sauce</t>
  </si>
  <si>
    <t>Mandi - مندى</t>
  </si>
  <si>
    <t>Base Recipe (1 Portion) gm</t>
  </si>
  <si>
    <t xml:space="preserve">Required Count </t>
  </si>
  <si>
    <t>Filling</t>
  </si>
  <si>
    <t xml:space="preserve">Cocktail Sauce unpacked - كوكتيل صوص غير معلب </t>
  </si>
  <si>
    <t>Asian Sandwich - دجاج اسيوى  ساندويتش</t>
  </si>
  <si>
    <t>Sauce/Side</t>
  </si>
  <si>
    <t>صوص الزبادي بالخيار - Cucumber yogurt sauce</t>
  </si>
  <si>
    <t>Zurbian - زربيان</t>
  </si>
  <si>
    <t>مندى و سليق - Mandi &amp; Saleeq</t>
  </si>
  <si>
    <t xml:space="preserve">Cocktail Sauce packed - كوكتيل صوص معلب </t>
  </si>
  <si>
    <t xml:space="preserve"> دجاج باللوز -  Almond Chicken</t>
  </si>
  <si>
    <t xml:space="preserve"> ساندوش فاهيتا  الدجاج  - Chicken Fajita Sandwich</t>
  </si>
  <si>
    <t>Mixed Pickle - طرشي مشكل</t>
  </si>
  <si>
    <t>Maklouba - مقلوبة</t>
  </si>
  <si>
    <t>صوص الشبت - Shabat Sauce</t>
  </si>
  <si>
    <t>ساندويتش باربيكيو - BBQ Sandwich</t>
  </si>
  <si>
    <t xml:space="preserve"> صوص بريانى Biryani yoghurt sauce</t>
  </si>
  <si>
    <t>Chicken Tikka - دجاج تكا</t>
  </si>
  <si>
    <t>أوكتا بوكي بول - Octa PokiPowl</t>
  </si>
  <si>
    <t xml:space="preserve">  سلطة حمراء كبير - Red sauce Big</t>
  </si>
  <si>
    <t xml:space="preserve">   (Boukhary -  بخارى لحم)</t>
  </si>
  <si>
    <t xml:space="preserve">  صوص الزبادي بالخيار - Cucumber yogurt sauce</t>
  </si>
  <si>
    <t xml:space="preserve">  (Boukhary -  بخارى لحم)</t>
  </si>
  <si>
    <t>(Philly cheese sandwich - ساندويتش فلاديلفيا )</t>
  </si>
  <si>
    <t>Sumak Onion -  بصل مع سماق</t>
  </si>
  <si>
    <t>Kebab Sandwich - ساندويتش كباب لحم</t>
  </si>
  <si>
    <t>sauce in sandwich 12.6</t>
  </si>
  <si>
    <t>سلطة الطحية صغير -  Small Tahina sauce</t>
  </si>
  <si>
    <t xml:space="preserve">سمك بالليمون و ساندويتش كباب - Fish with lemon &amp; Sandwich Kebab </t>
  </si>
  <si>
    <t>Fish with lemon - سمك بالليمون</t>
  </si>
  <si>
    <t>سليق دجاج - Chicken Saleeq</t>
  </si>
  <si>
    <t>Kabli - كابلى</t>
  </si>
  <si>
    <t>برجر لحم باربكيو - Beef Burger BBQ</t>
  </si>
  <si>
    <t>كلاسيك برجر دجاج - Classic Chicken Burger</t>
  </si>
  <si>
    <t>برجر لحم مدخن - Beef Burger Smoky</t>
  </si>
  <si>
    <t>برجر دجاج بالعسل والخردل - Chicken Burger Honey Mustard</t>
  </si>
  <si>
    <t>محليات</t>
  </si>
  <si>
    <t>Garlic Powder - ثوم بودرة</t>
  </si>
  <si>
    <t>Onion Powder - بصل بودرة</t>
  </si>
  <si>
    <t>Worcestershire sauce - صوص الورشيستر</t>
  </si>
  <si>
    <t>3540 ML/Carton</t>
  </si>
  <si>
    <t>Garlic - ثوم مقشر</t>
  </si>
  <si>
    <t>Smoked Paprika Powder - بابريكا مدخنة مطحونة</t>
  </si>
  <si>
    <t>Honey - عسل</t>
  </si>
  <si>
    <t>BBQ Sauce - صوص باربيكيو</t>
  </si>
  <si>
    <t>Vinegar - خل</t>
  </si>
  <si>
    <t>15.16 L / Carton</t>
  </si>
  <si>
    <t>16650 L</t>
  </si>
  <si>
    <t>8000 KG/Carton</t>
  </si>
  <si>
    <t>Parsley - بقدونس</t>
  </si>
  <si>
    <t>905 g / Pack</t>
  </si>
  <si>
    <t>Red Cabbage - ملفوف أحمر</t>
  </si>
  <si>
    <t>Carrot - جزر</t>
  </si>
  <si>
    <t>برجر دجاج  باربكيو - Chicken Burger  BBQ</t>
  </si>
  <si>
    <t xml:space="preserve">برجر دجاج العربي - Arabic Chicken Burger </t>
  </si>
  <si>
    <t xml:space="preserve">   (packed -  معلب ) صلصة باربكيو مدخنة - Smoked BBQ Sauce</t>
  </si>
  <si>
    <t xml:space="preserve">  أيولي الثوم - Garlic Aioli  (packed -  معلب )</t>
  </si>
  <si>
    <t>صلصة باربكيو مدخنة - Smoky BBQ Sauce   (packed -  معلب )</t>
  </si>
  <si>
    <t>صلصة العسل والخردل - Honey Mustard Sauce   (packed -  معلب )</t>
  </si>
  <si>
    <t>صلصة الليمون والأعشاب - Lemon Herb Sauce   (packed -  معلب )</t>
  </si>
  <si>
    <t>صلصة الليمون والأعشاب - Lemon Herb Sauce   (unpacked - غير معلب)</t>
  </si>
  <si>
    <t>صلصة العسل والخردل - Honey Mustard Sauce  (unpacked - غير معلب)</t>
  </si>
  <si>
    <t>صلصة باربكيو مدخنة - Smoky BBQ Sauce  (unpacked - غير معلب)</t>
  </si>
  <si>
    <t>سلطة كول سلو - Coleslaw Salad   (unpacked - غير معلب)</t>
  </si>
  <si>
    <t>صلصة باربكيو مدخنة - Smoked BBQ Sauce   (unpacked - غير معلب)</t>
  </si>
  <si>
    <t>صلصة البيت - House Sauce   (unpacked - غير معلب)</t>
  </si>
  <si>
    <t xml:space="preserve">  (packed -  معلب )  هاوس صوص - House Sauce</t>
  </si>
  <si>
    <t xml:space="preserve">برجر دجاج كلاسيك - Classic Chicken Burger    </t>
  </si>
  <si>
    <t>برجر لحم عربي - Beef Burger Arabic</t>
  </si>
  <si>
    <t xml:space="preserve">  أيولي الثوم - Garlic Aioli  (unpacked -  غير معلب )</t>
  </si>
  <si>
    <t>برجر الدجاج العربي</t>
  </si>
  <si>
    <t>Lemon Herb Sauce Packed</t>
  </si>
  <si>
    <t>Lemon Herb Sauce unpacked</t>
  </si>
  <si>
    <t>DAY  ??? ?????</t>
  </si>
  <si>
    <t>Ordering</t>
  </si>
  <si>
    <t>House Sauce Packed</t>
  </si>
  <si>
    <t>House Sauce unpacked</t>
  </si>
  <si>
    <t>Honey Mustard Sauce Packed</t>
  </si>
  <si>
    <t>Honey Mustard Sauce unpacked</t>
  </si>
  <si>
    <t>Smoked Sauce Packed</t>
  </si>
  <si>
    <t>Smoked Sauce unpacked</t>
  </si>
  <si>
    <t>Coleslaw Salad</t>
  </si>
  <si>
    <t>Garlic Aioli (2)</t>
  </si>
  <si>
    <t>BBQ Sauce Packed</t>
  </si>
  <si>
    <t>BBQ Sauce unpacked</t>
  </si>
  <si>
    <t>Garlic Aioli</t>
  </si>
  <si>
    <t>Garlic Aioli unpacked</t>
  </si>
  <si>
    <t>لحم بالمشروم</t>
  </si>
  <si>
    <t>الارز الابيض</t>
  </si>
  <si>
    <t>برجر باربكيو اللحم</t>
  </si>
  <si>
    <t>برجر الدجاج بالهني ماسترد</t>
  </si>
  <si>
    <t>Apple cider vinegar - خل تفاح</t>
  </si>
  <si>
    <t>برجر اللحم العربي</t>
  </si>
  <si>
    <t>دجاج أوريانتل</t>
  </si>
  <si>
    <t>برجر باربكيو الدجاج</t>
  </si>
  <si>
    <t>برجر سموكي لحم</t>
  </si>
  <si>
    <t>نودلز الدجاج و الخضار</t>
  </si>
  <si>
    <t>برجر الدجاج الكلاسيكي</t>
  </si>
  <si>
    <t>Orange - برتقال</t>
  </si>
  <si>
    <t xml:space="preserve">ml </t>
  </si>
  <si>
    <t>Orange Juice - عصير برتقال</t>
  </si>
  <si>
    <t>454 g</t>
  </si>
  <si>
    <t>سمك بالكاري والكريمة</t>
  </si>
  <si>
    <t>Total Weight</t>
  </si>
  <si>
    <t>Sumac - سماق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</si>
</sst>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_-;\-* #,##0.00_-;_-* &quot;-&quot;??_-;_-@_-"/>
    <numFmt numFmtId="165" formatCode="_ * #,##0_ ;_ * \-#,##0_ ;_ * &quot;-&quot;??_ ;_ @_ "/>
    <numFmt numFmtId="166" formatCode="0.0"/>
    <numFmt numFmtId="167" formatCode="0.000"/>
    <numFmt numFmtId="168" formatCode="#,##0.0"/>
    <numFmt numFmtId="169" formatCode="_ * #,##0_ ;_ * \-#,##0_ ;_ * \-??_ ;_ @_ "/>
    <numFmt numFmtId="170" formatCode="_ * #,##0.00_ ;_ * \-#,##0.00_ ;_ * \-??_ ;_ @_ "/>
    <numFmt numFmtId="171" formatCode="_ * #,##0.00_ ;_ * \-#,##0.00_ ;_ * &quot;-&quot;??_ ;_ @_ "/>
    <numFmt numFmtId="172" formatCode="0.0000"/>
    <numFmt numFmtId="173" formatCode="_(* #,##0_);_(* \(#,##0\);_(* &quot;-&quot;??_);_(@_)"/>
    <numFmt numFmtId="174" formatCode="_ * #,##0.000_ ;_ * \-#,##0.000_ ;_ * &quot;-&quot;??_ ;_ @_ 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000000"/>
      <name val="Aptos Narrow"/>
      <family val="2"/>
    </font>
    <font>
      <sz val="11"/>
      <color rgb="FFFF0000"/>
      <name val="Calibri"/>
      <family val="2"/>
      <scheme val="minor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8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  <font>
      <b/>
      <sz val="11"/>
      <color indexed="8"/>
      <name val="Calibri"/>
      <family val="2"/>
      <scheme val="minor"/>
    </font>
    <font>
      <b/>
      <sz val="16"/>
      <color theme="1"/>
      <name val="Calibri Light"/>
      <family val="1"/>
      <scheme val="major"/>
    </font>
    <font>
      <sz val="11"/>
      <color theme="1"/>
      <name val="Arial"/>
      <family val="2"/>
      <charset val="1"/>
    </font>
    <font>
      <b/>
      <sz val="11"/>
      <color rgb="FFFF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1F38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6E4F0"/>
      </patternFill>
    </fill>
    <fill>
      <patternFill patternType="solid">
        <fgColor rgb="FFFFF2CC"/>
      </patternFill>
    </fill>
    <fill>
      <patternFill patternType="solid">
        <fgColor rgb="FFDDEBF7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rgb="FFDEEBF7"/>
      </patternFill>
    </fill>
    <fill>
      <patternFill patternType="solid">
        <fgColor theme="6" tint="0.79998168889431442"/>
        <bgColor rgb="FFDAE3F3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theme="6" tint="0.79998168889431442"/>
        <bgColor rgb="FFA6A6A6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499984740745262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499984740745262"/>
        <bgColor rgb="FFDAE3F3"/>
      </patternFill>
    </fill>
    <fill>
      <patternFill patternType="solid">
        <fgColor theme="4" tint="-0.499984740745262"/>
        <bgColor rgb="FFA6A6A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595959"/>
      </left>
      <right style="medium">
        <color rgb="FF595959"/>
      </right>
      <top style="medium">
        <color rgb="FF595959"/>
      </top>
      <bottom style="medium">
        <color rgb="FF59595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1" fillId="0" borderId="0"/>
    <xf numFmtId="0" fontId="3" fillId="0" borderId="0"/>
    <xf numFmtId="171" fontId="1" fillId="0" borderId="0"/>
    <xf numFmtId="0" fontId="25" fillId="0" borderId="0"/>
  </cellStyleXfs>
  <cellXfs count="158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0" fontId="2" fillId="2" borderId="2" xfId="0" applyFont="1" applyFill="1" applyBorder="1"/>
    <xf numFmtId="165" fontId="0" fillId="0" borderId="6" xfId="1" applyNumberFormat="1" applyFont="1" applyBorder="1"/>
    <xf numFmtId="0" fontId="0" fillId="0" borderId="6" xfId="0" applyBorder="1"/>
    <xf numFmtId="0" fontId="2" fillId="2" borderId="7" xfId="0" applyFont="1" applyFill="1" applyBorder="1"/>
    <xf numFmtId="165" fontId="0" fillId="0" borderId="0" xfId="0" applyNumberFormat="1"/>
    <xf numFmtId="0" fontId="4" fillId="0" borderId="5" xfId="2" applyFont="1" applyBorder="1" applyAlignment="1">
      <alignment horizontal="center" vertical="center" wrapText="1"/>
    </xf>
    <xf numFmtId="165" fontId="4" fillId="0" borderId="5" xfId="2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7" fillId="4" borderId="5" xfId="2" applyFont="1" applyFill="1" applyBorder="1" applyAlignment="1">
      <alignment horizontal="center" vertical="center" wrapText="1"/>
    </xf>
    <xf numFmtId="0" fontId="2" fillId="5" borderId="0" xfId="0" applyFont="1" applyFill="1"/>
    <xf numFmtId="166" fontId="0" fillId="0" borderId="0" xfId="0" applyNumberFormat="1"/>
    <xf numFmtId="0" fontId="9" fillId="0" borderId="0" xfId="0" applyFont="1"/>
    <xf numFmtId="0" fontId="0" fillId="0" borderId="0" xfId="0" applyAlignment="1">
      <alignment vertical="center"/>
    </xf>
    <xf numFmtId="1" fontId="0" fillId="0" borderId="0" xfId="0" applyNumberFormat="1"/>
    <xf numFmtId="0" fontId="2" fillId="5" borderId="0" xfId="0" applyFont="1" applyFill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11" fillId="8" borderId="12" xfId="0" applyFont="1" applyFill="1" applyBorder="1" applyAlignment="1">
      <alignment horizontal="center" vertical="center" wrapText="1"/>
    </xf>
    <xf numFmtId="0" fontId="14" fillId="9" borderId="13" xfId="0" applyFont="1" applyFill="1" applyBorder="1" applyAlignment="1">
      <alignment horizontal="center" vertical="center" wrapText="1"/>
    </xf>
    <xf numFmtId="0" fontId="13" fillId="10" borderId="0" xfId="0" applyFont="1" applyFill="1" applyAlignment="1">
      <alignment horizontal="center" vertical="center" wrapText="1"/>
    </xf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17" fillId="0" borderId="0" xfId="0" applyFont="1"/>
    <xf numFmtId="0" fontId="11" fillId="8" borderId="0" xfId="0" applyFont="1" applyFill="1" applyAlignment="1">
      <alignment vertical="center" wrapText="1"/>
    </xf>
    <xf numFmtId="0" fontId="19" fillId="4" borderId="14" xfId="2" applyFont="1" applyFill="1" applyBorder="1" applyAlignment="1">
      <alignment vertical="center" wrapText="1"/>
    </xf>
    <xf numFmtId="0" fontId="19" fillId="4" borderId="10" xfId="2" applyFont="1" applyFill="1" applyBorder="1" applyAlignment="1">
      <alignment vertical="center" wrapText="1"/>
    </xf>
    <xf numFmtId="0" fontId="19" fillId="4" borderId="1" xfId="2" applyFont="1" applyFill="1" applyBorder="1" applyAlignment="1">
      <alignment vertical="center" wrapText="1"/>
    </xf>
    <xf numFmtId="0" fontId="18" fillId="4" borderId="0" xfId="0" applyFont="1" applyFill="1"/>
    <xf numFmtId="0" fontId="18" fillId="4" borderId="10" xfId="0" applyFont="1" applyFill="1" applyBorder="1"/>
    <xf numFmtId="0" fontId="20" fillId="0" borderId="0" xfId="0" applyFont="1"/>
    <xf numFmtId="0" fontId="16" fillId="15" borderId="0" xfId="0" applyFont="1" applyFill="1" applyAlignment="1">
      <alignment horizontal="center" vertical="center" wrapText="1"/>
    </xf>
    <xf numFmtId="0" fontId="16" fillId="15" borderId="0" xfId="0" applyFont="1" applyFill="1" applyAlignment="1">
      <alignment horizontal="center" vertical="center"/>
    </xf>
    <xf numFmtId="0" fontId="11" fillId="8" borderId="15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left" vertical="center" wrapText="1"/>
    </xf>
    <xf numFmtId="0" fontId="21" fillId="7" borderId="1" xfId="0" applyFont="1" applyFill="1" applyBorder="1" applyAlignment="1">
      <alignment horizontal="left" vertical="center" wrapText="1"/>
    </xf>
    <xf numFmtId="0" fontId="21" fillId="7" borderId="1" xfId="0" applyFont="1" applyFill="1" applyBorder="1" applyAlignment="1">
      <alignment horizontal="center" vertical="center" wrapText="1"/>
    </xf>
    <xf numFmtId="168" fontId="22" fillId="11" borderId="1" xfId="0" applyNumberFormat="1" applyFont="1" applyFill="1" applyBorder="1" applyAlignment="1">
      <alignment horizontal="center" vertical="center" wrapText="1"/>
    </xf>
    <xf numFmtId="168" fontId="22" fillId="12" borderId="1" xfId="0" applyNumberFormat="1" applyFont="1" applyFill="1" applyBorder="1" applyAlignment="1">
      <alignment horizontal="center" vertical="center" wrapText="1"/>
    </xf>
    <xf numFmtId="169" fontId="16" fillId="16" borderId="1" xfId="0" applyNumberFormat="1" applyFont="1" applyFill="1" applyBorder="1" applyAlignment="1">
      <alignment horizontal="center" vertical="center"/>
    </xf>
    <xf numFmtId="170" fontId="16" fillId="16" borderId="1" xfId="0" applyNumberFormat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 wrapText="1"/>
    </xf>
    <xf numFmtId="0" fontId="15" fillId="0" borderId="1" xfId="0" applyFont="1" applyBorder="1"/>
    <xf numFmtId="0" fontId="7" fillId="4" borderId="14" xfId="2" applyFont="1" applyFill="1" applyBorder="1" applyAlignment="1">
      <alignment horizontal="center" vertical="center" wrapText="1"/>
    </xf>
    <xf numFmtId="165" fontId="0" fillId="0" borderId="2" xfId="0" applyNumberFormat="1" applyBorder="1" applyAlignment="1">
      <alignment horizontal="center"/>
    </xf>
    <xf numFmtId="0" fontId="7" fillId="4" borderId="1" xfId="2" applyFont="1" applyFill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/>
    </xf>
    <xf numFmtId="166" fontId="0" fillId="0" borderId="1" xfId="0" applyNumberFormat="1" applyBorder="1"/>
    <xf numFmtId="1" fontId="0" fillId="0" borderId="1" xfId="0" applyNumberFormat="1" applyBorder="1" applyAlignment="1">
      <alignment horizontal="center"/>
    </xf>
    <xf numFmtId="0" fontId="2" fillId="2" borderId="16" xfId="0" applyFont="1" applyFill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21" fillId="17" borderId="0" xfId="0" applyFont="1" applyFill="1"/>
    <xf numFmtId="0" fontId="21" fillId="18" borderId="0" xfId="0" applyFont="1" applyFill="1"/>
    <xf numFmtId="167" fontId="21" fillId="18" borderId="0" xfId="0" applyNumberFormat="1" applyFont="1" applyFill="1"/>
    <xf numFmtId="169" fontId="16" fillId="19" borderId="0" xfId="0" applyNumberFormat="1" applyFont="1" applyFill="1"/>
    <xf numFmtId="171" fontId="0" fillId="0" borderId="5" xfId="0" applyNumberFormat="1" applyBorder="1" applyAlignment="1">
      <alignment horizontal="center" vertical="center"/>
    </xf>
    <xf numFmtId="0" fontId="9" fillId="20" borderId="0" xfId="0" applyFont="1" applyFill="1"/>
    <xf numFmtId="0" fontId="0" fillId="20" borderId="0" xfId="0" applyFill="1"/>
    <xf numFmtId="2" fontId="0" fillId="0" borderId="1" xfId="0" applyNumberFormat="1" applyBorder="1"/>
    <xf numFmtId="172" fontId="0" fillId="0" borderId="1" xfId="0" applyNumberFormat="1" applyBorder="1" applyAlignment="1">
      <alignment horizontal="center"/>
    </xf>
    <xf numFmtId="0" fontId="2" fillId="0" borderId="0" xfId="0" applyFont="1"/>
    <xf numFmtId="172" fontId="0" fillId="0" borderId="1" xfId="0" applyNumberFormat="1" applyBorder="1"/>
    <xf numFmtId="173" fontId="0" fillId="0" borderId="0" xfId="1" applyNumberFormat="1" applyFont="1"/>
    <xf numFmtId="164" fontId="0" fillId="0" borderId="0" xfId="0" applyNumberFormat="1"/>
    <xf numFmtId="1" fontId="0" fillId="0" borderId="1" xfId="0" applyNumberFormat="1" applyBorder="1"/>
    <xf numFmtId="0" fontId="0" fillId="0" borderId="5" xfId="0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6" fontId="0" fillId="0" borderId="5" xfId="0" applyNumberFormat="1" applyBorder="1"/>
    <xf numFmtId="166" fontId="0" fillId="0" borderId="0" xfId="0" applyNumberFormat="1" applyAlignment="1">
      <alignment horizontal="center"/>
    </xf>
    <xf numFmtId="0" fontId="0" fillId="0" borderId="8" xfId="0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66" fontId="0" fillId="0" borderId="8" xfId="0" applyNumberFormat="1" applyBorder="1"/>
    <xf numFmtId="0" fontId="24" fillId="21" borderId="0" xfId="0" applyFont="1" applyFill="1" applyAlignment="1">
      <alignment horizontal="center" vertical="center" wrapText="1"/>
    </xf>
    <xf numFmtId="0" fontId="0" fillId="22" borderId="0" xfId="0" applyFill="1"/>
    <xf numFmtId="0" fontId="0" fillId="23" borderId="0" xfId="0" applyFill="1"/>
    <xf numFmtId="0" fontId="0" fillId="1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15" fillId="27" borderId="0" xfId="0" applyFont="1" applyFill="1" applyAlignment="1">
      <alignment horizontal="center" vertical="center"/>
    </xf>
    <xf numFmtId="0" fontId="15" fillId="14" borderId="0" xfId="0" applyFont="1" applyFill="1" applyAlignment="1">
      <alignment horizontal="center" vertical="center"/>
    </xf>
    <xf numFmtId="0" fontId="23" fillId="27" borderId="0" xfId="0" applyFont="1" applyFill="1" applyAlignment="1">
      <alignment horizontal="center" vertical="center"/>
    </xf>
    <xf numFmtId="0" fontId="23" fillId="14" borderId="0" xfId="0" applyFont="1" applyFill="1" applyAlignment="1">
      <alignment horizontal="center" vertical="center"/>
    </xf>
    <xf numFmtId="0" fontId="21" fillId="0" borderId="1" xfId="0" applyFont="1" applyBorder="1" applyAlignment="1">
      <alignment horizontal="left" vertical="center" wrapText="1"/>
    </xf>
    <xf numFmtId="0" fontId="21" fillId="0" borderId="1" xfId="0" applyFont="1" applyBorder="1" applyAlignment="1">
      <alignment vertical="center" wrapText="1"/>
    </xf>
    <xf numFmtId="0" fontId="21" fillId="28" borderId="1" xfId="0" applyFont="1" applyFill="1" applyBorder="1" applyAlignment="1">
      <alignment horizontal="left" vertical="center" wrapText="1"/>
    </xf>
    <xf numFmtId="0" fontId="13" fillId="28" borderId="1" xfId="0" applyFont="1" applyFill="1" applyBorder="1" applyAlignment="1">
      <alignment horizontal="left" vertical="center" wrapText="1"/>
    </xf>
    <xf numFmtId="0" fontId="21" fillId="28" borderId="1" xfId="0" applyFont="1" applyFill="1" applyBorder="1" applyAlignment="1">
      <alignment horizontal="center" vertical="center" wrapText="1"/>
    </xf>
    <xf numFmtId="168" fontId="22" fillId="28" borderId="1" xfId="0" applyNumberFormat="1" applyFont="1" applyFill="1" applyBorder="1" applyAlignment="1">
      <alignment horizontal="center" vertical="center" wrapText="1"/>
    </xf>
    <xf numFmtId="0" fontId="15" fillId="29" borderId="1" xfId="0" applyFont="1" applyFill="1" applyBorder="1"/>
    <xf numFmtId="169" fontId="16" fillId="30" borderId="1" xfId="0" applyNumberFormat="1" applyFont="1" applyFill="1" applyBorder="1" applyAlignment="1">
      <alignment horizontal="center" vertical="center"/>
    </xf>
    <xf numFmtId="170" fontId="16" fillId="30" borderId="1" xfId="0" applyNumberFormat="1" applyFont="1" applyFill="1" applyBorder="1" applyAlignment="1">
      <alignment horizontal="center" vertical="center"/>
    </xf>
    <xf numFmtId="169" fontId="16" fillId="31" borderId="0" xfId="0" applyNumberFormat="1" applyFont="1" applyFill="1"/>
    <xf numFmtId="0" fontId="21" fillId="29" borderId="1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9" fontId="1" fillId="0" borderId="1" xfId="0" applyNumberFormat="1" applyFont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1" xfId="0" applyNumberFormat="1" applyFont="1" applyBorder="1"/>
    <xf numFmtId="0" fontId="25" fillId="0" borderId="1" xfId="4" applyBorder="1" applyAlignment="1">
      <alignment vertical="center"/>
    </xf>
    <xf numFmtId="2" fontId="0" fillId="0" borderId="0" xfId="0" applyNumberFormat="1"/>
    <xf numFmtId="0" fontId="12" fillId="32" borderId="0" xfId="0" applyFont="1" applyFill="1" applyAlignment="1">
      <alignment horizontal="left" vertical="center" wrapText="1"/>
    </xf>
    <xf numFmtId="0" fontId="12" fillId="32" borderId="0" xfId="0" applyFont="1" applyFill="1" applyAlignment="1">
      <alignment horizontal="center" vertical="center" wrapText="1"/>
    </xf>
    <xf numFmtId="0" fontId="12" fillId="13" borderId="0" xfId="0" applyFont="1" applyFill="1" applyAlignment="1">
      <alignment horizontal="left" vertical="center" wrapText="1"/>
    </xf>
    <xf numFmtId="0" fontId="12" fillId="13" borderId="0" xfId="0" applyFont="1" applyFill="1" applyAlignment="1">
      <alignment horizontal="center" vertical="center" wrapText="1"/>
    </xf>
    <xf numFmtId="0" fontId="12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15" fillId="14" borderId="1" xfId="0" applyFont="1" applyFill="1" applyBorder="1" applyAlignment="1">
      <alignment horizontal="center"/>
    </xf>
    <xf numFmtId="169" fontId="26" fillId="16" borderId="1" xfId="0" applyNumberFormat="1" applyFont="1" applyFill="1" applyBorder="1" applyAlignment="1">
      <alignment horizontal="center" vertical="center"/>
    </xf>
    <xf numFmtId="170" fontId="26" fillId="16" borderId="1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74" fontId="0" fillId="0" borderId="1" xfId="0" applyNumberFormat="1" applyBorder="1" applyAlignment="1">
      <alignment horizontal="center"/>
    </xf>
    <xf numFmtId="174" fontId="0" fillId="0" borderId="2" xfId="0" applyNumberFormat="1" applyBorder="1" applyAlignment="1">
      <alignment horizontal="center"/>
    </xf>
    <xf numFmtId="174" fontId="1" fillId="0" borderId="1" xfId="0" applyNumberFormat="1" applyFont="1" applyBorder="1" applyAlignment="1">
      <alignment horizontal="center"/>
    </xf>
    <xf numFmtId="174" fontId="1" fillId="0" borderId="2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23" fillId="14" borderId="1" xfId="0" applyFont="1" applyFill="1" applyBorder="1"/>
    <xf numFmtId="165" fontId="23" fillId="14" borderId="1" xfId="0" applyNumberFormat="1" applyFont="1" applyFill="1" applyBorder="1"/>
    <xf numFmtId="0" fontId="7" fillId="2" borderId="3" xfId="2" applyFont="1" applyFill="1" applyBorder="1" applyAlignment="1">
      <alignment horizontal="center"/>
    </xf>
    <xf numFmtId="0" fontId="0" fillId="0" borderId="3" xfId="0" applyBorder="1"/>
    <xf numFmtId="0" fontId="5" fillId="33" borderId="8" xfId="2" applyFont="1" applyFill="1" applyBorder="1" applyAlignment="1">
      <alignment horizontal="center" vertical="center" wrapText="1"/>
    </xf>
    <xf numFmtId="0" fontId="0" fillId="33" borderId="8" xfId="0" applyFill="1" applyBorder="1"/>
    <xf numFmtId="0" fontId="7" fillId="2" borderId="11" xfId="2" applyFont="1" applyFill="1" applyBorder="1" applyAlignment="1">
      <alignment horizontal="center"/>
    </xf>
    <xf numFmtId="0" fontId="0" fillId="0" borderId="11" xfId="0" applyBorder="1"/>
    <xf numFmtId="0" fontId="5" fillId="33" borderId="5" xfId="2" applyFont="1" applyFill="1" applyBorder="1" applyAlignment="1">
      <alignment horizontal="center" vertical="center" wrapText="1"/>
    </xf>
    <xf numFmtId="0" fontId="0" fillId="33" borderId="9" xfId="0" applyFill="1" applyBorder="1"/>
    <xf numFmtId="0" fontId="5" fillId="33" borderId="3" xfId="2" applyFont="1" applyFill="1" applyBorder="1" applyAlignment="1">
      <alignment horizontal="center" vertical="center" wrapText="1"/>
    </xf>
    <xf numFmtId="0" fontId="0" fillId="33" borderId="3" xfId="0" applyFill="1" applyBorder="1"/>
    <xf numFmtId="0" fontId="5" fillId="33" borderId="14" xfId="2" applyFont="1" applyFill="1" applyBorder="1" applyAlignment="1">
      <alignment horizontal="center" vertical="center" wrapText="1"/>
    </xf>
    <xf numFmtId="0" fontId="5" fillId="33" borderId="16" xfId="2" applyFont="1" applyFill="1" applyBorder="1" applyAlignment="1">
      <alignment horizontal="center" vertical="center" wrapText="1"/>
    </xf>
    <xf numFmtId="0" fontId="0" fillId="33" borderId="4" xfId="0" applyFill="1" applyBorder="1"/>
    <xf numFmtId="0" fontId="5" fillId="4" borderId="3" xfId="2" applyFont="1" applyFill="1" applyBorder="1" applyAlignment="1">
      <alignment horizontal="center" vertical="center" wrapText="1"/>
    </xf>
    <xf numFmtId="0" fontId="5" fillId="4" borderId="8" xfId="2" applyFont="1" applyFill="1" applyBorder="1" applyAlignment="1">
      <alignment horizontal="center" vertical="center" wrapText="1"/>
    </xf>
    <xf numFmtId="0" fontId="0" fillId="0" borderId="8" xfId="0" applyBorder="1"/>
    <xf numFmtId="0" fontId="5" fillId="4" borderId="5" xfId="2" applyFont="1" applyFill="1" applyBorder="1" applyAlignment="1">
      <alignment horizontal="center" vertical="center" wrapText="1"/>
    </xf>
    <xf numFmtId="0" fontId="0" fillId="0" borderId="9" xfId="0" applyBorder="1"/>
    <xf numFmtId="0" fontId="5" fillId="4" borderId="11" xfId="2" applyFont="1" applyFill="1" applyBorder="1" applyAlignment="1">
      <alignment horizontal="center" vertical="center" wrapText="1"/>
    </xf>
    <xf numFmtId="0" fontId="5" fillId="4" borderId="14" xfId="2" applyFont="1" applyFill="1" applyBorder="1" applyAlignment="1">
      <alignment horizontal="center" vertical="center" wrapText="1"/>
    </xf>
    <xf numFmtId="0" fontId="5" fillId="4" borderId="16" xfId="2" applyFont="1" applyFill="1" applyBorder="1" applyAlignment="1">
      <alignment horizontal="center" vertical="center" wrapText="1"/>
    </xf>
    <xf numFmtId="0" fontId="0" fillId="0" borderId="4" xfId="0" applyBorder="1"/>
  </cellXfs>
  <cellStyles count="5">
    <cellStyle name="Comma" xfId="1" builtinId="3"/>
    <cellStyle name="Comma 2" xfId="3" xr:uid="{00000000-0005-0000-0000-000003000000}"/>
    <cellStyle name="Normal" xfId="0" builtinId="0"/>
    <cellStyle name="Normal 2" xfId="4" xr:uid="{EC773217-C71B-45E2-8596-CB3257E3F9FB}"/>
    <cellStyle name="Normal 2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210703</xdr:colOff>
      <xdr:row>1</xdr:row>
      <xdr:rowOff>149129</xdr:rowOff>
    </xdr:from>
    <xdr:to>
      <xdr:col>24</xdr:col>
      <xdr:colOff>174721</xdr:colOff>
      <xdr:row>5</xdr:row>
      <xdr:rowOff>121103</xdr:rowOff>
    </xdr:to>
    <xdr:pic macro="[0]!RecalcWeights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240643" y="503189"/>
          <a:ext cx="1303290" cy="710883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20</xdr:col>
      <xdr:colOff>43665</xdr:colOff>
      <xdr:row>9</xdr:row>
      <xdr:rowOff>0</xdr:rowOff>
    </xdr:from>
    <xdr:to>
      <xdr:col>23</xdr:col>
      <xdr:colOff>154487</xdr:colOff>
      <xdr:row>11</xdr:row>
      <xdr:rowOff>135776</xdr:rowOff>
    </xdr:to>
    <xdr:sp macro="[0]!ExportSauce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5A2C3AA-4579-4624-9DD8-537D66199FB2}"/>
            </a:ext>
          </a:extLst>
        </xdr:cNvPr>
        <xdr:cNvSpPr/>
      </xdr:nvSpPr>
      <xdr:spPr>
        <a:xfrm>
          <a:off x="23629379" y="1968500"/>
          <a:ext cx="818394" cy="498633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>
              <a:solidFill>
                <a:schemeClr val="bg1"/>
              </a:solidFill>
            </a:rPr>
            <a:t>Day 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27214</xdr:colOff>
      <xdr:row>14</xdr:row>
      <xdr:rowOff>27741</xdr:rowOff>
    </xdr:from>
    <xdr:to>
      <xdr:col>23</xdr:col>
      <xdr:colOff>225959</xdr:colOff>
      <xdr:row>19</xdr:row>
      <xdr:rowOff>13722</xdr:rowOff>
    </xdr:to>
    <xdr:sp macro="[0]!UpdateRecipeData" textlink="">
      <xdr:nvSpPr>
        <xdr:cNvPr id="4" name="Lightning Bolt 3">
          <a:extLst>
            <a:ext uri="{FF2B5EF4-FFF2-40B4-BE49-F238E27FC236}">
              <a16:creationId xmlns:a16="http://schemas.microsoft.com/office/drawing/2014/main" id="{811EE6F3-594B-4732-8BE8-C0A67777D327}"/>
            </a:ext>
          </a:extLst>
        </xdr:cNvPr>
        <xdr:cNvSpPr/>
      </xdr:nvSpPr>
      <xdr:spPr>
        <a:xfrm>
          <a:off x="23848785" y="2903384"/>
          <a:ext cx="670460" cy="893124"/>
        </a:xfrm>
        <a:prstGeom prst="lightningBol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8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6D355D5-C58B-41E2-8E1D-38165D44C41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f995636a-c246-44ab-8832-e8e23f192e66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8" tint="-0.249977111117893"/>
  </sheetPr>
  <dimension ref="A1:AI83"/>
  <sheetViews>
    <sheetView tabSelected="1" topLeftCell="C1" zoomScale="55" zoomScaleNormal="55" workbookViewId="0">
      <pane ySplit="1" topLeftCell="A2" activePane="bottomLeft" state="frozen"/>
      <selection pane="bottomLeft" activeCell="Q5" sqref="Q5"/>
    </sheetView>
  </sheetViews>
  <sheetFormatPr defaultRowHeight="15" x14ac:dyDescent="0.25"/>
  <cols>
    <col min="1" max="1" width="41.85546875" bestFit="1" customWidth="1"/>
    <col min="2" max="2" width="27.5703125" customWidth="1"/>
    <col min="3" max="3" width="8" customWidth="1"/>
    <col min="4" max="4" width="14" customWidth="1"/>
    <col min="5" max="5" width="15.7109375" customWidth="1"/>
    <col min="6" max="6" width="13.140625" customWidth="1"/>
    <col min="7" max="7" width="18.42578125" customWidth="1"/>
    <col min="8" max="8" width="29.42578125" customWidth="1"/>
    <col min="9" max="9" width="22.140625" customWidth="1"/>
    <col min="10" max="10" width="33.42578125" customWidth="1"/>
    <col min="11" max="11" width="17.5703125" customWidth="1"/>
    <col min="12" max="12" width="19" customWidth="1"/>
    <col min="13" max="15" width="5.85546875" customWidth="1"/>
    <col min="16" max="16" width="4.42578125" customWidth="1"/>
    <col min="17" max="17" width="19.42578125" customWidth="1"/>
    <col min="18" max="18" width="6.140625" customWidth="1"/>
    <col min="19" max="26" width="3.140625" customWidth="1"/>
    <col min="27" max="27" width="29.7109375" customWidth="1"/>
    <col min="28" max="29" width="14" customWidth="1"/>
    <col min="30" max="30" width="3.5703125" customWidth="1"/>
    <col min="31" max="31" width="25.42578125" customWidth="1"/>
    <col min="33" max="33" width="2.85546875" customWidth="1"/>
    <col min="34" max="34" width="30.7109375" customWidth="1"/>
  </cols>
  <sheetData>
    <row r="1" spans="1:35" ht="40.5" customHeight="1" thickBot="1" x14ac:dyDescent="0.3">
      <c r="A1" s="45" t="s">
        <v>0</v>
      </c>
      <c r="B1" s="45" t="s">
        <v>1</v>
      </c>
      <c r="C1" s="45" t="s">
        <v>2</v>
      </c>
      <c r="D1" s="45" t="s">
        <v>3</v>
      </c>
      <c r="E1" s="45" t="s">
        <v>4</v>
      </c>
      <c r="F1" s="45" t="s">
        <v>5</v>
      </c>
      <c r="G1" s="43" t="s">
        <v>6</v>
      </c>
      <c r="H1" s="44" t="s">
        <v>7</v>
      </c>
      <c r="I1" s="43" t="s">
        <v>8</v>
      </c>
      <c r="J1" s="43" t="s">
        <v>9</v>
      </c>
      <c r="K1" s="45" t="s">
        <v>10</v>
      </c>
      <c r="L1" s="45" t="s">
        <v>11</v>
      </c>
      <c r="M1" s="45" t="s">
        <v>12</v>
      </c>
      <c r="N1" s="45" t="s">
        <v>13</v>
      </c>
      <c r="O1" s="28" t="s">
        <v>14</v>
      </c>
      <c r="Q1" s="27" t="s">
        <v>15</v>
      </c>
      <c r="R1" s="29">
        <v>4</v>
      </c>
      <c r="AA1" s="36" t="s">
        <v>16</v>
      </c>
      <c r="AB1" s="36"/>
      <c r="AC1" s="36"/>
      <c r="AE1" s="84" t="s">
        <v>17</v>
      </c>
      <c r="AF1" s="84" t="s">
        <v>18</v>
      </c>
      <c r="AH1" s="84" t="s">
        <v>17</v>
      </c>
      <c r="AI1" s="84" t="s">
        <v>18</v>
      </c>
    </row>
    <row r="2" spans="1:35" x14ac:dyDescent="0.25">
      <c r="A2" s="53"/>
      <c r="B2" s="53"/>
      <c r="C2" s="53"/>
      <c r="D2" s="53"/>
      <c r="E2" s="53"/>
      <c r="F2" s="53"/>
      <c r="G2" s="43"/>
      <c r="H2" s="44"/>
      <c r="I2" s="43"/>
      <c r="J2" s="43"/>
      <c r="K2" s="53"/>
      <c r="L2" s="53"/>
      <c r="M2" s="53"/>
      <c r="N2" s="53"/>
      <c r="O2" s="53"/>
      <c r="AA2" s="30" t="s">
        <v>19</v>
      </c>
      <c r="AB2" s="30" t="s">
        <v>295</v>
      </c>
      <c r="AC2" s="30" t="s">
        <v>20</v>
      </c>
      <c r="AE2" s="85" t="s">
        <v>21</v>
      </c>
      <c r="AF2" s="85">
        <v>59</v>
      </c>
      <c r="AH2" s="86" t="s">
        <v>22</v>
      </c>
      <c r="AI2" s="86">
        <v>63</v>
      </c>
    </row>
    <row r="3" spans="1:35" x14ac:dyDescent="0.25">
      <c r="A3" s="47" t="s">
        <v>23</v>
      </c>
      <c r="B3" s="46" t="s">
        <v>24</v>
      </c>
      <c r="C3" s="48" t="s">
        <v>25</v>
      </c>
      <c r="D3" s="49">
        <v>9348.625</v>
      </c>
      <c r="E3" s="50">
        <v>27753.289723032074</v>
      </c>
      <c r="F3" s="54">
        <v>1</v>
      </c>
      <c r="G3" s="51">
        <v>10000</v>
      </c>
      <c r="H3" s="51" t="s">
        <v>26</v>
      </c>
      <c r="I3" s="52">
        <v>66.959999999999994</v>
      </c>
      <c r="J3" s="52">
        <f>I3/(G3/1000)</f>
        <v>6.6959999999999997</v>
      </c>
      <c r="K3" s="66">
        <f>(E3/F3)/G3</f>
        <v>2.7753289723032073</v>
      </c>
      <c r="L3" s="66">
        <f>(D3/F3)/G3</f>
        <v>0.93486250000000004</v>
      </c>
      <c r="M3" s="66" t="s">
        <v>27</v>
      </c>
      <c r="N3" s="66">
        <f>K3*I3</f>
        <v>185.83602798542273</v>
      </c>
      <c r="O3" s="66">
        <f>L3*I3</f>
        <v>62.598392999999994</v>
      </c>
      <c r="AA3" s="25" t="s">
        <v>296</v>
      </c>
      <c r="AB3" s="26"/>
      <c r="AC3" s="30"/>
      <c r="AE3" s="85" t="s">
        <v>29</v>
      </c>
      <c r="AF3" s="85">
        <v>63</v>
      </c>
      <c r="AH3" s="86" t="s">
        <v>30</v>
      </c>
      <c r="AI3" s="86">
        <v>49</v>
      </c>
    </row>
    <row r="4" spans="1:35" x14ac:dyDescent="0.25">
      <c r="A4" s="97"/>
      <c r="B4" s="98"/>
      <c r="C4" s="99"/>
      <c r="D4" s="100"/>
      <c r="E4" s="100"/>
      <c r="F4" s="101"/>
      <c r="G4" s="102"/>
      <c r="H4" s="102"/>
      <c r="I4" s="103"/>
      <c r="J4" s="103"/>
      <c r="K4" s="104"/>
      <c r="L4" s="104"/>
      <c r="M4" s="104"/>
      <c r="N4" s="104"/>
      <c r="O4" s="104"/>
      <c r="AA4" s="115" t="s">
        <v>28</v>
      </c>
      <c r="AB4" s="116">
        <v>1</v>
      </c>
      <c r="AC4" s="116">
        <f>AF2+AF12</f>
        <v>214</v>
      </c>
      <c r="AE4" s="85" t="s">
        <v>32</v>
      </c>
      <c r="AF4" s="85">
        <v>182</v>
      </c>
      <c r="AH4" s="86" t="s">
        <v>33</v>
      </c>
      <c r="AI4" s="86">
        <v>172</v>
      </c>
    </row>
    <row r="5" spans="1:35" x14ac:dyDescent="0.25">
      <c r="A5" s="95" t="s">
        <v>34</v>
      </c>
      <c r="B5" s="46" t="s">
        <v>35</v>
      </c>
      <c r="C5" s="48" t="s">
        <v>36</v>
      </c>
      <c r="D5" s="49">
        <v>472.79005524861896</v>
      </c>
      <c r="E5" s="50">
        <v>3212.1541059781375</v>
      </c>
      <c r="F5" s="54">
        <v>1</v>
      </c>
      <c r="G5" s="51">
        <v>12000</v>
      </c>
      <c r="H5" s="51" t="s">
        <v>37</v>
      </c>
      <c r="I5" s="52">
        <v>60</v>
      </c>
      <c r="J5" s="52">
        <f t="shared" ref="J5:J14" si="0">I5/(G5/1000)</f>
        <v>5</v>
      </c>
      <c r="K5" s="66">
        <f t="shared" ref="K5:K14" si="1">(E5/F5)/G5</f>
        <v>0.26767950883151148</v>
      </c>
      <c r="L5" s="66">
        <f t="shared" ref="L5:L14" si="2">(D5/F5)/G5</f>
        <v>3.9399171270718243E-2</v>
      </c>
      <c r="M5" s="66" t="s">
        <v>38</v>
      </c>
      <c r="N5" s="66">
        <f t="shared" ref="N5:N14" si="3">K5*I5</f>
        <v>16.060770529890689</v>
      </c>
      <c r="O5" s="66">
        <f t="shared" ref="O5:O14" si="4">L5*I5</f>
        <v>2.3639502762430946</v>
      </c>
      <c r="AA5" s="115" t="s">
        <v>31</v>
      </c>
      <c r="AB5" s="116">
        <v>1</v>
      </c>
      <c r="AC5" s="116">
        <f>AF2+AF12</f>
        <v>214</v>
      </c>
      <c r="AE5" s="85" t="s">
        <v>40</v>
      </c>
      <c r="AF5" s="85">
        <v>156</v>
      </c>
      <c r="AH5" s="86" t="s">
        <v>41</v>
      </c>
      <c r="AI5" s="86">
        <v>28</v>
      </c>
    </row>
    <row r="6" spans="1:35" x14ac:dyDescent="0.25">
      <c r="A6" s="95" t="s">
        <v>42</v>
      </c>
      <c r="B6" s="46" t="s">
        <v>35</v>
      </c>
      <c r="C6" s="48" t="s">
        <v>25</v>
      </c>
      <c r="D6" s="49">
        <v>8728.6120351455866</v>
      </c>
      <c r="E6" s="50">
        <v>54067.318697219089</v>
      </c>
      <c r="F6" s="54">
        <v>1</v>
      </c>
      <c r="G6" s="51">
        <f>4*3700</f>
        <v>14800</v>
      </c>
      <c r="H6" s="51" t="s">
        <v>43</v>
      </c>
      <c r="I6" s="52">
        <v>95</v>
      </c>
      <c r="J6" s="52">
        <f t="shared" si="0"/>
        <v>6.4189189189189184</v>
      </c>
      <c r="K6" s="66">
        <f t="shared" si="1"/>
        <v>3.6531972092715601</v>
      </c>
      <c r="L6" s="66">
        <f t="shared" si="2"/>
        <v>0.58977108345578289</v>
      </c>
      <c r="M6" s="66" t="s">
        <v>38</v>
      </c>
      <c r="N6" s="66">
        <f t="shared" si="3"/>
        <v>347.05373488079823</v>
      </c>
      <c r="O6" s="66">
        <f t="shared" si="4"/>
        <v>56.028252928299374</v>
      </c>
      <c r="AA6" s="115" t="s">
        <v>39</v>
      </c>
      <c r="AB6" s="116">
        <v>1</v>
      </c>
      <c r="AC6" s="116">
        <f>AF7</f>
        <v>150</v>
      </c>
      <c r="AE6" s="85" t="s">
        <v>41</v>
      </c>
      <c r="AF6" s="85">
        <v>26</v>
      </c>
      <c r="AH6" s="86" t="s">
        <v>45</v>
      </c>
      <c r="AI6" s="86">
        <v>144</v>
      </c>
    </row>
    <row r="7" spans="1:35" x14ac:dyDescent="0.25">
      <c r="A7" s="95" t="s">
        <v>266</v>
      </c>
      <c r="B7" s="46" t="s">
        <v>35</v>
      </c>
      <c r="C7" s="48" t="s">
        <v>36</v>
      </c>
      <c r="D7" s="49">
        <v>0</v>
      </c>
      <c r="E7" s="50">
        <v>5589.8931416067526</v>
      </c>
      <c r="F7" s="54">
        <v>1</v>
      </c>
      <c r="G7" s="51">
        <f>3790*4</f>
        <v>15160</v>
      </c>
      <c r="H7" s="51" t="s">
        <v>268</v>
      </c>
      <c r="I7" s="52">
        <v>265</v>
      </c>
      <c r="J7" s="52">
        <f t="shared" ref="J7" si="5">I7/(G7/1000)</f>
        <v>17.480211081794195</v>
      </c>
      <c r="K7" s="66">
        <f t="shared" ref="K7" si="6">(E7/F7)/G7</f>
        <v>0.36872646052814989</v>
      </c>
      <c r="L7" s="66">
        <f t="shared" ref="L7" si="7">(D7/F7)/G7</f>
        <v>0</v>
      </c>
      <c r="M7" s="66" t="s">
        <v>38</v>
      </c>
      <c r="N7" s="66">
        <f t="shared" ref="N7" si="8">K7*I7</f>
        <v>97.712512039959719</v>
      </c>
      <c r="O7" s="66">
        <f t="shared" ref="O7" si="9">L7*I7</f>
        <v>0</v>
      </c>
      <c r="AA7" s="115" t="s">
        <v>44</v>
      </c>
      <c r="AB7" s="116">
        <v>1</v>
      </c>
      <c r="AC7" s="116">
        <f>AF19</f>
        <v>119</v>
      </c>
      <c r="AE7" s="85" t="s">
        <v>49</v>
      </c>
      <c r="AF7" s="85">
        <v>150</v>
      </c>
      <c r="AH7" s="86" t="s">
        <v>50</v>
      </c>
      <c r="AI7" s="86">
        <v>81</v>
      </c>
    </row>
    <row r="8" spans="1:35" x14ac:dyDescent="0.25">
      <c r="A8" s="95" t="s">
        <v>313</v>
      </c>
      <c r="B8" s="46" t="s">
        <v>35</v>
      </c>
      <c r="C8" s="48" t="s">
        <v>36</v>
      </c>
      <c r="D8" s="49">
        <v>0</v>
      </c>
      <c r="E8" s="50">
        <v>209.40919037199126</v>
      </c>
      <c r="F8" s="54">
        <v>1</v>
      </c>
      <c r="G8" s="125">
        <f>3700*4.5</f>
        <v>16650</v>
      </c>
      <c r="H8" s="125" t="s">
        <v>269</v>
      </c>
      <c r="I8" s="126">
        <v>36</v>
      </c>
      <c r="J8" s="126">
        <f t="shared" ref="J8:J10" si="10">I8/(G8/1000)</f>
        <v>2.1621621621621623</v>
      </c>
      <c r="K8" s="66">
        <f t="shared" ref="K8:K10" si="11">(E8/F8)/G8</f>
        <v>1.2577128550870346E-2</v>
      </c>
      <c r="L8" s="66">
        <f t="shared" ref="L8:L10" si="12">(D8/F8)/G8</f>
        <v>0</v>
      </c>
      <c r="M8" s="66" t="s">
        <v>38</v>
      </c>
      <c r="N8" s="66">
        <f t="shared" ref="N8:N10" si="13">K8*I8</f>
        <v>0.45277662783133243</v>
      </c>
      <c r="O8" s="66">
        <f t="shared" ref="O8:O10" si="14">L8*I8</f>
        <v>0</v>
      </c>
      <c r="AA8" s="115" t="s">
        <v>48</v>
      </c>
      <c r="AB8" s="116">
        <v>1</v>
      </c>
      <c r="AC8" s="116">
        <f>AF7+AF21</f>
        <v>240</v>
      </c>
      <c r="AE8" s="85" t="s">
        <v>55</v>
      </c>
      <c r="AF8" s="85">
        <v>150</v>
      </c>
      <c r="AH8" s="86" t="s">
        <v>56</v>
      </c>
      <c r="AI8" s="86">
        <v>58</v>
      </c>
    </row>
    <row r="9" spans="1:35" x14ac:dyDescent="0.25">
      <c r="A9" s="95" t="s">
        <v>261</v>
      </c>
      <c r="B9" s="46" t="s">
        <v>35</v>
      </c>
      <c r="C9" s="48" t="s">
        <v>25</v>
      </c>
      <c r="D9" s="49">
        <v>0</v>
      </c>
      <c r="E9" s="50">
        <v>263.65979381443299</v>
      </c>
      <c r="F9" s="54">
        <v>1</v>
      </c>
      <c r="G9" s="51">
        <f>295*12</f>
        <v>3540</v>
      </c>
      <c r="H9" s="51" t="s">
        <v>262</v>
      </c>
      <c r="I9" s="52">
        <v>125</v>
      </c>
      <c r="J9" s="52">
        <f t="shared" si="10"/>
        <v>35.310734463276837</v>
      </c>
      <c r="K9" s="66">
        <f t="shared" si="11"/>
        <v>7.4480167744190112E-2</v>
      </c>
      <c r="L9" s="66">
        <f t="shared" si="12"/>
        <v>0</v>
      </c>
      <c r="M9" s="66" t="s">
        <v>143</v>
      </c>
      <c r="N9" s="66">
        <f t="shared" si="13"/>
        <v>9.310020968023764</v>
      </c>
      <c r="O9" s="66">
        <f t="shared" si="14"/>
        <v>0</v>
      </c>
      <c r="AA9" s="115" t="s">
        <v>54</v>
      </c>
      <c r="AB9" s="116">
        <v>1</v>
      </c>
      <c r="AC9" s="116">
        <f>AF21</f>
        <v>90</v>
      </c>
      <c r="AE9" s="85" t="s">
        <v>60</v>
      </c>
      <c r="AF9" s="85">
        <v>112</v>
      </c>
      <c r="AH9" s="86" t="s">
        <v>41</v>
      </c>
      <c r="AI9" s="86">
        <v>23</v>
      </c>
    </row>
    <row r="10" spans="1:35" x14ac:dyDescent="0.25">
      <c r="A10" s="95" t="s">
        <v>267</v>
      </c>
      <c r="B10" s="46" t="s">
        <v>35</v>
      </c>
      <c r="C10" s="48" t="s">
        <v>36</v>
      </c>
      <c r="D10" s="49">
        <v>92.014647887323974</v>
      </c>
      <c r="E10" s="50">
        <v>207.40150503018108</v>
      </c>
      <c r="F10" s="54">
        <v>1</v>
      </c>
      <c r="G10" s="51">
        <f>3700*4.5</f>
        <v>16650</v>
      </c>
      <c r="H10" s="51" t="s">
        <v>269</v>
      </c>
      <c r="I10" s="52">
        <v>36</v>
      </c>
      <c r="J10" s="52">
        <f t="shared" si="10"/>
        <v>2.1621621621621623</v>
      </c>
      <c r="K10" s="66">
        <f t="shared" si="11"/>
        <v>1.2456546848659525E-2</v>
      </c>
      <c r="L10" s="66">
        <f t="shared" si="12"/>
        <v>5.5264052785179568E-3</v>
      </c>
      <c r="M10" s="66" t="s">
        <v>38</v>
      </c>
      <c r="N10" s="66">
        <f t="shared" si="13"/>
        <v>0.44843568655174293</v>
      </c>
      <c r="O10" s="66">
        <f t="shared" si="14"/>
        <v>0.19895059002664645</v>
      </c>
      <c r="AA10" s="115" t="s">
        <v>59</v>
      </c>
      <c r="AB10" s="116">
        <v>1</v>
      </c>
      <c r="AC10" s="116">
        <f>AF23+AF3</f>
        <v>118</v>
      </c>
      <c r="AE10" s="85" t="s">
        <v>63</v>
      </c>
      <c r="AF10" s="85">
        <v>25</v>
      </c>
      <c r="AH10" s="86" t="s">
        <v>64</v>
      </c>
      <c r="AI10" s="86">
        <v>136</v>
      </c>
    </row>
    <row r="11" spans="1:35" x14ac:dyDescent="0.25">
      <c r="A11" s="95" t="s">
        <v>46</v>
      </c>
      <c r="B11" s="46" t="s">
        <v>35</v>
      </c>
      <c r="C11" s="48" t="s">
        <v>25</v>
      </c>
      <c r="D11" s="49">
        <v>397.2597675201489</v>
      </c>
      <c r="E11" s="50">
        <v>3401.3604198363419</v>
      </c>
      <c r="F11" s="54">
        <v>1</v>
      </c>
      <c r="G11" s="51">
        <f>3780*4</f>
        <v>15120</v>
      </c>
      <c r="H11" s="51" t="s">
        <v>47</v>
      </c>
      <c r="I11" s="52">
        <v>170</v>
      </c>
      <c r="J11" s="52">
        <f t="shared" si="0"/>
        <v>11.243386243386244</v>
      </c>
      <c r="K11" s="66">
        <f t="shared" si="1"/>
        <v>0.22495769972462579</v>
      </c>
      <c r="L11" s="66">
        <f t="shared" si="2"/>
        <v>2.6273794148157996E-2</v>
      </c>
      <c r="M11" s="66" t="s">
        <v>38</v>
      </c>
      <c r="N11" s="66">
        <f t="shared" si="3"/>
        <v>38.242808953186383</v>
      </c>
      <c r="O11" s="66">
        <f t="shared" si="4"/>
        <v>4.4665450051868589</v>
      </c>
      <c r="AA11" s="115" t="s">
        <v>293</v>
      </c>
      <c r="AB11" s="116">
        <v>1</v>
      </c>
      <c r="AC11" s="116">
        <f>AF24</f>
        <v>179</v>
      </c>
      <c r="AE11" s="85" t="s">
        <v>65</v>
      </c>
      <c r="AF11" s="85">
        <v>87</v>
      </c>
      <c r="AH11" s="86" t="s">
        <v>55</v>
      </c>
      <c r="AI11" s="86">
        <v>136</v>
      </c>
    </row>
    <row r="12" spans="1:35" x14ac:dyDescent="0.25">
      <c r="A12" s="96" t="s">
        <v>51</v>
      </c>
      <c r="B12" s="46" t="s">
        <v>35</v>
      </c>
      <c r="C12" s="48" t="s">
        <v>25</v>
      </c>
      <c r="D12" s="49">
        <v>0</v>
      </c>
      <c r="E12" s="50">
        <v>7350.9516403402176</v>
      </c>
      <c r="F12" s="54">
        <v>1</v>
      </c>
      <c r="G12" s="51">
        <v>16000</v>
      </c>
      <c r="H12" s="51" t="s">
        <v>52</v>
      </c>
      <c r="I12" s="52">
        <v>160</v>
      </c>
      <c r="J12" s="52">
        <f t="shared" si="0"/>
        <v>10</v>
      </c>
      <c r="K12" s="66">
        <f t="shared" si="1"/>
        <v>0.4594344775212636</v>
      </c>
      <c r="L12" s="66">
        <f t="shared" si="2"/>
        <v>0</v>
      </c>
      <c r="M12" s="66" t="s">
        <v>53</v>
      </c>
      <c r="N12" s="66">
        <f t="shared" si="3"/>
        <v>73.509516403402174</v>
      </c>
      <c r="O12" s="66">
        <f t="shared" si="4"/>
        <v>0</v>
      </c>
      <c r="AA12" s="115" t="s">
        <v>294</v>
      </c>
      <c r="AB12" s="116">
        <v>1</v>
      </c>
      <c r="AC12" s="116">
        <f>AF24</f>
        <v>179</v>
      </c>
      <c r="AE12" s="85" t="s">
        <v>68</v>
      </c>
      <c r="AF12" s="85">
        <v>155</v>
      </c>
      <c r="AH12" s="86" t="s">
        <v>69</v>
      </c>
      <c r="AI12" s="86">
        <v>91</v>
      </c>
    </row>
    <row r="13" spans="1:35" x14ac:dyDescent="0.25">
      <c r="A13" s="95" t="s">
        <v>57</v>
      </c>
      <c r="B13" s="46" t="s">
        <v>35</v>
      </c>
      <c r="C13" s="48" t="s">
        <v>36</v>
      </c>
      <c r="D13" s="49">
        <v>421.69175627240145</v>
      </c>
      <c r="E13" s="50">
        <v>1210.9201433691755</v>
      </c>
      <c r="F13" s="54">
        <v>1</v>
      </c>
      <c r="G13" s="51">
        <f>355*6</f>
        <v>2130</v>
      </c>
      <c r="H13" s="51" t="s">
        <v>58</v>
      </c>
      <c r="I13" s="52">
        <v>125</v>
      </c>
      <c r="J13" s="52">
        <f t="shared" si="0"/>
        <v>58.685446009389672</v>
      </c>
      <c r="K13" s="66">
        <f t="shared" si="1"/>
        <v>0.56850710956299322</v>
      </c>
      <c r="L13" s="66">
        <f t="shared" si="2"/>
        <v>0.19797735036262978</v>
      </c>
      <c r="M13" s="66" t="s">
        <v>38</v>
      </c>
      <c r="N13" s="66">
        <f t="shared" si="3"/>
        <v>71.063388695374158</v>
      </c>
      <c r="O13" s="66">
        <f t="shared" si="4"/>
        <v>24.747168795328722</v>
      </c>
      <c r="AA13" s="117" t="s">
        <v>70</v>
      </c>
      <c r="AB13" s="118">
        <v>2</v>
      </c>
      <c r="AC13" s="118">
        <f>AF42</f>
        <v>232</v>
      </c>
      <c r="AE13" s="85" t="s">
        <v>41</v>
      </c>
      <c r="AF13" s="85">
        <v>27</v>
      </c>
      <c r="AH13" s="86" t="s">
        <v>41</v>
      </c>
      <c r="AI13" s="86">
        <v>16</v>
      </c>
    </row>
    <row r="14" spans="1:35" x14ac:dyDescent="0.25">
      <c r="A14" s="95" t="s">
        <v>61</v>
      </c>
      <c r="B14" s="46" t="s">
        <v>35</v>
      </c>
      <c r="C14" s="48" t="s">
        <v>36</v>
      </c>
      <c r="D14" s="49">
        <v>1019.9849462365592</v>
      </c>
      <c r="E14" s="50">
        <v>5593.4878727413807</v>
      </c>
      <c r="F14" s="54">
        <v>1</v>
      </c>
      <c r="G14" s="51">
        <f>4*5000</f>
        <v>20000</v>
      </c>
      <c r="H14" s="51" t="s">
        <v>62</v>
      </c>
      <c r="I14" s="52">
        <v>65</v>
      </c>
      <c r="J14" s="52">
        <f t="shared" si="0"/>
        <v>3.25</v>
      </c>
      <c r="K14" s="66">
        <f t="shared" si="1"/>
        <v>0.27967439363706903</v>
      </c>
      <c r="L14" s="66">
        <f t="shared" si="2"/>
        <v>5.0999247311827957E-2</v>
      </c>
      <c r="M14" s="66" t="s">
        <v>38</v>
      </c>
      <c r="N14" s="66">
        <f t="shared" si="3"/>
        <v>18.178835586409487</v>
      </c>
      <c r="O14" s="66">
        <f t="shared" si="4"/>
        <v>3.3149510752688172</v>
      </c>
      <c r="AA14" s="117" t="s">
        <v>73</v>
      </c>
      <c r="AB14" s="118">
        <v>2</v>
      </c>
      <c r="AC14" s="118">
        <f>AF42</f>
        <v>232</v>
      </c>
      <c r="AE14" s="85" t="s">
        <v>74</v>
      </c>
      <c r="AF14" s="85">
        <v>128</v>
      </c>
      <c r="AH14" s="86" t="s">
        <v>75</v>
      </c>
      <c r="AI14" s="86">
        <v>75</v>
      </c>
    </row>
    <row r="15" spans="1:35" x14ac:dyDescent="0.25">
      <c r="A15" s="105"/>
      <c r="B15" s="98"/>
      <c r="C15" s="99"/>
      <c r="D15" s="100"/>
      <c r="E15" s="100"/>
      <c r="F15" s="101"/>
      <c r="G15" s="102"/>
      <c r="H15" s="102"/>
      <c r="I15" s="103"/>
      <c r="J15" s="103"/>
      <c r="K15" s="104"/>
      <c r="L15" s="104"/>
      <c r="M15" s="104"/>
      <c r="N15" s="104"/>
      <c r="O15" s="104"/>
      <c r="AA15" s="87" t="s">
        <v>297</v>
      </c>
      <c r="AB15" s="118">
        <v>2</v>
      </c>
      <c r="AC15" s="118">
        <f>AF47</f>
        <v>153</v>
      </c>
      <c r="AE15" s="85" t="s">
        <v>78</v>
      </c>
      <c r="AF15" s="85">
        <v>169</v>
      </c>
      <c r="AH15" s="86" t="s">
        <v>79</v>
      </c>
      <c r="AI15" s="86">
        <v>221</v>
      </c>
    </row>
    <row r="16" spans="1:35" x14ac:dyDescent="0.25">
      <c r="A16" s="95" t="s">
        <v>66</v>
      </c>
      <c r="B16" s="46" t="s">
        <v>67</v>
      </c>
      <c r="C16" s="48" t="s">
        <v>36</v>
      </c>
      <c r="D16" s="49">
        <v>3987.6499999999996</v>
      </c>
      <c r="E16" s="50">
        <v>20282.279235722966</v>
      </c>
      <c r="F16" s="54">
        <v>1</v>
      </c>
      <c r="G16" s="51">
        <v>1000</v>
      </c>
      <c r="H16" s="51" t="s">
        <v>27</v>
      </c>
      <c r="I16" s="52">
        <v>0</v>
      </c>
      <c r="J16" s="52">
        <v>0</v>
      </c>
      <c r="K16" s="66">
        <f>(E16/F16)/G16</f>
        <v>20.282279235722967</v>
      </c>
      <c r="L16" s="66">
        <f>(D16/F16)/G16</f>
        <v>3.9876499999999995</v>
      </c>
      <c r="M16" s="66" t="s">
        <v>27</v>
      </c>
      <c r="N16" s="66">
        <f>K16*I16</f>
        <v>0</v>
      </c>
      <c r="O16" s="66">
        <f>L16*I16</f>
        <v>0</v>
      </c>
      <c r="AA16" s="87" t="s">
        <v>298</v>
      </c>
      <c r="AB16" s="118">
        <v>2</v>
      </c>
      <c r="AC16" s="118">
        <f>AF47</f>
        <v>153</v>
      </c>
      <c r="AE16" s="85" t="s">
        <v>75</v>
      </c>
      <c r="AF16" s="85">
        <v>169</v>
      </c>
      <c r="AH16" s="86" t="s">
        <v>82</v>
      </c>
      <c r="AI16" s="86">
        <v>221</v>
      </c>
    </row>
    <row r="17" spans="1:35" x14ac:dyDescent="0.25">
      <c r="A17" s="105"/>
      <c r="B17" s="98"/>
      <c r="C17" s="99"/>
      <c r="D17" s="100"/>
      <c r="E17" s="100"/>
      <c r="F17" s="101"/>
      <c r="G17" s="102"/>
      <c r="H17" s="102"/>
      <c r="I17" s="103"/>
      <c r="J17" s="103"/>
      <c r="K17" s="104"/>
      <c r="L17" s="104"/>
      <c r="M17" s="104"/>
      <c r="N17" s="104"/>
      <c r="O17" s="104"/>
      <c r="AA17" s="87" t="s">
        <v>299</v>
      </c>
      <c r="AB17" s="118">
        <v>2</v>
      </c>
      <c r="AC17" s="118">
        <f>AF48</f>
        <v>135</v>
      </c>
      <c r="AE17" s="85" t="s">
        <v>86</v>
      </c>
      <c r="AF17" s="85">
        <v>189</v>
      </c>
      <c r="AH17" s="86" t="s">
        <v>87</v>
      </c>
      <c r="AI17" s="86">
        <v>82</v>
      </c>
    </row>
    <row r="18" spans="1:35" x14ac:dyDescent="0.25">
      <c r="A18" s="95" t="s">
        <v>326</v>
      </c>
      <c r="B18" s="46" t="s">
        <v>71</v>
      </c>
      <c r="C18" s="48" t="s">
        <v>25</v>
      </c>
      <c r="D18" s="49">
        <v>0</v>
      </c>
      <c r="E18" s="50">
        <v>29.507445589919818</v>
      </c>
      <c r="F18" s="54">
        <v>1</v>
      </c>
      <c r="G18" s="51">
        <v>1000</v>
      </c>
      <c r="H18" s="51" t="s">
        <v>72</v>
      </c>
      <c r="I18" s="52">
        <v>5</v>
      </c>
      <c r="J18" s="52">
        <f t="shared" ref="J18:J26" si="15">I18/(G18/1000)</f>
        <v>5</v>
      </c>
      <c r="K18" s="66">
        <f t="shared" ref="K18:K26" si="16">(E18/F18)/G18</f>
        <v>2.9507445589919818E-2</v>
      </c>
      <c r="L18" s="66">
        <f t="shared" ref="L18:L26" si="17">(D18/F18)/G18</f>
        <v>0</v>
      </c>
      <c r="M18" s="66" t="s">
        <v>27</v>
      </c>
      <c r="N18" s="66">
        <f t="shared" ref="N18:N26" si="18">K18*I18</f>
        <v>0.14753722794959909</v>
      </c>
      <c r="O18" s="66">
        <f t="shared" ref="O18:O26" si="19">L18*I18</f>
        <v>0</v>
      </c>
      <c r="AA18" s="87" t="s">
        <v>300</v>
      </c>
      <c r="AB18" s="118">
        <v>2</v>
      </c>
      <c r="AC18" s="118">
        <f>AF48</f>
        <v>135</v>
      </c>
      <c r="AE18" s="85" t="s">
        <v>56</v>
      </c>
      <c r="AF18" s="85">
        <v>189</v>
      </c>
      <c r="AH18" s="86" t="s">
        <v>56</v>
      </c>
      <c r="AI18" s="86">
        <v>82</v>
      </c>
    </row>
    <row r="19" spans="1:35" x14ac:dyDescent="0.25">
      <c r="A19" s="95" t="s">
        <v>76</v>
      </c>
      <c r="B19" s="46" t="s">
        <v>71</v>
      </c>
      <c r="C19" s="48" t="s">
        <v>25</v>
      </c>
      <c r="D19" s="49">
        <v>0</v>
      </c>
      <c r="E19" s="50">
        <v>79.954302151341366</v>
      </c>
      <c r="F19" s="54">
        <v>1</v>
      </c>
      <c r="G19" s="51">
        <v>1000</v>
      </c>
      <c r="H19" s="51" t="s">
        <v>72</v>
      </c>
      <c r="I19" s="52">
        <v>31</v>
      </c>
      <c r="J19" s="52">
        <f t="shared" si="15"/>
        <v>31</v>
      </c>
      <c r="K19" s="66">
        <f t="shared" si="16"/>
        <v>7.9954302151341361E-2</v>
      </c>
      <c r="L19" s="66">
        <f t="shared" si="17"/>
        <v>0</v>
      </c>
      <c r="M19" s="66" t="s">
        <v>27</v>
      </c>
      <c r="N19" s="66">
        <f t="shared" si="18"/>
        <v>2.4785833666915824</v>
      </c>
      <c r="O19" s="66">
        <f t="shared" si="19"/>
        <v>0</v>
      </c>
      <c r="AA19" s="89" t="s">
        <v>77</v>
      </c>
      <c r="AB19" s="119">
        <v>3</v>
      </c>
      <c r="AC19" s="119">
        <f>AF71</f>
        <v>88</v>
      </c>
      <c r="AE19" s="85" t="s">
        <v>93</v>
      </c>
      <c r="AF19" s="85">
        <v>119</v>
      </c>
      <c r="AH19" s="86" t="s">
        <v>94</v>
      </c>
      <c r="AI19" s="86">
        <v>216</v>
      </c>
    </row>
    <row r="20" spans="1:35" x14ac:dyDescent="0.25">
      <c r="A20" s="95" t="s">
        <v>80</v>
      </c>
      <c r="B20" s="46" t="s">
        <v>71</v>
      </c>
      <c r="C20" s="48" t="s">
        <v>25</v>
      </c>
      <c r="D20" s="49">
        <v>13.318750000000001</v>
      </c>
      <c r="E20" s="50">
        <v>66.726404921020659</v>
      </c>
      <c r="F20" s="54">
        <v>1</v>
      </c>
      <c r="G20" s="51">
        <v>1000</v>
      </c>
      <c r="H20" s="51" t="s">
        <v>72</v>
      </c>
      <c r="I20" s="52">
        <v>8</v>
      </c>
      <c r="J20" s="52">
        <f t="shared" si="15"/>
        <v>8</v>
      </c>
      <c r="K20" s="66">
        <f t="shared" si="16"/>
        <v>6.6726404921020666E-2</v>
      </c>
      <c r="L20" s="66">
        <f t="shared" si="17"/>
        <v>1.3318750000000001E-2</v>
      </c>
      <c r="M20" s="66" t="s">
        <v>27</v>
      </c>
      <c r="N20" s="66">
        <f t="shared" si="18"/>
        <v>0.53381123936816532</v>
      </c>
      <c r="O20" s="66">
        <f t="shared" si="19"/>
        <v>0.10655000000000001</v>
      </c>
      <c r="AA20" s="89" t="s">
        <v>81</v>
      </c>
      <c r="AB20" s="119">
        <v>3</v>
      </c>
      <c r="AC20" s="119">
        <f>AF71+AF69</f>
        <v>182</v>
      </c>
      <c r="AE20" s="85" t="s">
        <v>96</v>
      </c>
      <c r="AF20" s="85">
        <v>119</v>
      </c>
      <c r="AH20" s="86" t="s">
        <v>97</v>
      </c>
      <c r="AI20" s="86">
        <v>216</v>
      </c>
    </row>
    <row r="21" spans="1:35" x14ac:dyDescent="0.25">
      <c r="A21" s="95" t="s">
        <v>83</v>
      </c>
      <c r="B21" s="46" t="s">
        <v>71</v>
      </c>
      <c r="C21" s="48" t="s">
        <v>25</v>
      </c>
      <c r="D21" s="49">
        <v>0</v>
      </c>
      <c r="E21" s="50">
        <v>1.21</v>
      </c>
      <c r="F21" s="54">
        <v>1</v>
      </c>
      <c r="G21" s="51">
        <v>2724</v>
      </c>
      <c r="H21" s="51" t="s">
        <v>84</v>
      </c>
      <c r="I21" s="52">
        <v>175</v>
      </c>
      <c r="J21" s="52">
        <f t="shared" si="15"/>
        <v>64.243759177679877</v>
      </c>
      <c r="K21" s="66">
        <f t="shared" si="16"/>
        <v>4.4419970631424374E-4</v>
      </c>
      <c r="L21" s="66">
        <f t="shared" si="17"/>
        <v>0</v>
      </c>
      <c r="M21" s="66" t="s">
        <v>38</v>
      </c>
      <c r="N21" s="66">
        <f t="shared" si="18"/>
        <v>7.7734948604992651E-2</v>
      </c>
      <c r="O21" s="66">
        <f t="shared" si="19"/>
        <v>0</v>
      </c>
      <c r="AA21" s="89" t="s">
        <v>85</v>
      </c>
      <c r="AB21" s="119">
        <v>3</v>
      </c>
      <c r="AC21" s="119">
        <f>AF51</f>
        <v>171</v>
      </c>
      <c r="AE21" s="85" t="s">
        <v>102</v>
      </c>
      <c r="AF21" s="85">
        <v>90</v>
      </c>
      <c r="AH21" s="86" t="s">
        <v>103</v>
      </c>
      <c r="AI21" s="86">
        <v>132</v>
      </c>
    </row>
    <row r="22" spans="1:35" x14ac:dyDescent="0.25">
      <c r="A22" s="95" t="s">
        <v>264</v>
      </c>
      <c r="B22" s="46" t="s">
        <v>71</v>
      </c>
      <c r="C22" s="48" t="s">
        <v>25</v>
      </c>
      <c r="D22" s="49">
        <v>0</v>
      </c>
      <c r="E22" s="50">
        <v>300.4355761175367</v>
      </c>
      <c r="F22" s="54">
        <v>1</v>
      </c>
      <c r="G22" s="125">
        <v>454</v>
      </c>
      <c r="H22" s="125" t="s">
        <v>323</v>
      </c>
      <c r="I22" s="126">
        <v>44</v>
      </c>
      <c r="J22" s="52">
        <f t="shared" si="15"/>
        <v>96.916299559471369</v>
      </c>
      <c r="K22" s="66">
        <f t="shared" si="16"/>
        <v>0.66175237030294431</v>
      </c>
      <c r="L22" s="66">
        <f t="shared" si="17"/>
        <v>0</v>
      </c>
      <c r="M22" s="66" t="s">
        <v>38</v>
      </c>
      <c r="N22" s="66">
        <f t="shared" si="18"/>
        <v>29.11710429332955</v>
      </c>
      <c r="O22" s="66">
        <f t="shared" si="19"/>
        <v>0</v>
      </c>
      <c r="AA22" s="89" t="s">
        <v>90</v>
      </c>
      <c r="AB22" s="120">
        <v>3</v>
      </c>
      <c r="AC22" s="120">
        <f>AF73+AF50</f>
        <v>97</v>
      </c>
      <c r="AE22" s="85" t="s">
        <v>55</v>
      </c>
      <c r="AF22" s="85">
        <v>90</v>
      </c>
      <c r="AH22" s="86" t="s">
        <v>105</v>
      </c>
      <c r="AI22" s="86">
        <v>132</v>
      </c>
    </row>
    <row r="23" spans="1:35" x14ac:dyDescent="0.25">
      <c r="A23" s="95" t="s">
        <v>259</v>
      </c>
      <c r="B23" s="46" t="s">
        <v>71</v>
      </c>
      <c r="C23" s="48" t="s">
        <v>25</v>
      </c>
      <c r="D23" s="49">
        <v>0</v>
      </c>
      <c r="E23" s="50">
        <v>379.04665095729013</v>
      </c>
      <c r="F23" s="54">
        <v>1</v>
      </c>
      <c r="G23" s="51">
        <v>1000</v>
      </c>
      <c r="H23" s="51" t="s">
        <v>72</v>
      </c>
      <c r="I23" s="52">
        <v>10</v>
      </c>
      <c r="J23" s="52">
        <f t="shared" ref="J23" si="20">I23/(G23/1000)</f>
        <v>10</v>
      </c>
      <c r="K23" s="66">
        <f t="shared" ref="K23" si="21">(E23/F23)/G23</f>
        <v>0.37904665095729012</v>
      </c>
      <c r="L23" s="66">
        <f t="shared" ref="L23" si="22">(D23/F23)/G23</f>
        <v>0</v>
      </c>
      <c r="M23" s="66" t="s">
        <v>72</v>
      </c>
      <c r="N23" s="66">
        <f t="shared" ref="N23" si="23">K23*I23</f>
        <v>3.7904665095729011</v>
      </c>
      <c r="O23" s="66">
        <f t="shared" ref="O23" si="24">L23*I23</f>
        <v>0</v>
      </c>
      <c r="AA23" s="89" t="s">
        <v>92</v>
      </c>
      <c r="AB23" s="120">
        <v>3</v>
      </c>
      <c r="AC23" s="120">
        <f>AF73+AF50</f>
        <v>97</v>
      </c>
      <c r="AE23" s="85" t="s">
        <v>111</v>
      </c>
      <c r="AF23" s="85">
        <v>55</v>
      </c>
      <c r="AH23" s="86" t="s">
        <v>112</v>
      </c>
      <c r="AI23" s="86">
        <v>125</v>
      </c>
    </row>
    <row r="24" spans="1:35" x14ac:dyDescent="0.25">
      <c r="A24" s="95" t="s">
        <v>260</v>
      </c>
      <c r="B24" s="46" t="s">
        <v>71</v>
      </c>
      <c r="C24" s="48" t="s">
        <v>25</v>
      </c>
      <c r="D24" s="49">
        <v>0</v>
      </c>
      <c r="E24" s="50">
        <v>263.65979381443299</v>
      </c>
      <c r="F24" s="54">
        <v>1</v>
      </c>
      <c r="G24" s="51">
        <v>1000</v>
      </c>
      <c r="H24" s="51" t="s">
        <v>72</v>
      </c>
      <c r="I24" s="52">
        <v>12</v>
      </c>
      <c r="J24" s="52">
        <f>I24/(G24/1000)</f>
        <v>12</v>
      </c>
      <c r="K24" s="66">
        <f t="shared" ref="K24" si="25">(E24/F24)/G24</f>
        <v>0.263659793814433</v>
      </c>
      <c r="L24" s="66">
        <f t="shared" ref="L24" si="26">(D24/F24)/G24</f>
        <v>0</v>
      </c>
      <c r="M24" s="66" t="s">
        <v>72</v>
      </c>
      <c r="N24" s="66">
        <f t="shared" ref="N24" si="27">K24*I24</f>
        <v>3.1639175257731962</v>
      </c>
      <c r="O24" s="66">
        <f t="shared" ref="O24" si="28">L24*I24</f>
        <v>0</v>
      </c>
      <c r="AA24" s="89" t="s">
        <v>301</v>
      </c>
      <c r="AB24" s="120">
        <v>3</v>
      </c>
      <c r="AC24" s="120">
        <f>AF74</f>
        <v>209</v>
      </c>
      <c r="AE24" s="85" t="s">
        <v>292</v>
      </c>
      <c r="AF24" s="85">
        <v>179</v>
      </c>
      <c r="AH24" s="86" t="s">
        <v>55</v>
      </c>
      <c r="AI24" s="86">
        <v>125</v>
      </c>
    </row>
    <row r="25" spans="1:35" x14ac:dyDescent="0.25">
      <c r="A25" s="95" t="s">
        <v>88</v>
      </c>
      <c r="B25" s="46" t="s">
        <v>71</v>
      </c>
      <c r="C25" s="48" t="s">
        <v>25</v>
      </c>
      <c r="D25" s="49">
        <v>74.782059788851825</v>
      </c>
      <c r="E25" s="50">
        <v>698.82736942852216</v>
      </c>
      <c r="F25" s="54">
        <v>1</v>
      </c>
      <c r="G25" s="51">
        <v>50000</v>
      </c>
      <c r="H25" s="51" t="s">
        <v>89</v>
      </c>
      <c r="I25" s="52">
        <v>37</v>
      </c>
      <c r="J25" s="52">
        <f t="shared" si="15"/>
        <v>0.74</v>
      </c>
      <c r="K25" s="66">
        <f t="shared" si="16"/>
        <v>1.3976547388570444E-2</v>
      </c>
      <c r="L25" s="66">
        <f t="shared" si="17"/>
        <v>1.4956411957770365E-3</v>
      </c>
      <c r="M25" s="66" t="s">
        <v>27</v>
      </c>
      <c r="N25" s="66">
        <f t="shared" si="18"/>
        <v>0.51713225337710644</v>
      </c>
      <c r="O25" s="66">
        <f t="shared" si="19"/>
        <v>5.5338724243750352E-2</v>
      </c>
      <c r="AA25" s="89" t="s">
        <v>302</v>
      </c>
      <c r="AB25" s="120">
        <v>3</v>
      </c>
      <c r="AC25" s="120">
        <f>AF74</f>
        <v>209</v>
      </c>
      <c r="AH25" s="86" t="s">
        <v>118</v>
      </c>
      <c r="AI25" s="86">
        <v>48</v>
      </c>
    </row>
    <row r="26" spans="1:35" x14ac:dyDescent="0.25">
      <c r="A26" s="95" t="s">
        <v>91</v>
      </c>
      <c r="B26" s="46" t="s">
        <v>71</v>
      </c>
      <c r="C26" s="48" t="s">
        <v>25</v>
      </c>
      <c r="D26" s="49">
        <v>2.6138613861386135</v>
      </c>
      <c r="E26" s="50">
        <v>2.6138613861386135</v>
      </c>
      <c r="F26" s="54">
        <v>1</v>
      </c>
      <c r="G26" s="51">
        <v>1000</v>
      </c>
      <c r="H26" s="51" t="s">
        <v>72</v>
      </c>
      <c r="I26" s="52">
        <v>47</v>
      </c>
      <c r="J26" s="52">
        <f t="shared" si="15"/>
        <v>47</v>
      </c>
      <c r="K26" s="66">
        <f t="shared" si="16"/>
        <v>2.6138613861386136E-3</v>
      </c>
      <c r="L26" s="66">
        <f t="shared" si="17"/>
        <v>2.6138613861386136E-3</v>
      </c>
      <c r="M26" s="66" t="s">
        <v>27</v>
      </c>
      <c r="N26" s="66">
        <f t="shared" si="18"/>
        <v>0.12285148514851484</v>
      </c>
      <c r="O26" s="66">
        <f t="shared" si="19"/>
        <v>0.12285148514851484</v>
      </c>
      <c r="AA26" s="86" t="s">
        <v>95</v>
      </c>
      <c r="AB26" s="121">
        <v>4</v>
      </c>
      <c r="AC26" s="121">
        <f>AI23</f>
        <v>125</v>
      </c>
      <c r="AE26" s="87" t="s">
        <v>117</v>
      </c>
      <c r="AF26" s="87">
        <v>230</v>
      </c>
      <c r="AH26" s="86" t="s">
        <v>318</v>
      </c>
      <c r="AI26" s="86">
        <v>163</v>
      </c>
    </row>
    <row r="27" spans="1:35" x14ac:dyDescent="0.25">
      <c r="A27" s="105"/>
      <c r="B27" s="98"/>
      <c r="C27" s="99"/>
      <c r="D27" s="100"/>
      <c r="E27" s="100"/>
      <c r="F27" s="101"/>
      <c r="G27" s="102"/>
      <c r="H27" s="102"/>
      <c r="I27" s="103"/>
      <c r="J27" s="103"/>
      <c r="K27" s="104"/>
      <c r="L27" s="104"/>
      <c r="M27" s="104"/>
      <c r="N27" s="104"/>
      <c r="O27" s="104"/>
      <c r="AA27" s="86" t="s">
        <v>101</v>
      </c>
      <c r="AB27" s="121">
        <v>4</v>
      </c>
      <c r="AC27" s="121">
        <f>AI25+AI3</f>
        <v>97</v>
      </c>
      <c r="AE27" s="87" t="s">
        <v>40</v>
      </c>
      <c r="AF27" s="87">
        <v>211</v>
      </c>
      <c r="AH27" s="86" t="s">
        <v>319</v>
      </c>
      <c r="AI27" s="86">
        <v>161</v>
      </c>
    </row>
    <row r="28" spans="1:35" x14ac:dyDescent="0.25">
      <c r="A28" s="95" t="s">
        <v>98</v>
      </c>
      <c r="B28" s="46" t="s">
        <v>99</v>
      </c>
      <c r="C28" s="48" t="s">
        <v>25</v>
      </c>
      <c r="D28" s="49">
        <v>0</v>
      </c>
      <c r="E28" s="50">
        <v>2.8900999999999999</v>
      </c>
      <c r="F28" s="54">
        <v>1</v>
      </c>
      <c r="G28" s="51">
        <v>100</v>
      </c>
      <c r="H28" s="51" t="s">
        <v>100</v>
      </c>
      <c r="I28" s="52">
        <v>3.5</v>
      </c>
      <c r="J28" s="52">
        <f>I28/(G28/1000)</f>
        <v>35</v>
      </c>
      <c r="K28" s="66">
        <f>(E28/F28)/G28</f>
        <v>2.8901E-2</v>
      </c>
      <c r="L28" s="66">
        <f>(D28/F28)/G28</f>
        <v>0</v>
      </c>
      <c r="M28" s="66" t="s">
        <v>53</v>
      </c>
      <c r="N28" s="66">
        <f>K28*I28</f>
        <v>0.10115349999999999</v>
      </c>
      <c r="O28" s="66">
        <f>L28*I28</f>
        <v>0</v>
      </c>
      <c r="AA28" s="86" t="s">
        <v>104</v>
      </c>
      <c r="AB28" s="121">
        <v>4</v>
      </c>
      <c r="AC28" s="121">
        <f>AI15</f>
        <v>221</v>
      </c>
      <c r="AE28" s="87" t="s">
        <v>41</v>
      </c>
      <c r="AF28" s="87">
        <v>19</v>
      </c>
    </row>
    <row r="29" spans="1:35" x14ac:dyDescent="0.25">
      <c r="A29" s="105"/>
      <c r="B29" s="98"/>
      <c r="C29" s="99"/>
      <c r="D29" s="100"/>
      <c r="E29" s="100"/>
      <c r="F29" s="101"/>
      <c r="G29" s="102"/>
      <c r="H29" s="102"/>
      <c r="I29" s="103"/>
      <c r="J29" s="103"/>
      <c r="K29" s="104"/>
      <c r="L29" s="104"/>
      <c r="M29" s="104"/>
      <c r="N29" s="104"/>
      <c r="O29" s="104"/>
      <c r="AA29" s="86" t="s">
        <v>110</v>
      </c>
      <c r="AB29" s="121">
        <v>4</v>
      </c>
      <c r="AC29" s="121">
        <f>AI21</f>
        <v>132</v>
      </c>
      <c r="AE29" s="87" t="s">
        <v>126</v>
      </c>
      <c r="AF29" s="87">
        <v>266</v>
      </c>
      <c r="AH29" s="88" t="s">
        <v>22</v>
      </c>
      <c r="AI29" s="88">
        <v>135</v>
      </c>
    </row>
    <row r="30" spans="1:35" x14ac:dyDescent="0.25">
      <c r="A30" s="95" t="s">
        <v>106</v>
      </c>
      <c r="B30" s="46" t="s">
        <v>107</v>
      </c>
      <c r="C30" s="48" t="s">
        <v>25</v>
      </c>
      <c r="D30" s="49">
        <v>0</v>
      </c>
      <c r="E30" s="50">
        <v>825.00000000000011</v>
      </c>
      <c r="F30" s="54">
        <v>1</v>
      </c>
      <c r="G30" s="51">
        <v>10000</v>
      </c>
      <c r="H30" s="51" t="s">
        <v>108</v>
      </c>
      <c r="I30" s="52">
        <v>42</v>
      </c>
      <c r="J30" s="52">
        <f>I30/(G30/1000)</f>
        <v>4.2</v>
      </c>
      <c r="K30" s="66">
        <f>(E30/F30)/G30</f>
        <v>8.2500000000000018E-2</v>
      </c>
      <c r="L30" s="66">
        <f>(D30/F30)/G30</f>
        <v>0</v>
      </c>
      <c r="M30" s="66" t="s">
        <v>109</v>
      </c>
      <c r="N30" s="66">
        <f>K30*I30</f>
        <v>3.4650000000000007</v>
      </c>
      <c r="O30" s="66">
        <f>L30*I30</f>
        <v>0</v>
      </c>
      <c r="AA30" s="86" t="s">
        <v>114</v>
      </c>
      <c r="AB30" s="121">
        <v>4</v>
      </c>
      <c r="AC30" s="121">
        <f>AI21</f>
        <v>132</v>
      </c>
      <c r="AE30" s="87" t="s">
        <v>63</v>
      </c>
      <c r="AF30" s="87">
        <v>18</v>
      </c>
      <c r="AH30" s="88" t="s">
        <v>127</v>
      </c>
      <c r="AI30" s="88">
        <v>56</v>
      </c>
    </row>
    <row r="31" spans="1:35" x14ac:dyDescent="0.25">
      <c r="A31" s="95" t="s">
        <v>113</v>
      </c>
      <c r="B31" s="46" t="s">
        <v>107</v>
      </c>
      <c r="C31" s="48" t="s">
        <v>25</v>
      </c>
      <c r="D31" s="49">
        <v>0</v>
      </c>
      <c r="E31" s="50">
        <v>825.00000000000011</v>
      </c>
      <c r="F31" s="54">
        <v>1</v>
      </c>
      <c r="G31" s="51">
        <v>10000</v>
      </c>
      <c r="H31" s="51" t="s">
        <v>108</v>
      </c>
      <c r="I31" s="52">
        <v>42</v>
      </c>
      <c r="J31" s="52">
        <f>I31/(G31/1000)</f>
        <v>4.2</v>
      </c>
      <c r="K31" s="66">
        <f>(E31/F31)/G31</f>
        <v>8.2500000000000018E-2</v>
      </c>
      <c r="L31" s="66">
        <f>(D31/F31)/G31</f>
        <v>0</v>
      </c>
      <c r="M31" s="66" t="s">
        <v>109</v>
      </c>
      <c r="N31" s="66">
        <f>K31*I31</f>
        <v>3.4650000000000007</v>
      </c>
      <c r="O31" s="66">
        <f>L31*I31</f>
        <v>0</v>
      </c>
      <c r="AA31" s="86" t="s">
        <v>303</v>
      </c>
      <c r="AB31" s="121">
        <v>4</v>
      </c>
      <c r="AC31" s="121">
        <f>AI27</f>
        <v>161</v>
      </c>
      <c r="AE31" s="87" t="s">
        <v>136</v>
      </c>
      <c r="AF31" s="87">
        <v>248</v>
      </c>
      <c r="AH31" s="88" t="s">
        <v>132</v>
      </c>
      <c r="AI31" s="88">
        <v>92</v>
      </c>
    </row>
    <row r="32" spans="1:35" x14ac:dyDescent="0.25">
      <c r="A32" s="95" t="s">
        <v>115</v>
      </c>
      <c r="B32" s="46" t="s">
        <v>107</v>
      </c>
      <c r="C32" s="48" t="s">
        <v>25</v>
      </c>
      <c r="D32" s="49">
        <v>0</v>
      </c>
      <c r="E32" s="50">
        <v>825.00000000000011</v>
      </c>
      <c r="F32" s="54">
        <v>1</v>
      </c>
      <c r="G32" s="51">
        <v>10000</v>
      </c>
      <c r="H32" s="51" t="s">
        <v>108</v>
      </c>
      <c r="I32" s="52">
        <v>60</v>
      </c>
      <c r="J32" s="52">
        <f>I32/(G32/1000)</f>
        <v>6</v>
      </c>
      <c r="K32" s="66">
        <f>(E32/F32)/G32</f>
        <v>8.2500000000000018E-2</v>
      </c>
      <c r="L32" s="66">
        <f>(D32/F32)/G32</f>
        <v>0</v>
      </c>
      <c r="M32" s="66" t="s">
        <v>109</v>
      </c>
      <c r="N32" s="66">
        <f>K32*I32</f>
        <v>4.9500000000000011</v>
      </c>
      <c r="O32" s="66">
        <f>L32*I32</f>
        <v>0</v>
      </c>
      <c r="AA32" s="86" t="s">
        <v>304</v>
      </c>
      <c r="AB32" s="121">
        <v>4</v>
      </c>
      <c r="AC32" s="121">
        <f>AI27</f>
        <v>161</v>
      </c>
      <c r="AE32" s="87" t="s">
        <v>141</v>
      </c>
      <c r="AF32" s="87">
        <v>181</v>
      </c>
      <c r="AH32" s="88" t="s">
        <v>137</v>
      </c>
      <c r="AI32" s="88">
        <v>80</v>
      </c>
    </row>
    <row r="33" spans="1:35" x14ac:dyDescent="0.25">
      <c r="A33" s="105"/>
      <c r="B33" s="98"/>
      <c r="C33" s="99"/>
      <c r="D33" s="100"/>
      <c r="E33" s="100"/>
      <c r="F33" s="101"/>
      <c r="G33" s="102"/>
      <c r="H33" s="102"/>
      <c r="I33" s="103"/>
      <c r="J33" s="103"/>
      <c r="K33" s="104"/>
      <c r="L33" s="104"/>
      <c r="M33" s="104"/>
      <c r="N33" s="104"/>
      <c r="O33" s="104"/>
      <c r="AA33" s="88" t="s">
        <v>116</v>
      </c>
      <c r="AB33" s="122">
        <v>5</v>
      </c>
      <c r="AC33" s="122">
        <f>AI51</f>
        <v>110</v>
      </c>
      <c r="AE33" s="87" t="s">
        <v>41</v>
      </c>
      <c r="AF33" s="87">
        <v>15</v>
      </c>
      <c r="AH33" s="88" t="s">
        <v>63</v>
      </c>
      <c r="AI33" s="88">
        <v>12</v>
      </c>
    </row>
    <row r="34" spans="1:35" x14ac:dyDescent="0.25">
      <c r="A34" s="95" t="s">
        <v>265</v>
      </c>
      <c r="B34" s="46" t="s">
        <v>258</v>
      </c>
      <c r="C34" s="48" t="s">
        <v>25</v>
      </c>
      <c r="D34" s="49">
        <v>0</v>
      </c>
      <c r="E34" s="50">
        <v>1680.3141348126985</v>
      </c>
      <c r="F34" s="54">
        <v>1</v>
      </c>
      <c r="G34" s="51">
        <f>4*2000</f>
        <v>8000</v>
      </c>
      <c r="H34" s="51" t="s">
        <v>270</v>
      </c>
      <c r="I34" s="52">
        <v>136</v>
      </c>
      <c r="J34" s="52">
        <f>I34/(G34/1000)</f>
        <v>17</v>
      </c>
      <c r="K34" s="66">
        <f>(E34/F34)/G34</f>
        <v>0.2100392668515873</v>
      </c>
      <c r="L34" s="66">
        <f>(D34/F34)/G34</f>
        <v>0</v>
      </c>
      <c r="M34" s="66" t="s">
        <v>72</v>
      </c>
      <c r="N34" s="66">
        <f>K34*I34</f>
        <v>28.565340291815872</v>
      </c>
      <c r="O34" s="66">
        <f>L34*I34</f>
        <v>0</v>
      </c>
      <c r="AA34" s="88" t="s">
        <v>119</v>
      </c>
      <c r="AB34" s="122">
        <v>5</v>
      </c>
      <c r="AC34" s="122">
        <f>AI51</f>
        <v>110</v>
      </c>
      <c r="AE34" s="87" t="s">
        <v>75</v>
      </c>
      <c r="AF34" s="87">
        <v>166</v>
      </c>
      <c r="AH34" s="88" t="s">
        <v>145</v>
      </c>
      <c r="AI34" s="88">
        <v>214</v>
      </c>
    </row>
    <row r="35" spans="1:35" x14ac:dyDescent="0.25">
      <c r="A35" s="105"/>
      <c r="B35" s="98"/>
      <c r="C35" s="99"/>
      <c r="D35" s="100"/>
      <c r="E35" s="100"/>
      <c r="F35" s="101"/>
      <c r="G35" s="102"/>
      <c r="H35" s="102"/>
      <c r="I35" s="103"/>
      <c r="J35" s="103"/>
      <c r="K35" s="104"/>
      <c r="L35" s="104"/>
      <c r="M35" s="104"/>
      <c r="N35" s="104"/>
      <c r="O35" s="104"/>
      <c r="AA35" s="88" t="s">
        <v>124</v>
      </c>
      <c r="AB35" s="122">
        <v>5</v>
      </c>
      <c r="AC35" s="122">
        <f>AI57+AI30</f>
        <v>97</v>
      </c>
      <c r="AE35" s="87" t="s">
        <v>148</v>
      </c>
      <c r="AF35" s="87">
        <v>66</v>
      </c>
      <c r="AH35" s="88" t="s">
        <v>56</v>
      </c>
      <c r="AI35" s="88">
        <v>191</v>
      </c>
    </row>
    <row r="36" spans="1:35" x14ac:dyDescent="0.25">
      <c r="A36" s="95" t="s">
        <v>120</v>
      </c>
      <c r="B36" s="46" t="s">
        <v>121</v>
      </c>
      <c r="C36" s="48" t="s">
        <v>25</v>
      </c>
      <c r="D36" s="49">
        <v>2.54</v>
      </c>
      <c r="E36" s="50">
        <v>15.14</v>
      </c>
      <c r="F36" s="54">
        <v>1</v>
      </c>
      <c r="G36" s="51">
        <v>200</v>
      </c>
      <c r="H36" s="51" t="s">
        <v>122</v>
      </c>
      <c r="I36" s="52">
        <v>4</v>
      </c>
      <c r="J36" s="52">
        <f>I36/0.2</f>
        <v>20</v>
      </c>
      <c r="K36" s="66">
        <f>(E36/F36)/G36</f>
        <v>7.5700000000000003E-2</v>
      </c>
      <c r="L36" s="66">
        <f>(D36/F36)/G36</f>
        <v>1.2699999999999999E-2</v>
      </c>
      <c r="M36" s="66" t="s">
        <v>123</v>
      </c>
      <c r="N36" s="66">
        <f>K36*I36</f>
        <v>0.30280000000000001</v>
      </c>
      <c r="O36" s="66">
        <f>L36*I36</f>
        <v>5.0799999999999998E-2</v>
      </c>
      <c r="AA36" s="88" t="s">
        <v>305</v>
      </c>
      <c r="AB36" s="122">
        <v>5</v>
      </c>
      <c r="AC36" s="122">
        <f>AI56</f>
        <v>172</v>
      </c>
      <c r="AE36" s="87" t="s">
        <v>56</v>
      </c>
      <c r="AF36" s="87">
        <v>66</v>
      </c>
      <c r="AH36" s="88" t="s">
        <v>41</v>
      </c>
      <c r="AI36" s="88">
        <v>23</v>
      </c>
    </row>
    <row r="37" spans="1:35" x14ac:dyDescent="0.25">
      <c r="A37" s="105"/>
      <c r="B37" s="98"/>
      <c r="C37" s="99"/>
      <c r="D37" s="100"/>
      <c r="E37" s="100"/>
      <c r="F37" s="101"/>
      <c r="G37" s="102"/>
      <c r="H37" s="102"/>
      <c r="I37" s="103"/>
      <c r="J37" s="103"/>
      <c r="K37" s="104"/>
      <c r="L37" s="104"/>
      <c r="M37" s="104"/>
      <c r="N37" s="104"/>
      <c r="O37" s="104"/>
      <c r="AA37" s="88" t="s">
        <v>306</v>
      </c>
      <c r="AB37" s="122">
        <v>5</v>
      </c>
      <c r="AC37" s="122">
        <f>AI56</f>
        <v>172</v>
      </c>
      <c r="AE37" s="87" t="s">
        <v>151</v>
      </c>
      <c r="AF37" s="87">
        <v>127</v>
      </c>
      <c r="AH37" s="88" t="s">
        <v>150</v>
      </c>
      <c r="AI37" s="88">
        <v>107</v>
      </c>
    </row>
    <row r="38" spans="1:35" x14ac:dyDescent="0.25">
      <c r="A38" s="95" t="s">
        <v>128</v>
      </c>
      <c r="B38" s="46" t="s">
        <v>129</v>
      </c>
      <c r="C38" s="48" t="s">
        <v>25</v>
      </c>
      <c r="D38" s="49">
        <v>64.321562499999999</v>
      </c>
      <c r="E38" s="50">
        <v>64.321562499999999</v>
      </c>
      <c r="F38" s="54">
        <v>0.43</v>
      </c>
      <c r="G38" s="51">
        <v>900</v>
      </c>
      <c r="H38" s="51" t="s">
        <v>130</v>
      </c>
      <c r="I38" s="52">
        <v>3</v>
      </c>
      <c r="J38" s="52">
        <f>I38/(G38/1000)</f>
        <v>3.333333333333333</v>
      </c>
      <c r="K38" s="66">
        <f t="shared" ref="K38:K45" si="29">(E38/F38)/G38</f>
        <v>0.16620558785529715</v>
      </c>
      <c r="L38" s="66">
        <f t="shared" ref="L38:L44" si="30">(D38/F38)/G38</f>
        <v>0.16620558785529715</v>
      </c>
      <c r="M38" s="66" t="s">
        <v>123</v>
      </c>
      <c r="N38" s="66">
        <f t="shared" ref="N38:N45" si="31">K38*I38</f>
        <v>0.49861676356589146</v>
      </c>
      <c r="O38" s="66">
        <f t="shared" ref="O38:O44" si="32">L38*I38</f>
        <v>0.49861676356589146</v>
      </c>
      <c r="AA38" s="90" t="s">
        <v>125</v>
      </c>
      <c r="AB38" s="123">
        <v>6</v>
      </c>
      <c r="AC38" s="123">
        <f>AI60+AI82</f>
        <v>110</v>
      </c>
      <c r="AE38" s="87" t="s">
        <v>152</v>
      </c>
      <c r="AF38" s="87">
        <v>127</v>
      </c>
      <c r="AH38" s="88" t="s">
        <v>105</v>
      </c>
      <c r="AI38" s="88">
        <v>107</v>
      </c>
    </row>
    <row r="39" spans="1:35" x14ac:dyDescent="0.25">
      <c r="A39" s="95" t="s">
        <v>133</v>
      </c>
      <c r="B39" s="46" t="s">
        <v>129</v>
      </c>
      <c r="C39" s="48" t="s">
        <v>25</v>
      </c>
      <c r="D39" s="49">
        <v>51.080937499999997</v>
      </c>
      <c r="E39" s="50">
        <v>278.44093750000002</v>
      </c>
      <c r="F39" s="54">
        <v>0.94</v>
      </c>
      <c r="G39" s="51">
        <v>825</v>
      </c>
      <c r="H39" s="51" t="s">
        <v>134</v>
      </c>
      <c r="I39" s="52">
        <v>3</v>
      </c>
      <c r="J39" s="52">
        <v>3.6363636363636371</v>
      </c>
      <c r="K39" s="66">
        <f t="shared" si="29"/>
        <v>0.3590469858156029</v>
      </c>
      <c r="L39" s="66">
        <f t="shared" si="30"/>
        <v>6.5868391360412629E-2</v>
      </c>
      <c r="M39" s="66" t="s">
        <v>123</v>
      </c>
      <c r="N39" s="66">
        <f t="shared" si="31"/>
        <v>1.0771409574468087</v>
      </c>
      <c r="O39" s="66">
        <f t="shared" si="32"/>
        <v>0.1976051740812379</v>
      </c>
      <c r="AA39" s="90" t="s">
        <v>131</v>
      </c>
      <c r="AB39" s="123">
        <v>6</v>
      </c>
      <c r="AC39" s="123">
        <f>AI60+AI73+AI82</f>
        <v>365</v>
      </c>
      <c r="AE39" s="87" t="s">
        <v>153</v>
      </c>
      <c r="AF39" s="87">
        <v>128</v>
      </c>
      <c r="AH39" s="88" t="s">
        <v>324</v>
      </c>
      <c r="AI39" s="88">
        <v>185</v>
      </c>
    </row>
    <row r="40" spans="1:35" x14ac:dyDescent="0.25">
      <c r="A40" s="95" t="s">
        <v>138</v>
      </c>
      <c r="B40" s="46" t="s">
        <v>129</v>
      </c>
      <c r="C40" s="48" t="s">
        <v>25</v>
      </c>
      <c r="D40" s="49">
        <v>49.5</v>
      </c>
      <c r="E40" s="50">
        <v>252.66326530612241</v>
      </c>
      <c r="F40" s="54">
        <v>0.71</v>
      </c>
      <c r="G40" s="51">
        <v>1000</v>
      </c>
      <c r="H40" s="51" t="s">
        <v>139</v>
      </c>
      <c r="I40" s="52">
        <v>3</v>
      </c>
      <c r="J40" s="52">
        <f>I40/(G40/1000)</f>
        <v>3</v>
      </c>
      <c r="K40" s="66">
        <f t="shared" si="29"/>
        <v>0.35586375395228509</v>
      </c>
      <c r="L40" s="66">
        <f t="shared" si="30"/>
        <v>6.9718309859154934E-2</v>
      </c>
      <c r="M40" s="66" t="s">
        <v>123</v>
      </c>
      <c r="N40" s="66">
        <f t="shared" si="31"/>
        <v>1.0675912618568553</v>
      </c>
      <c r="O40" s="66">
        <f t="shared" si="32"/>
        <v>0.20915492957746479</v>
      </c>
      <c r="AA40" s="90" t="s">
        <v>135</v>
      </c>
      <c r="AB40" s="123">
        <v>6</v>
      </c>
      <c r="AC40" s="123">
        <f>AI73</f>
        <v>255</v>
      </c>
      <c r="AE40" s="87" t="s">
        <v>56</v>
      </c>
      <c r="AF40" s="87">
        <v>114</v>
      </c>
      <c r="AH40" s="88" t="s">
        <v>154</v>
      </c>
      <c r="AI40" s="88">
        <v>176</v>
      </c>
    </row>
    <row r="41" spans="1:35" x14ac:dyDescent="0.25">
      <c r="A41" s="95" t="s">
        <v>142</v>
      </c>
      <c r="B41" s="46" t="s">
        <v>129</v>
      </c>
      <c r="C41" s="48" t="s">
        <v>25</v>
      </c>
      <c r="D41" s="49">
        <v>685.80000000000007</v>
      </c>
      <c r="E41" s="50">
        <v>4087.8000000000006</v>
      </c>
      <c r="F41" s="54">
        <v>0.8</v>
      </c>
      <c r="G41" s="51">
        <v>1000</v>
      </c>
      <c r="H41" s="51" t="s">
        <v>143</v>
      </c>
      <c r="I41" s="52">
        <v>3</v>
      </c>
      <c r="J41" s="52">
        <f>I41/(G41/1000)</f>
        <v>3</v>
      </c>
      <c r="K41" s="66">
        <f t="shared" si="29"/>
        <v>5.1097500000000009</v>
      </c>
      <c r="L41" s="66">
        <f t="shared" si="30"/>
        <v>0.85724999999999996</v>
      </c>
      <c r="M41" s="66" t="s">
        <v>27</v>
      </c>
      <c r="N41" s="66">
        <f t="shared" si="31"/>
        <v>15.329250000000002</v>
      </c>
      <c r="O41" s="66">
        <f t="shared" si="32"/>
        <v>2.5717499999999998</v>
      </c>
      <c r="AA41" s="90" t="s">
        <v>140</v>
      </c>
      <c r="AB41" s="123">
        <v>6</v>
      </c>
      <c r="AC41" s="123">
        <f>AI78</f>
        <v>79</v>
      </c>
      <c r="AE41" s="87" t="s">
        <v>41</v>
      </c>
      <c r="AF41" s="87">
        <v>14</v>
      </c>
      <c r="AH41" s="88" t="s">
        <v>41</v>
      </c>
      <c r="AI41" s="88">
        <v>9</v>
      </c>
    </row>
    <row r="42" spans="1:35" x14ac:dyDescent="0.25">
      <c r="A42" s="95" t="s">
        <v>146</v>
      </c>
      <c r="B42" s="46" t="s">
        <v>129</v>
      </c>
      <c r="C42" s="48" t="s">
        <v>25</v>
      </c>
      <c r="D42" s="49">
        <v>0</v>
      </c>
      <c r="E42" s="50">
        <v>256.75</v>
      </c>
      <c r="F42" s="54">
        <v>0.96</v>
      </c>
      <c r="G42" s="51">
        <v>1000</v>
      </c>
      <c r="H42" s="51" t="s">
        <v>143</v>
      </c>
      <c r="I42" s="52">
        <v>4</v>
      </c>
      <c r="J42" s="52">
        <f>I42/(G42/1000)</f>
        <v>4</v>
      </c>
      <c r="K42" s="66">
        <f t="shared" si="29"/>
        <v>0.26744791666666667</v>
      </c>
      <c r="L42" s="66">
        <f t="shared" si="30"/>
        <v>0</v>
      </c>
      <c r="M42" s="66" t="s">
        <v>27</v>
      </c>
      <c r="N42" s="66">
        <f t="shared" si="31"/>
        <v>1.0697916666666667</v>
      </c>
      <c r="O42" s="66">
        <f t="shared" si="32"/>
        <v>0</v>
      </c>
      <c r="AA42" s="90" t="s">
        <v>144</v>
      </c>
      <c r="AB42" s="123">
        <v>6</v>
      </c>
      <c r="AC42" s="123">
        <f>AI80</f>
        <v>130</v>
      </c>
      <c r="AE42" s="87" t="s">
        <v>156</v>
      </c>
      <c r="AF42" s="87">
        <v>232</v>
      </c>
      <c r="AH42" s="88" t="s">
        <v>155</v>
      </c>
      <c r="AI42" s="88">
        <v>116</v>
      </c>
    </row>
    <row r="43" spans="1:35" x14ac:dyDescent="0.25">
      <c r="A43" s="95" t="s">
        <v>147</v>
      </c>
      <c r="B43" s="46" t="s">
        <v>129</v>
      </c>
      <c r="C43" s="48" t="s">
        <v>25</v>
      </c>
      <c r="D43" s="49">
        <v>0</v>
      </c>
      <c r="E43" s="50">
        <v>1090.4925544100802</v>
      </c>
      <c r="F43" s="54">
        <v>0.9</v>
      </c>
      <c r="G43" s="51">
        <v>1000</v>
      </c>
      <c r="H43" s="51" t="s">
        <v>143</v>
      </c>
      <c r="I43" s="52">
        <v>3</v>
      </c>
      <c r="J43" s="52">
        <f>I43/(G43/1000)</f>
        <v>3</v>
      </c>
      <c r="K43" s="66">
        <f t="shared" si="29"/>
        <v>1.211658393788978</v>
      </c>
      <c r="L43" s="66">
        <f t="shared" si="30"/>
        <v>0</v>
      </c>
      <c r="M43" s="66" t="s">
        <v>27</v>
      </c>
      <c r="N43" s="66">
        <f t="shared" si="31"/>
        <v>3.6349751813669338</v>
      </c>
      <c r="O43" s="66">
        <f t="shared" si="32"/>
        <v>0</v>
      </c>
      <c r="AA43" s="90" t="s">
        <v>307</v>
      </c>
      <c r="AB43" s="123">
        <v>6</v>
      </c>
      <c r="AC43" s="123">
        <f>AI83</f>
        <v>198</v>
      </c>
      <c r="AE43" s="87" t="s">
        <v>55</v>
      </c>
      <c r="AF43" s="87">
        <v>232</v>
      </c>
      <c r="AH43" s="88" t="s">
        <v>157</v>
      </c>
      <c r="AI43" s="88">
        <v>101</v>
      </c>
    </row>
    <row r="44" spans="1:35" x14ac:dyDescent="0.25">
      <c r="A44" s="95" t="s">
        <v>149</v>
      </c>
      <c r="B44" s="46" t="s">
        <v>129</v>
      </c>
      <c r="C44" s="48" t="s">
        <v>25</v>
      </c>
      <c r="D44" s="49">
        <v>0</v>
      </c>
      <c r="E44" s="50">
        <v>37875</v>
      </c>
      <c r="F44" s="54">
        <v>0.98</v>
      </c>
      <c r="G44" s="51">
        <v>1000</v>
      </c>
      <c r="H44" s="51" t="s">
        <v>143</v>
      </c>
      <c r="I44" s="52">
        <v>3.5</v>
      </c>
      <c r="J44" s="52">
        <f>I44/(G44/1000)</f>
        <v>3.5</v>
      </c>
      <c r="K44" s="66">
        <f t="shared" si="29"/>
        <v>38.647959183673471</v>
      </c>
      <c r="L44" s="66">
        <f t="shared" si="30"/>
        <v>0</v>
      </c>
      <c r="M44" s="66" t="s">
        <v>27</v>
      </c>
      <c r="N44" s="66">
        <f t="shared" si="31"/>
        <v>135.26785714285714</v>
      </c>
      <c r="O44" s="66">
        <f t="shared" si="32"/>
        <v>0</v>
      </c>
      <c r="AA44" s="90" t="s">
        <v>308</v>
      </c>
      <c r="AB44" s="123">
        <v>6</v>
      </c>
      <c r="AC44" s="123">
        <f>AI83</f>
        <v>198</v>
      </c>
      <c r="AE44" s="87" t="s">
        <v>309</v>
      </c>
      <c r="AF44" s="87">
        <v>99</v>
      </c>
      <c r="AH44" s="88" t="s">
        <v>41</v>
      </c>
      <c r="AI44" s="88">
        <v>15</v>
      </c>
    </row>
    <row r="45" spans="1:35" x14ac:dyDescent="0.25">
      <c r="A45" s="95" t="s">
        <v>263</v>
      </c>
      <c r="B45" s="46" t="s">
        <v>129</v>
      </c>
      <c r="C45" s="48" t="s">
        <v>25</v>
      </c>
      <c r="D45" s="49">
        <v>315.19337016574593</v>
      </c>
      <c r="E45" s="50">
        <v>1126.0914421017028</v>
      </c>
      <c r="F45" s="54">
        <v>1</v>
      </c>
      <c r="G45" s="51">
        <v>1000</v>
      </c>
      <c r="H45" s="51" t="s">
        <v>72</v>
      </c>
      <c r="I45" s="52">
        <v>10.5</v>
      </c>
      <c r="J45" s="52">
        <f t="shared" ref="J45" si="33">I45/(G45/1000)</f>
        <v>10.5</v>
      </c>
      <c r="K45" s="66">
        <f t="shared" si="29"/>
        <v>1.1260914421017028</v>
      </c>
      <c r="L45" s="66">
        <f>(D45/F45)/G45</f>
        <v>0.31519337016574595</v>
      </c>
      <c r="M45" s="66" t="s">
        <v>72</v>
      </c>
      <c r="N45" s="66">
        <f t="shared" si="31"/>
        <v>11.823960142067879</v>
      </c>
      <c r="O45" s="66">
        <v>0</v>
      </c>
      <c r="AE45" s="87" t="s">
        <v>41</v>
      </c>
      <c r="AF45" s="87">
        <v>15</v>
      </c>
      <c r="AH45" s="88" t="s">
        <v>158</v>
      </c>
      <c r="AI45" s="88">
        <v>92</v>
      </c>
    </row>
    <row r="46" spans="1:35" x14ac:dyDescent="0.25">
      <c r="A46" s="95" t="s">
        <v>271</v>
      </c>
      <c r="B46" s="46" t="s">
        <v>129</v>
      </c>
      <c r="C46" s="48" t="s">
        <v>25</v>
      </c>
      <c r="D46" s="49">
        <v>0</v>
      </c>
      <c r="E46" s="50">
        <v>203.16326530612241</v>
      </c>
      <c r="F46" s="54">
        <v>0.65</v>
      </c>
      <c r="G46" s="51">
        <v>905</v>
      </c>
      <c r="H46" s="51" t="s">
        <v>272</v>
      </c>
      <c r="I46" s="52">
        <v>3.5</v>
      </c>
      <c r="J46" s="52">
        <v>3.5</v>
      </c>
      <c r="K46" s="66">
        <f>(E46/F46)/G46</f>
        <v>0.34536891679748816</v>
      </c>
      <c r="L46" s="66">
        <f t="shared" ref="L46" si="34">(D46/F46)/G46</f>
        <v>0</v>
      </c>
      <c r="M46" s="66" t="s">
        <v>123</v>
      </c>
      <c r="N46" s="66">
        <f t="shared" ref="N46" si="35">K46*I46</f>
        <v>1.2087912087912085</v>
      </c>
      <c r="O46" s="66">
        <f>L46*I46</f>
        <v>0</v>
      </c>
      <c r="AE46" s="87" t="s">
        <v>310</v>
      </c>
      <c r="AF46" s="87">
        <v>84</v>
      </c>
      <c r="AH46" s="88" t="s">
        <v>56</v>
      </c>
      <c r="AI46" s="88">
        <v>79</v>
      </c>
    </row>
    <row r="47" spans="1:35" x14ac:dyDescent="0.25">
      <c r="A47" s="95" t="s">
        <v>273</v>
      </c>
      <c r="B47" s="46" t="s">
        <v>129</v>
      </c>
      <c r="C47" s="48" t="s">
        <v>25</v>
      </c>
      <c r="D47" s="49">
        <v>1380.2197183098592</v>
      </c>
      <c r="E47" s="50">
        <v>1380.2197183098592</v>
      </c>
      <c r="F47" s="54">
        <v>0.88</v>
      </c>
      <c r="G47" s="51">
        <v>1000</v>
      </c>
      <c r="H47" s="51" t="s">
        <v>72</v>
      </c>
      <c r="I47" s="52">
        <v>3</v>
      </c>
      <c r="J47" s="52">
        <f t="shared" ref="J47:J48" si="36">I47/(G47/1000)</f>
        <v>3</v>
      </c>
      <c r="K47" s="66"/>
      <c r="L47" s="66">
        <f>(D47/F47)/G47</f>
        <v>1.5684314980793854</v>
      </c>
      <c r="M47" s="66" t="s">
        <v>143</v>
      </c>
      <c r="N47" s="66"/>
      <c r="O47" s="66">
        <f t="shared" ref="O47:O48" si="37">L47*I47</f>
        <v>4.7052944942381565</v>
      </c>
      <c r="AE47" s="87" t="s">
        <v>311</v>
      </c>
      <c r="AF47" s="87">
        <v>153</v>
      </c>
      <c r="AH47" s="88" t="s">
        <v>41</v>
      </c>
      <c r="AI47" s="88">
        <v>13</v>
      </c>
    </row>
    <row r="48" spans="1:35" x14ac:dyDescent="0.25">
      <c r="A48" s="95" t="s">
        <v>274</v>
      </c>
      <c r="B48" s="46" t="s">
        <v>129</v>
      </c>
      <c r="C48" s="48" t="s">
        <v>25</v>
      </c>
      <c r="D48" s="49">
        <v>1380.2197183098592</v>
      </c>
      <c r="E48" s="50">
        <v>1380.2197183098592</v>
      </c>
      <c r="F48" s="54">
        <v>0.84</v>
      </c>
      <c r="G48" s="51">
        <v>1000</v>
      </c>
      <c r="H48" s="51" t="s">
        <v>143</v>
      </c>
      <c r="I48" s="52">
        <v>2.6</v>
      </c>
      <c r="J48" s="52">
        <f t="shared" si="36"/>
        <v>2.6</v>
      </c>
      <c r="K48" s="66">
        <f>(E48/F48)/G48</f>
        <v>1.6431187122736419</v>
      </c>
      <c r="L48" s="66">
        <f t="shared" ref="L48" si="38">(D48/F48)/G48</f>
        <v>1.6431187122736419</v>
      </c>
      <c r="M48" s="66" t="s">
        <v>143</v>
      </c>
      <c r="N48" s="66">
        <f t="shared" ref="N48" si="39">K48*I48</f>
        <v>4.272108651911469</v>
      </c>
      <c r="O48" s="66">
        <f t="shared" si="37"/>
        <v>4.272108651911469</v>
      </c>
      <c r="AE48" s="87" t="s">
        <v>312</v>
      </c>
      <c r="AF48" s="87">
        <v>135</v>
      </c>
      <c r="AH48" s="88" t="s">
        <v>161</v>
      </c>
      <c r="AI48" s="88">
        <v>333</v>
      </c>
    </row>
    <row r="49" spans="1:35" x14ac:dyDescent="0.25">
      <c r="A49" s="95" t="s">
        <v>320</v>
      </c>
      <c r="B49" s="46" t="s">
        <v>129</v>
      </c>
      <c r="C49" s="48" t="s">
        <v>25</v>
      </c>
      <c r="D49" s="49">
        <v>92.014647887323974</v>
      </c>
      <c r="E49" s="50">
        <v>92.014647887323974</v>
      </c>
      <c r="F49" s="54">
        <v>0.38</v>
      </c>
      <c r="G49" s="51">
        <v>1000</v>
      </c>
      <c r="H49" s="51" t="s">
        <v>72</v>
      </c>
      <c r="I49" s="52">
        <v>4.5</v>
      </c>
      <c r="J49" s="52">
        <f t="shared" ref="J49" si="40">I49/(G49/1000)</f>
        <v>4.5</v>
      </c>
      <c r="K49" s="66">
        <f t="shared" ref="K49" si="41">(E49/F49)/G49</f>
        <v>0.24214381022979992</v>
      </c>
      <c r="L49" s="66">
        <f t="shared" ref="L49" si="42">(D49/F49)/G49</f>
        <v>0.24214381022979992</v>
      </c>
      <c r="M49" s="66" t="s">
        <v>27</v>
      </c>
      <c r="N49" s="66">
        <f>K49*I49</f>
        <v>1.0896471460340997</v>
      </c>
      <c r="O49" s="66">
        <f>L49*I49</f>
        <v>1.0896471460340997</v>
      </c>
      <c r="AH49" s="88" t="s">
        <v>162</v>
      </c>
      <c r="AI49" s="88">
        <v>79</v>
      </c>
    </row>
    <row r="50" spans="1:35" x14ac:dyDescent="0.25">
      <c r="AE50" s="89" t="s">
        <v>159</v>
      </c>
      <c r="AF50" s="89">
        <v>43</v>
      </c>
      <c r="AH50" s="88" t="s">
        <v>40</v>
      </c>
      <c r="AI50" s="88">
        <v>79</v>
      </c>
    </row>
    <row r="51" spans="1:35" x14ac:dyDescent="0.25">
      <c r="AE51" s="89" t="s">
        <v>160</v>
      </c>
      <c r="AF51" s="89">
        <v>171</v>
      </c>
      <c r="AH51" s="88" t="s">
        <v>165</v>
      </c>
      <c r="AI51" s="88">
        <v>110</v>
      </c>
    </row>
    <row r="52" spans="1:35" x14ac:dyDescent="0.25">
      <c r="AE52" s="89" t="s">
        <v>41</v>
      </c>
      <c r="AF52" s="89">
        <v>22</v>
      </c>
      <c r="AH52" s="88" t="s">
        <v>55</v>
      </c>
      <c r="AI52" s="88">
        <v>110</v>
      </c>
    </row>
    <row r="53" spans="1:35" x14ac:dyDescent="0.25">
      <c r="AE53" s="89" t="s">
        <v>163</v>
      </c>
      <c r="AF53" s="89">
        <v>149</v>
      </c>
      <c r="AH53" s="88" t="s">
        <v>315</v>
      </c>
      <c r="AI53" s="88">
        <v>108</v>
      </c>
    </row>
    <row r="54" spans="1:35" x14ac:dyDescent="0.25">
      <c r="AE54" s="89" t="s">
        <v>164</v>
      </c>
      <c r="AF54" s="89">
        <v>113</v>
      </c>
      <c r="AH54" s="88" t="s">
        <v>41</v>
      </c>
      <c r="AI54" s="88">
        <v>21</v>
      </c>
    </row>
    <row r="55" spans="1:35" x14ac:dyDescent="0.25">
      <c r="AE55" s="89" t="s">
        <v>55</v>
      </c>
      <c r="AF55" s="89">
        <v>113</v>
      </c>
      <c r="AH55" s="88" t="s">
        <v>182</v>
      </c>
      <c r="AI55" s="88">
        <v>87</v>
      </c>
    </row>
    <row r="56" spans="1:35" x14ac:dyDescent="0.25">
      <c r="AE56" s="89" t="s">
        <v>166</v>
      </c>
      <c r="AF56" s="89">
        <v>204</v>
      </c>
      <c r="AH56" s="88" t="s">
        <v>316</v>
      </c>
      <c r="AI56" s="88">
        <v>172</v>
      </c>
    </row>
    <row r="57" spans="1:35" x14ac:dyDescent="0.25">
      <c r="AE57" s="89" t="s">
        <v>56</v>
      </c>
      <c r="AF57" s="89">
        <v>189</v>
      </c>
      <c r="AH57" s="88" t="s">
        <v>167</v>
      </c>
      <c r="AI57" s="88">
        <v>41</v>
      </c>
    </row>
    <row r="58" spans="1:35" x14ac:dyDescent="0.25">
      <c r="AE58" s="89" t="s">
        <v>41</v>
      </c>
      <c r="AF58" s="89">
        <v>15</v>
      </c>
    </row>
    <row r="59" spans="1:35" x14ac:dyDescent="0.25">
      <c r="AE59" s="89" t="s">
        <v>168</v>
      </c>
      <c r="AF59" s="89">
        <v>163</v>
      </c>
      <c r="AH59" s="90" t="s">
        <v>22</v>
      </c>
      <c r="AI59" s="90">
        <v>99</v>
      </c>
    </row>
    <row r="60" spans="1:35" x14ac:dyDescent="0.25">
      <c r="AE60" s="89" t="s">
        <v>41</v>
      </c>
      <c r="AF60" s="89">
        <v>18</v>
      </c>
      <c r="AH60" s="90" t="s">
        <v>169</v>
      </c>
      <c r="AI60" s="90">
        <v>52</v>
      </c>
    </row>
    <row r="61" spans="1:35" x14ac:dyDescent="0.25">
      <c r="AE61" s="89" t="s">
        <v>75</v>
      </c>
      <c r="AF61" s="89">
        <v>145</v>
      </c>
      <c r="AH61" s="90" t="s">
        <v>170</v>
      </c>
      <c r="AI61" s="90">
        <v>169</v>
      </c>
    </row>
    <row r="62" spans="1:35" x14ac:dyDescent="0.25">
      <c r="AE62" s="89" t="s">
        <v>171</v>
      </c>
      <c r="AF62" s="89">
        <v>195</v>
      </c>
      <c r="AH62" s="90" t="s">
        <v>41</v>
      </c>
      <c r="AI62" s="90">
        <v>24</v>
      </c>
    </row>
    <row r="63" spans="1:35" x14ac:dyDescent="0.25">
      <c r="AE63" s="89" t="s">
        <v>41</v>
      </c>
      <c r="AF63" s="89">
        <v>26</v>
      </c>
      <c r="AH63" s="90" t="s">
        <v>172</v>
      </c>
      <c r="AI63" s="90">
        <v>145</v>
      </c>
    </row>
    <row r="64" spans="1:35" x14ac:dyDescent="0.25">
      <c r="AE64" s="89" t="s">
        <v>174</v>
      </c>
      <c r="AF64" s="89">
        <v>169</v>
      </c>
      <c r="AH64" s="90" t="s">
        <v>173</v>
      </c>
      <c r="AI64" s="90">
        <v>254</v>
      </c>
    </row>
    <row r="65" spans="31:35" x14ac:dyDescent="0.25">
      <c r="AE65" s="89" t="s">
        <v>175</v>
      </c>
      <c r="AF65" s="89">
        <v>163</v>
      </c>
      <c r="AH65" s="90" t="s">
        <v>56</v>
      </c>
      <c r="AI65" s="90">
        <v>238</v>
      </c>
    </row>
    <row r="66" spans="31:35" x14ac:dyDescent="0.25">
      <c r="AE66" s="89" t="s">
        <v>56</v>
      </c>
      <c r="AF66" s="89">
        <v>163</v>
      </c>
      <c r="AH66" s="90" t="s">
        <v>41</v>
      </c>
      <c r="AI66" s="90">
        <v>16</v>
      </c>
    </row>
    <row r="67" spans="31:35" x14ac:dyDescent="0.25">
      <c r="AE67" s="89" t="s">
        <v>177</v>
      </c>
      <c r="AF67" s="89">
        <v>206</v>
      </c>
      <c r="AH67" s="90" t="s">
        <v>176</v>
      </c>
      <c r="AI67" s="90">
        <v>136</v>
      </c>
    </row>
    <row r="68" spans="31:35" x14ac:dyDescent="0.25">
      <c r="AE68" s="89" t="s">
        <v>178</v>
      </c>
      <c r="AF68" s="89">
        <v>206</v>
      </c>
      <c r="AH68" s="90" t="s">
        <v>41</v>
      </c>
      <c r="AI68" s="90">
        <v>15</v>
      </c>
    </row>
    <row r="69" spans="31:35" x14ac:dyDescent="0.25">
      <c r="AE69" s="89" t="s">
        <v>180</v>
      </c>
      <c r="AF69" s="89">
        <v>94</v>
      </c>
      <c r="AH69" s="90" t="s">
        <v>179</v>
      </c>
      <c r="AI69" s="90">
        <v>121</v>
      </c>
    </row>
    <row r="70" spans="31:35" x14ac:dyDescent="0.25">
      <c r="AE70" s="89" t="s">
        <v>55</v>
      </c>
      <c r="AF70" s="89">
        <v>94</v>
      </c>
      <c r="AH70" s="90" t="s">
        <v>181</v>
      </c>
      <c r="AI70" s="90">
        <v>104</v>
      </c>
    </row>
    <row r="71" spans="31:35" x14ac:dyDescent="0.25">
      <c r="AE71" s="89" t="s">
        <v>102</v>
      </c>
      <c r="AF71" s="89">
        <v>88</v>
      </c>
      <c r="AH71" s="90" t="s">
        <v>41</v>
      </c>
      <c r="AI71" s="90">
        <v>15</v>
      </c>
    </row>
    <row r="72" spans="31:35" x14ac:dyDescent="0.25">
      <c r="AE72" s="89" t="s">
        <v>55</v>
      </c>
      <c r="AF72" s="89">
        <v>88</v>
      </c>
      <c r="AH72" s="90" t="s">
        <v>182</v>
      </c>
      <c r="AI72" s="90">
        <v>89</v>
      </c>
    </row>
    <row r="73" spans="31:35" x14ac:dyDescent="0.25">
      <c r="AE73" s="89" t="s">
        <v>184</v>
      </c>
      <c r="AF73" s="89">
        <v>54</v>
      </c>
      <c r="AH73" s="90" t="s">
        <v>183</v>
      </c>
      <c r="AI73" s="90">
        <v>255</v>
      </c>
    </row>
    <row r="74" spans="31:35" x14ac:dyDescent="0.25">
      <c r="AE74" s="89" t="s">
        <v>317</v>
      </c>
      <c r="AF74" s="89">
        <v>209</v>
      </c>
      <c r="AH74" s="90" t="s">
        <v>41</v>
      </c>
      <c r="AI74" s="90">
        <v>18</v>
      </c>
    </row>
    <row r="75" spans="31:35" x14ac:dyDescent="0.25">
      <c r="AH75" s="90" t="s">
        <v>74</v>
      </c>
      <c r="AI75" s="90">
        <v>237</v>
      </c>
    </row>
    <row r="76" spans="31:35" x14ac:dyDescent="0.25">
      <c r="AH76" s="90" t="s">
        <v>185</v>
      </c>
      <c r="AI76" s="90">
        <v>136</v>
      </c>
    </row>
    <row r="77" spans="31:35" x14ac:dyDescent="0.25">
      <c r="AH77" s="90" t="s">
        <v>56</v>
      </c>
      <c r="AI77" s="90">
        <v>136</v>
      </c>
    </row>
    <row r="78" spans="31:35" x14ac:dyDescent="0.25">
      <c r="AH78" s="90" t="s">
        <v>180</v>
      </c>
      <c r="AI78" s="90">
        <v>79</v>
      </c>
    </row>
    <row r="79" spans="31:35" x14ac:dyDescent="0.25">
      <c r="AH79" s="90" t="s">
        <v>55</v>
      </c>
      <c r="AI79" s="90">
        <v>79</v>
      </c>
    </row>
    <row r="80" spans="31:35" x14ac:dyDescent="0.25">
      <c r="AH80" s="90" t="s">
        <v>186</v>
      </c>
      <c r="AI80" s="90">
        <v>130</v>
      </c>
    </row>
    <row r="81" spans="34:35" x14ac:dyDescent="0.25">
      <c r="AH81" s="90" t="s">
        <v>55</v>
      </c>
      <c r="AI81" s="90">
        <v>130</v>
      </c>
    </row>
    <row r="82" spans="34:35" x14ac:dyDescent="0.25">
      <c r="AH82" s="90" t="s">
        <v>187</v>
      </c>
      <c r="AI82" s="90">
        <v>58</v>
      </c>
    </row>
    <row r="83" spans="34:35" x14ac:dyDescent="0.25">
      <c r="AH83" s="90" t="s">
        <v>314</v>
      </c>
      <c r="AI83" s="90">
        <v>198</v>
      </c>
    </row>
  </sheetData>
  <autoFilter ref="A1:O44" xr:uid="{00000000-0009-0000-0000-000000000000}"/>
  <pageMargins left="0.75" right="0.75" top="1" bottom="1" header="0.5" footer="0.5"/>
  <ignoredErrors>
    <ignoredError sqref="AC8" 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00B050"/>
    <pageSetUpPr fitToPage="1"/>
  </sheetPr>
  <dimension ref="A1:Y27"/>
  <sheetViews>
    <sheetView topLeftCell="B1" zoomScale="85" zoomScaleNormal="85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3.140625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1.85546875" customWidth="1"/>
    <col min="17" max="17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216</v>
      </c>
      <c r="F1" s="17" t="s">
        <v>190</v>
      </c>
      <c r="G1" s="10">
        <f>D1/B1</f>
        <v>216</v>
      </c>
      <c r="H1" s="17" t="s">
        <v>191</v>
      </c>
      <c r="I1" s="21">
        <v>20</v>
      </c>
      <c r="J1" s="1"/>
      <c r="K1" s="23" t="s">
        <v>192</v>
      </c>
      <c r="U1" s="91" t="s">
        <v>20</v>
      </c>
      <c r="V1" s="92">
        <v>214</v>
      </c>
    </row>
    <row r="2" spans="1:25" ht="14.25" customHeight="1" x14ac:dyDescent="0.25">
      <c r="A2" s="40"/>
      <c r="B2" s="138" t="s">
        <v>193</v>
      </c>
      <c r="C2" s="139"/>
      <c r="D2" s="139"/>
      <c r="E2" s="139"/>
      <c r="F2" s="139"/>
      <c r="G2" s="139"/>
      <c r="H2" s="139"/>
      <c r="I2" s="32"/>
      <c r="J2" s="32"/>
      <c r="K2" s="33"/>
    </row>
    <row r="3" spans="1:25" ht="14.25" customHeight="1" x14ac:dyDescent="0.25">
      <c r="A3" s="41"/>
      <c r="B3" s="138" t="s">
        <v>194</v>
      </c>
      <c r="C3" s="139"/>
      <c r="D3" s="139"/>
      <c r="E3" s="139"/>
      <c r="F3" s="139"/>
      <c r="G3" s="139"/>
      <c r="H3" s="139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1"/>
      <c r="B5" s="11" t="s">
        <v>34</v>
      </c>
      <c r="C5" s="16" t="s">
        <v>36</v>
      </c>
      <c r="D5" s="15">
        <v>1.215066828675577</v>
      </c>
      <c r="E5" s="12">
        <f t="shared" ref="E5:E10" si="0">$G$1</f>
        <v>216</v>
      </c>
      <c r="F5" s="13">
        <v>1</v>
      </c>
      <c r="G5" s="12">
        <f t="shared" ref="G5:G10" si="1">E5*D5</f>
        <v>262.45443499392462</v>
      </c>
      <c r="H5" s="56">
        <f t="shared" ref="H5:H10" si="2">G5*F5</f>
        <v>262.45443499392462</v>
      </c>
      <c r="I5" s="60">
        <f>VLOOKUP(B5,Ordering!$A$1:$J$45,6,FALSE)</f>
        <v>1</v>
      </c>
      <c r="J5" s="58">
        <f>VLOOKUP(B5,Ordering!$A$1:$J$45,10,FALSE)</f>
        <v>5</v>
      </c>
      <c r="K5" s="15">
        <f t="shared" ref="K5:K10" si="3">((H5/(I5))/1000)</f>
        <v>0.26245443499392462</v>
      </c>
      <c r="L5" s="70">
        <f t="shared" ref="L5:L10" si="4">J5*K5</f>
        <v>1.3122721749696231</v>
      </c>
    </row>
    <row r="6" spans="1:25" ht="14.85" customHeight="1" x14ac:dyDescent="0.25">
      <c r="A6" s="11"/>
      <c r="B6" s="11" t="s">
        <v>80</v>
      </c>
      <c r="C6" s="16" t="s">
        <v>206</v>
      </c>
      <c r="D6" s="15">
        <v>2.430133657351154E-2</v>
      </c>
      <c r="E6" s="12">
        <f t="shared" si="0"/>
        <v>216</v>
      </c>
      <c r="F6" s="13">
        <v>1</v>
      </c>
      <c r="G6" s="12">
        <f t="shared" si="1"/>
        <v>5.2490886998784925</v>
      </c>
      <c r="H6" s="56">
        <f t="shared" si="2"/>
        <v>5.2490886998784925</v>
      </c>
      <c r="I6" s="60">
        <f>VLOOKUP(B6,Ordering!$A$1:$J$45,6,FALSE)</f>
        <v>1</v>
      </c>
      <c r="J6" s="58">
        <f>VLOOKUP(B6,Ordering!$A$1:$J$45,10,FALSE)</f>
        <v>8</v>
      </c>
      <c r="K6" s="15">
        <f t="shared" si="3"/>
        <v>5.2490886998784927E-3</v>
      </c>
      <c r="L6" s="70">
        <f t="shared" si="4"/>
        <v>4.1992709599027941E-2</v>
      </c>
    </row>
    <row r="7" spans="1:25" ht="14.85" customHeight="1" x14ac:dyDescent="0.25">
      <c r="A7" s="11"/>
      <c r="B7" s="11" t="s">
        <v>88</v>
      </c>
      <c r="C7" s="16" t="s">
        <v>206</v>
      </c>
      <c r="D7" s="15">
        <v>8.910490076954232E-2</v>
      </c>
      <c r="E7" s="12">
        <f t="shared" si="0"/>
        <v>216</v>
      </c>
      <c r="F7" s="13">
        <v>1</v>
      </c>
      <c r="G7" s="12">
        <f t="shared" si="1"/>
        <v>19.246658566221139</v>
      </c>
      <c r="H7" s="56">
        <f t="shared" si="2"/>
        <v>19.246658566221139</v>
      </c>
      <c r="I7" s="60">
        <f>VLOOKUP(B7,Ordering!$A$1:$J$45,6,FALSE)</f>
        <v>1</v>
      </c>
      <c r="J7" s="58">
        <f>VLOOKUP(B7,Ordering!$A$1:$J$45,10,FALSE)</f>
        <v>0.74</v>
      </c>
      <c r="K7" s="15">
        <f t="shared" si="3"/>
        <v>1.9246658566221139E-2</v>
      </c>
      <c r="L7" s="70">
        <f t="shared" si="4"/>
        <v>1.4242527339003642E-2</v>
      </c>
      <c r="P7" s="35"/>
      <c r="V7" s="68"/>
    </row>
    <row r="8" spans="1:25" ht="14.85" customHeight="1" x14ac:dyDescent="0.25">
      <c r="A8" s="11"/>
      <c r="B8" s="11" t="s">
        <v>66</v>
      </c>
      <c r="C8" s="16" t="s">
        <v>36</v>
      </c>
      <c r="D8" s="15">
        <v>10.54678007290401</v>
      </c>
      <c r="E8" s="12">
        <f t="shared" si="0"/>
        <v>216</v>
      </c>
      <c r="F8" s="13">
        <v>1</v>
      </c>
      <c r="G8" s="12">
        <f t="shared" si="1"/>
        <v>2278.1044957472664</v>
      </c>
      <c r="H8" s="56">
        <f t="shared" si="2"/>
        <v>2278.1044957472664</v>
      </c>
      <c r="I8" s="60">
        <f>VLOOKUP(B8,Ordering!$A$1:$J$45,6,FALSE)</f>
        <v>1</v>
      </c>
      <c r="J8" s="58">
        <f>VLOOKUP(B8,Ordering!$A$1:$J$45,10,FALSE)</f>
        <v>0</v>
      </c>
      <c r="K8" s="15">
        <f t="shared" si="3"/>
        <v>2.2781044957472663</v>
      </c>
      <c r="L8" s="70">
        <f t="shared" si="4"/>
        <v>0</v>
      </c>
      <c r="V8" s="63" t="s">
        <v>207</v>
      </c>
      <c r="W8" s="64">
        <v>1</v>
      </c>
      <c r="X8" s="63" t="s">
        <v>205</v>
      </c>
      <c r="Y8" s="65">
        <f>(SUM(L5:L10)/Q20)*W8</f>
        <v>8.8093479141352765E-2</v>
      </c>
    </row>
    <row r="9" spans="1:25" ht="14.85" customHeight="1" x14ac:dyDescent="0.25">
      <c r="A9" s="11"/>
      <c r="B9" s="11" t="s">
        <v>76</v>
      </c>
      <c r="C9" s="16" t="s">
        <v>206</v>
      </c>
      <c r="D9" s="15">
        <v>2.430133657351154E-2</v>
      </c>
      <c r="E9" s="12">
        <f t="shared" si="0"/>
        <v>216</v>
      </c>
      <c r="F9" s="13">
        <v>1</v>
      </c>
      <c r="G9" s="12">
        <f t="shared" si="1"/>
        <v>5.2490886998784925</v>
      </c>
      <c r="H9" s="56">
        <f t="shared" si="2"/>
        <v>5.2490886998784925</v>
      </c>
      <c r="I9" s="60">
        <f>VLOOKUP(B9,Ordering!$A$1:$J$45,6,FALSE)</f>
        <v>1</v>
      </c>
      <c r="J9" s="58">
        <f>VLOOKUP(B9,Ordering!$A$1:$J$45,10,FALSE)</f>
        <v>31</v>
      </c>
      <c r="K9" s="15">
        <f t="shared" si="3"/>
        <v>5.2490886998784927E-3</v>
      </c>
      <c r="L9" s="70">
        <f t="shared" si="4"/>
        <v>0.16272174969623326</v>
      </c>
    </row>
    <row r="10" spans="1:25" ht="14.85" customHeight="1" x14ac:dyDescent="0.25">
      <c r="A10" s="11"/>
      <c r="B10" s="11" t="s">
        <v>51</v>
      </c>
      <c r="C10" s="16" t="s">
        <v>206</v>
      </c>
      <c r="D10" s="15">
        <v>8.1004455245038471</v>
      </c>
      <c r="E10" s="12">
        <f t="shared" si="0"/>
        <v>216</v>
      </c>
      <c r="F10" s="13">
        <v>1</v>
      </c>
      <c r="G10" s="12">
        <f t="shared" si="1"/>
        <v>1749.696233292831</v>
      </c>
      <c r="H10" s="56">
        <f t="shared" si="2"/>
        <v>1749.696233292831</v>
      </c>
      <c r="I10" s="60">
        <f>VLOOKUP(B10,Ordering!$A$1:$J$45,6,FALSE)</f>
        <v>1</v>
      </c>
      <c r="J10" s="58">
        <f>VLOOKUP(B10,Ordering!$A$1:$J$45,10,FALSE)</f>
        <v>10</v>
      </c>
      <c r="K10" s="15">
        <f t="shared" si="3"/>
        <v>1.749696233292831</v>
      </c>
      <c r="L10" s="70">
        <f t="shared" si="4"/>
        <v>17.496962332928309</v>
      </c>
    </row>
    <row r="11" spans="1:25" x14ac:dyDescent="0.25">
      <c r="B11" s="57" t="s">
        <v>191</v>
      </c>
      <c r="C11" s="132" t="s">
        <v>206</v>
      </c>
      <c r="D11" s="127">
        <f>$I$1</f>
        <v>20</v>
      </c>
      <c r="E11" s="133"/>
      <c r="F11" s="133"/>
      <c r="G11" s="134" t="s">
        <v>325</v>
      </c>
      <c r="H11" s="135">
        <f>SUM(H5:H10)</f>
        <v>4320</v>
      </c>
    </row>
    <row r="12" spans="1:25" ht="14.85" customHeight="1" x14ac:dyDescent="0.25">
      <c r="M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214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216</v>
      </c>
    </row>
    <row r="21" spans="11:17" x14ac:dyDescent="0.25">
      <c r="P21" s="61" t="s">
        <v>205</v>
      </c>
      <c r="Q21" s="67">
        <f>SUM(L5:L10)</f>
        <v>19.028191494532198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1">
    <tabColor rgb="FF00B050"/>
    <pageSetUpPr fitToPage="1"/>
  </sheetPr>
  <dimension ref="A1:Y27"/>
  <sheetViews>
    <sheetView zoomScale="70" zoomScaleNormal="70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216</v>
      </c>
      <c r="F1" s="17" t="s">
        <v>190</v>
      </c>
      <c r="G1" s="10">
        <f>D1/B1</f>
        <v>216</v>
      </c>
      <c r="H1" s="17" t="s">
        <v>191</v>
      </c>
      <c r="I1" s="21">
        <v>20</v>
      </c>
      <c r="J1" s="1"/>
      <c r="K1" s="23" t="s">
        <v>192</v>
      </c>
      <c r="U1" s="93" t="s">
        <v>20</v>
      </c>
      <c r="V1" s="94">
        <v>214</v>
      </c>
    </row>
    <row r="2" spans="1:25" ht="14.25" customHeight="1" x14ac:dyDescent="0.25">
      <c r="A2" s="39"/>
      <c r="B2" s="142" t="s">
        <v>213</v>
      </c>
      <c r="C2" s="139"/>
      <c r="D2" s="139"/>
      <c r="E2" s="139"/>
      <c r="F2" s="139"/>
      <c r="G2" s="139"/>
      <c r="H2" s="143"/>
      <c r="I2" s="32"/>
      <c r="J2" s="32"/>
      <c r="K2" s="33"/>
    </row>
    <row r="3" spans="1:25" ht="14.25" customHeight="1" x14ac:dyDescent="0.25">
      <c r="A3" s="41"/>
      <c r="B3" s="138" t="s">
        <v>194</v>
      </c>
      <c r="C3" s="139"/>
      <c r="D3" s="139"/>
      <c r="E3" s="139"/>
      <c r="F3" s="139"/>
      <c r="G3" s="139"/>
      <c r="H3" s="139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1"/>
      <c r="B5" s="11" t="s">
        <v>149</v>
      </c>
      <c r="C5" s="16" t="s">
        <v>206</v>
      </c>
      <c r="D5" s="15">
        <v>19.3</v>
      </c>
      <c r="E5" s="12">
        <f t="shared" ref="E5:E10" si="0">$G$1</f>
        <v>216</v>
      </c>
      <c r="F5" s="13">
        <v>1</v>
      </c>
      <c r="G5" s="12">
        <f t="shared" ref="G5:G10" si="1">E5*D5</f>
        <v>4168.8</v>
      </c>
      <c r="H5" s="56">
        <f t="shared" ref="H5:H10" si="2">G5*F5</f>
        <v>4168.8</v>
      </c>
      <c r="I5" s="11">
        <f>VLOOKUP(B5,Ordering!$A$1:$J$45,6,FALSE)</f>
        <v>0.98</v>
      </c>
      <c r="J5" s="58">
        <f>VLOOKUP(B5,Ordering!$A$1:$J$45,10,FALSE)</f>
        <v>3.5</v>
      </c>
      <c r="K5" s="15">
        <f t="shared" ref="K5:K10" si="3">((H5/(I5))/1000)</f>
        <v>4.253877551020409</v>
      </c>
      <c r="L5" s="70">
        <f t="shared" ref="L5:L10" si="4">J5*K5</f>
        <v>14.888571428571431</v>
      </c>
    </row>
    <row r="6" spans="1:25" ht="14.85" customHeight="1" x14ac:dyDescent="0.25">
      <c r="A6" s="11"/>
      <c r="B6" s="11" t="s">
        <v>146</v>
      </c>
      <c r="C6" s="16" t="s">
        <v>206</v>
      </c>
      <c r="D6" s="15">
        <v>0.11</v>
      </c>
      <c r="E6" s="12">
        <f t="shared" si="0"/>
        <v>216</v>
      </c>
      <c r="F6" s="13">
        <v>1</v>
      </c>
      <c r="G6" s="12">
        <f t="shared" si="1"/>
        <v>23.76</v>
      </c>
      <c r="H6" s="56">
        <f t="shared" si="2"/>
        <v>23.76</v>
      </c>
      <c r="I6" s="11">
        <f>VLOOKUP(B6,Ordering!$A$1:$J$45,6,FALSE)</f>
        <v>0.96</v>
      </c>
      <c r="J6" s="58">
        <f>VLOOKUP(B6,Ordering!$A$1:$J$45,10,FALSE)</f>
        <v>4</v>
      </c>
      <c r="K6" s="15">
        <f t="shared" si="3"/>
        <v>2.4750000000000005E-2</v>
      </c>
      <c r="L6" s="70">
        <f t="shared" si="4"/>
        <v>9.9000000000000019E-2</v>
      </c>
    </row>
    <row r="7" spans="1:25" ht="14.85" customHeight="1" x14ac:dyDescent="0.25">
      <c r="A7" s="11"/>
      <c r="B7" s="11" t="s">
        <v>133</v>
      </c>
      <c r="C7" s="16" t="s">
        <v>206</v>
      </c>
      <c r="D7" s="15">
        <v>0.12</v>
      </c>
      <c r="E7" s="12">
        <f t="shared" si="0"/>
        <v>216</v>
      </c>
      <c r="F7" s="13">
        <v>1</v>
      </c>
      <c r="G7" s="12">
        <f t="shared" si="1"/>
        <v>25.919999999999998</v>
      </c>
      <c r="H7" s="56">
        <f t="shared" si="2"/>
        <v>25.919999999999998</v>
      </c>
      <c r="I7" s="11">
        <f>VLOOKUP(B7,Ordering!$A$1:$J$45,6,FALSE)</f>
        <v>0.94</v>
      </c>
      <c r="J7" s="58">
        <f>VLOOKUP(B7,Ordering!$A$1:$J$45,10,FALSE)</f>
        <v>3.6363636363636371</v>
      </c>
      <c r="K7" s="15">
        <f t="shared" si="3"/>
        <v>2.7574468085106382E-2</v>
      </c>
      <c r="L7" s="70">
        <f t="shared" si="4"/>
        <v>0.1002707930367505</v>
      </c>
      <c r="R7" s="35"/>
    </row>
    <row r="8" spans="1:25" ht="14.85" customHeight="1" x14ac:dyDescent="0.25">
      <c r="A8" s="11"/>
      <c r="B8" s="11" t="s">
        <v>98</v>
      </c>
      <c r="C8" s="16" t="s">
        <v>206</v>
      </c>
      <c r="D8" s="71">
        <v>6.9999999999999999E-4</v>
      </c>
      <c r="E8" s="12">
        <f t="shared" si="0"/>
        <v>216</v>
      </c>
      <c r="F8" s="13">
        <v>1</v>
      </c>
      <c r="G8" s="128">
        <f t="shared" si="1"/>
        <v>0.1512</v>
      </c>
      <c r="H8" s="129">
        <f t="shared" si="2"/>
        <v>0.1512</v>
      </c>
      <c r="I8" s="11">
        <f>VLOOKUP(B8,Ordering!$A$1:$J$45,6,FALSE)</f>
        <v>1</v>
      </c>
      <c r="J8" s="58">
        <f>VLOOKUP(B8,Ordering!$A$1:$J$45,10,FALSE)</f>
        <v>35</v>
      </c>
      <c r="K8" s="71">
        <f t="shared" si="3"/>
        <v>1.5119999999999999E-4</v>
      </c>
      <c r="L8" s="70">
        <f t="shared" si="4"/>
        <v>5.2919999999999998E-3</v>
      </c>
      <c r="V8" s="63" t="s">
        <v>207</v>
      </c>
      <c r="W8" s="64">
        <v>1</v>
      </c>
      <c r="X8" s="63" t="s">
        <v>205</v>
      </c>
      <c r="Y8" s="65">
        <f>(SUM(L5:L10)/Q20)*W8</f>
        <v>6.9924461396334181E-2</v>
      </c>
    </row>
    <row r="9" spans="1:25" ht="14.85" customHeight="1" x14ac:dyDescent="0.25">
      <c r="A9" s="11"/>
      <c r="B9" s="11" t="s">
        <v>88</v>
      </c>
      <c r="C9" s="16" t="s">
        <v>206</v>
      </c>
      <c r="D9" s="15">
        <v>6.6000000000000003E-2</v>
      </c>
      <c r="E9" s="12">
        <f t="shared" si="0"/>
        <v>216</v>
      </c>
      <c r="F9" s="13">
        <v>1</v>
      </c>
      <c r="G9" s="12">
        <f t="shared" si="1"/>
        <v>14.256</v>
      </c>
      <c r="H9" s="56">
        <f t="shared" si="2"/>
        <v>14.256</v>
      </c>
      <c r="I9" s="11">
        <f>VLOOKUP(B9,Ordering!$A$1:$J$45,6,FALSE)</f>
        <v>1</v>
      </c>
      <c r="J9" s="58">
        <f>VLOOKUP(B9,Ordering!$A$1:$J$45,10,FALSE)</f>
        <v>0.74</v>
      </c>
      <c r="K9" s="15">
        <f t="shared" si="3"/>
        <v>1.4256E-2</v>
      </c>
      <c r="L9" s="70">
        <f t="shared" si="4"/>
        <v>1.054944E-2</v>
      </c>
    </row>
    <row r="10" spans="1:25" ht="14.85" customHeight="1" x14ac:dyDescent="0.25">
      <c r="A10" s="11"/>
      <c r="B10" s="11" t="s">
        <v>66</v>
      </c>
      <c r="C10" s="16" t="s">
        <v>36</v>
      </c>
      <c r="D10" s="15">
        <v>0.40899999999999997</v>
      </c>
      <c r="E10" s="12">
        <f t="shared" si="0"/>
        <v>216</v>
      </c>
      <c r="F10" s="13">
        <v>1</v>
      </c>
      <c r="G10" s="12">
        <f t="shared" si="1"/>
        <v>88.343999999999994</v>
      </c>
      <c r="H10" s="56">
        <f t="shared" si="2"/>
        <v>88.343999999999994</v>
      </c>
      <c r="I10" s="11">
        <f>VLOOKUP(B10,Ordering!$A$1:$J$45,6,FALSE)</f>
        <v>1</v>
      </c>
      <c r="J10" s="58">
        <f>VLOOKUP(B10,Ordering!$A$1:$J$45,10,FALSE)</f>
        <v>0</v>
      </c>
      <c r="K10" s="15">
        <f t="shared" si="3"/>
        <v>8.8343999999999992E-2</v>
      </c>
      <c r="L10" s="73">
        <f t="shared" si="4"/>
        <v>0</v>
      </c>
    </row>
    <row r="11" spans="1:25" x14ac:dyDescent="0.25">
      <c r="B11" s="57" t="s">
        <v>191</v>
      </c>
      <c r="C11" s="132" t="s">
        <v>206</v>
      </c>
      <c r="D11" s="127">
        <f>$I$1</f>
        <v>20</v>
      </c>
      <c r="E11" s="133"/>
      <c r="F11" s="133"/>
      <c r="G11" s="134" t="s">
        <v>325</v>
      </c>
      <c r="H11" s="135">
        <f>SUM(H5:H10)</f>
        <v>4321.2312000000011</v>
      </c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214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216</v>
      </c>
    </row>
    <row r="21" spans="11:17" x14ac:dyDescent="0.25">
      <c r="P21" s="61" t="s">
        <v>205</v>
      </c>
      <c r="Q21" s="62">
        <f>SUM(L5:L10)</f>
        <v>15.103683661608184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  <pageSetUpPr fitToPage="1"/>
  </sheetPr>
  <dimension ref="A1:Y27"/>
  <sheetViews>
    <sheetView zoomScale="70" zoomScaleNormal="70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152</v>
      </c>
      <c r="F1" s="17" t="s">
        <v>190</v>
      </c>
      <c r="G1" s="10">
        <f>D1/B1</f>
        <v>152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150</v>
      </c>
    </row>
    <row r="2" spans="1:25" ht="14.25" customHeight="1" x14ac:dyDescent="0.25">
      <c r="A2" s="37"/>
      <c r="B2" s="138" t="s">
        <v>214</v>
      </c>
      <c r="C2" s="139"/>
      <c r="D2" s="139"/>
      <c r="E2" s="139"/>
      <c r="F2" s="139"/>
      <c r="G2" s="139"/>
      <c r="H2" s="139"/>
      <c r="I2" s="32"/>
      <c r="J2" s="32"/>
      <c r="K2" s="33"/>
    </row>
    <row r="3" spans="1:25" ht="14.25" customHeight="1" x14ac:dyDescent="0.25">
      <c r="A3" s="38"/>
      <c r="B3" s="144" t="s">
        <v>215</v>
      </c>
      <c r="C3" s="145"/>
      <c r="D3" s="145"/>
      <c r="E3" s="145"/>
      <c r="F3" s="145"/>
      <c r="G3" s="145"/>
      <c r="H3" s="145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1"/>
      <c r="B5" s="11" t="s">
        <v>23</v>
      </c>
      <c r="C5" s="16" t="s">
        <v>206</v>
      </c>
      <c r="D5" s="15">
        <v>20</v>
      </c>
      <c r="E5" s="12">
        <f t="shared" ref="E5:E10" si="0">$G$1</f>
        <v>152</v>
      </c>
      <c r="F5" s="13">
        <v>1</v>
      </c>
      <c r="G5" s="12">
        <f t="shared" ref="G5:G10" si="1">E5*D5</f>
        <v>3040</v>
      </c>
      <c r="H5" s="56">
        <f t="shared" ref="H5:H10" si="2">G5*F5</f>
        <v>3040</v>
      </c>
      <c r="I5" s="11">
        <f>VLOOKUP(B5,Ordering!$A$1:$J$45,6,FALSE)</f>
        <v>1</v>
      </c>
      <c r="J5" s="58">
        <f>VLOOKUP(B5,Ordering!$A$1:$J$45,10,FALSE)</f>
        <v>6.6959999999999997</v>
      </c>
      <c r="K5" s="58">
        <f t="shared" ref="K5:K10" si="3">((H5/(I5))/1000)</f>
        <v>3.04</v>
      </c>
      <c r="L5" s="59">
        <f t="shared" ref="L5:L10" si="4">J5*K5</f>
        <v>20.355840000000001</v>
      </c>
    </row>
    <row r="6" spans="1:25" ht="14.85" customHeight="1" x14ac:dyDescent="0.25">
      <c r="A6" s="11"/>
      <c r="B6" s="11" t="s">
        <v>142</v>
      </c>
      <c r="C6" s="16" t="s">
        <v>206</v>
      </c>
      <c r="D6" s="15">
        <v>5.4</v>
      </c>
      <c r="E6" s="12">
        <f t="shared" si="0"/>
        <v>152</v>
      </c>
      <c r="F6" s="13">
        <v>1</v>
      </c>
      <c r="G6" s="12">
        <f t="shared" si="1"/>
        <v>820.80000000000007</v>
      </c>
      <c r="H6" s="56">
        <f t="shared" si="2"/>
        <v>820.80000000000007</v>
      </c>
      <c r="I6" s="11">
        <f>VLOOKUP(B6,Ordering!$A$1:$J$45,6,FALSE)</f>
        <v>0.8</v>
      </c>
      <c r="J6" s="58">
        <f>VLOOKUP(B6,Ordering!$A$1:$J$45,10,FALSE)</f>
        <v>3</v>
      </c>
      <c r="K6" s="58">
        <f t="shared" si="3"/>
        <v>1.026</v>
      </c>
      <c r="L6" s="59">
        <f t="shared" si="4"/>
        <v>3.0780000000000003</v>
      </c>
    </row>
    <row r="7" spans="1:25" ht="14.85" customHeight="1" x14ac:dyDescent="0.25">
      <c r="A7" s="11"/>
      <c r="B7" s="11" t="s">
        <v>80</v>
      </c>
      <c r="C7" s="16" t="s">
        <v>206</v>
      </c>
      <c r="D7" s="15">
        <v>0.05</v>
      </c>
      <c r="E7" s="12">
        <f t="shared" si="0"/>
        <v>152</v>
      </c>
      <c r="F7" s="13">
        <v>1</v>
      </c>
      <c r="G7" s="12">
        <f t="shared" si="1"/>
        <v>7.6000000000000005</v>
      </c>
      <c r="H7" s="56">
        <f t="shared" si="2"/>
        <v>7.6000000000000005</v>
      </c>
      <c r="I7" s="11">
        <f>VLOOKUP(B7,Ordering!$A$1:$J$45,6,FALSE)</f>
        <v>1</v>
      </c>
      <c r="J7" s="58">
        <f>VLOOKUP(B7,Ordering!$A$1:$J$45,10,FALSE)</f>
        <v>8</v>
      </c>
      <c r="K7" s="58">
        <f t="shared" si="3"/>
        <v>7.6000000000000009E-3</v>
      </c>
      <c r="L7" s="59">
        <f t="shared" si="4"/>
        <v>6.0800000000000007E-2</v>
      </c>
      <c r="R7" s="35"/>
      <c r="V7" s="69"/>
    </row>
    <row r="8" spans="1:25" ht="14.85" customHeight="1" x14ac:dyDescent="0.25">
      <c r="A8" s="11"/>
      <c r="B8" s="11" t="s">
        <v>120</v>
      </c>
      <c r="C8" s="16" t="s">
        <v>206</v>
      </c>
      <c r="D8" s="15">
        <v>0.02</v>
      </c>
      <c r="E8" s="12">
        <f t="shared" si="0"/>
        <v>152</v>
      </c>
      <c r="F8" s="13">
        <v>1</v>
      </c>
      <c r="G8" s="12">
        <f t="shared" si="1"/>
        <v>3.04</v>
      </c>
      <c r="H8" s="56">
        <f t="shared" si="2"/>
        <v>3.04</v>
      </c>
      <c r="I8" s="11">
        <f>VLOOKUP(B8,Ordering!$A$1:$J$45,6,FALSE)</f>
        <v>1</v>
      </c>
      <c r="J8" s="58">
        <f>VLOOKUP(B8,Ordering!$A$1:$J$45,10,FALSE)</f>
        <v>20</v>
      </c>
      <c r="K8" s="58">
        <f t="shared" si="3"/>
        <v>3.0400000000000002E-3</v>
      </c>
      <c r="L8" s="59">
        <f t="shared" si="4"/>
        <v>6.0800000000000007E-2</v>
      </c>
      <c r="V8" s="63" t="s">
        <v>207</v>
      </c>
      <c r="W8" s="64">
        <v>1</v>
      </c>
      <c r="X8" s="63" t="s">
        <v>205</v>
      </c>
      <c r="Y8" s="65">
        <f>(SUM(L5:L10)/Q20)*W8</f>
        <v>0.15502920000000001</v>
      </c>
    </row>
    <row r="9" spans="1:25" ht="14.85" customHeight="1" x14ac:dyDescent="0.25">
      <c r="A9" s="11"/>
      <c r="B9" s="11" t="s">
        <v>66</v>
      </c>
      <c r="C9" s="16" t="s">
        <v>36</v>
      </c>
      <c r="D9" s="15">
        <v>9.4499999999999993</v>
      </c>
      <c r="E9" s="12">
        <f t="shared" si="0"/>
        <v>152</v>
      </c>
      <c r="F9" s="13">
        <v>1</v>
      </c>
      <c r="G9" s="12">
        <f t="shared" si="1"/>
        <v>1436.3999999999999</v>
      </c>
      <c r="H9" s="56">
        <f t="shared" si="2"/>
        <v>1436.3999999999999</v>
      </c>
      <c r="I9" s="11">
        <f>VLOOKUP(B9,Ordering!$A$1:$J$45,6,FALSE)</f>
        <v>1</v>
      </c>
      <c r="J9" s="58">
        <f>VLOOKUP(B9,Ordering!$A$1:$J$45,10,FALSE)</f>
        <v>0</v>
      </c>
      <c r="K9" s="58">
        <f t="shared" si="3"/>
        <v>1.4363999999999999</v>
      </c>
      <c r="L9" s="59">
        <f t="shared" si="4"/>
        <v>0</v>
      </c>
    </row>
    <row r="10" spans="1:25" ht="14.85" customHeight="1" x14ac:dyDescent="0.25">
      <c r="A10" s="11"/>
      <c r="B10" s="11" t="s">
        <v>88</v>
      </c>
      <c r="C10" s="16" t="s">
        <v>206</v>
      </c>
      <c r="D10" s="15">
        <v>0.08</v>
      </c>
      <c r="E10" s="12">
        <f t="shared" si="0"/>
        <v>152</v>
      </c>
      <c r="F10" s="13">
        <v>1</v>
      </c>
      <c r="G10" s="12">
        <f t="shared" si="1"/>
        <v>12.16</v>
      </c>
      <c r="H10" s="56">
        <f t="shared" si="2"/>
        <v>12.16</v>
      </c>
      <c r="I10" s="11">
        <f>VLOOKUP(B10,Ordering!$A$1:$J$45,6,FALSE)</f>
        <v>1</v>
      </c>
      <c r="J10" s="58">
        <f>VLOOKUP(B10,Ordering!$A$1:$J$45,10,FALSE)</f>
        <v>0.74</v>
      </c>
      <c r="K10" s="58">
        <f t="shared" si="3"/>
        <v>1.2160000000000001E-2</v>
      </c>
      <c r="L10" s="59">
        <f t="shared" si="4"/>
        <v>8.9984000000000001E-3</v>
      </c>
    </row>
    <row r="11" spans="1:25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5320</v>
      </c>
      <c r="M11" s="72"/>
      <c r="N11" s="22"/>
    </row>
    <row r="12" spans="1:25" ht="14.85" customHeight="1" x14ac:dyDescent="0.25">
      <c r="M12" s="72"/>
      <c r="N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/>
      <c r="Q17" s="3"/>
    </row>
    <row r="18" spans="11:17" ht="14.85" customHeight="1" thickBot="1" x14ac:dyDescent="0.3">
      <c r="P18" s="4" t="s">
        <v>210</v>
      </c>
      <c r="Q18" s="5">
        <f>V1</f>
        <v>150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152</v>
      </c>
    </row>
    <row r="21" spans="11:17" x14ac:dyDescent="0.25">
      <c r="P21" s="61" t="s">
        <v>205</v>
      </c>
      <c r="Q21" s="67">
        <f>SUM(L5:L10)</f>
        <v>23.5644384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rgb="FF00B050"/>
    <pageSetUpPr fitToPage="1"/>
  </sheetPr>
  <dimension ref="A1:Y27"/>
  <sheetViews>
    <sheetView topLeftCell="B1" zoomScale="85" zoomScaleNormal="85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121</v>
      </c>
      <c r="F1" s="17" t="s">
        <v>190</v>
      </c>
      <c r="G1" s="10">
        <f>D1/B1</f>
        <v>121</v>
      </c>
      <c r="H1" s="17" t="s">
        <v>191</v>
      </c>
      <c r="I1" s="21">
        <v>20</v>
      </c>
      <c r="J1" s="1"/>
      <c r="K1" s="23" t="s">
        <v>192</v>
      </c>
      <c r="U1" s="93" t="s">
        <v>20</v>
      </c>
      <c r="V1" s="94">
        <v>119</v>
      </c>
    </row>
    <row r="2" spans="1:25" ht="14.25" customHeight="1" x14ac:dyDescent="0.25">
      <c r="A2" s="39"/>
      <c r="B2" s="146" t="s">
        <v>216</v>
      </c>
      <c r="C2" s="139"/>
      <c r="D2" s="139"/>
      <c r="E2" s="139"/>
      <c r="F2" s="139"/>
      <c r="G2" s="139"/>
      <c r="H2" s="139"/>
      <c r="I2" s="32"/>
      <c r="J2" s="32"/>
      <c r="K2" s="33"/>
    </row>
    <row r="3" spans="1:25" ht="14.25" customHeight="1" x14ac:dyDescent="0.25">
      <c r="A3" s="41"/>
      <c r="B3" s="144" t="s">
        <v>217</v>
      </c>
      <c r="C3" s="145"/>
      <c r="D3" s="145"/>
      <c r="E3" s="145"/>
      <c r="F3" s="145"/>
      <c r="G3" s="145"/>
      <c r="H3" s="145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1"/>
      <c r="B5" s="11" t="s">
        <v>42</v>
      </c>
      <c r="C5" s="16" t="s">
        <v>206</v>
      </c>
      <c r="D5" s="15">
        <v>19.420000000000002</v>
      </c>
      <c r="E5" s="12">
        <f>$G$1</f>
        <v>121</v>
      </c>
      <c r="F5" s="13">
        <v>1</v>
      </c>
      <c r="G5" s="12">
        <f>E5*D5</f>
        <v>2349.8200000000002</v>
      </c>
      <c r="H5" s="56">
        <f>G5*F5</f>
        <v>2349.8200000000002</v>
      </c>
      <c r="I5" s="11">
        <f>VLOOKUP(B5,Ordering!$A$1:$J$45,6,FALSE)</f>
        <v>1</v>
      </c>
      <c r="J5" s="58">
        <f>VLOOKUP(B5,Ordering!$A$1:$J$45,10,FALSE)</f>
        <v>6.4189189189189184</v>
      </c>
      <c r="K5" s="58">
        <f>((H5/(I5))/1000)</f>
        <v>2.3498200000000002</v>
      </c>
      <c r="L5" s="59">
        <f>J5*K5</f>
        <v>15.083304054054054</v>
      </c>
    </row>
    <row r="6" spans="1:25" ht="14.85" customHeight="1" x14ac:dyDescent="0.25">
      <c r="A6" s="11"/>
      <c r="B6" s="11" t="s">
        <v>57</v>
      </c>
      <c r="C6" s="16" t="s">
        <v>36</v>
      </c>
      <c r="D6" s="24">
        <v>0.08</v>
      </c>
      <c r="E6" s="12">
        <f>$G$1</f>
        <v>121</v>
      </c>
      <c r="F6" s="13">
        <v>1</v>
      </c>
      <c r="G6" s="12">
        <f>E6*D6</f>
        <v>9.68</v>
      </c>
      <c r="H6" s="56">
        <f>G6*F6</f>
        <v>9.68</v>
      </c>
      <c r="I6" s="11">
        <f>VLOOKUP(B6,Ordering!$A$1:$J$45,6,FALSE)</f>
        <v>1</v>
      </c>
      <c r="J6" s="58">
        <f>VLOOKUP(B6,Ordering!$A$1:$J$45,10,FALSE)</f>
        <v>58.685446009389672</v>
      </c>
      <c r="K6" s="58">
        <f>((H6/(I6))/1000)</f>
        <v>9.6799999999999994E-3</v>
      </c>
      <c r="L6" s="59">
        <f>J6*K6</f>
        <v>0.568075117370892</v>
      </c>
    </row>
    <row r="7" spans="1:25" ht="14.85" customHeight="1" x14ac:dyDescent="0.25">
      <c r="A7" s="11"/>
      <c r="B7" s="11" t="s">
        <v>51</v>
      </c>
      <c r="C7" s="16" t="s">
        <v>206</v>
      </c>
      <c r="D7" s="24">
        <v>0.4</v>
      </c>
      <c r="E7" s="12">
        <f>$G$1</f>
        <v>121</v>
      </c>
      <c r="F7" s="13">
        <v>1</v>
      </c>
      <c r="G7" s="12">
        <f>E7*D7</f>
        <v>48.400000000000006</v>
      </c>
      <c r="H7" s="56">
        <f>G7*F7</f>
        <v>48.400000000000006</v>
      </c>
      <c r="I7" s="11">
        <f>VLOOKUP(B7,Ordering!$A$1:$J$45,6,FALSE)</f>
        <v>1</v>
      </c>
      <c r="J7" s="58">
        <f>VLOOKUP(B7,Ordering!$A$1:$J$45,10,FALSE)</f>
        <v>10</v>
      </c>
      <c r="K7" s="58">
        <f>((H7/(I7))/1000)</f>
        <v>4.8400000000000006E-2</v>
      </c>
      <c r="L7" s="59">
        <f>J7*K7</f>
        <v>0.48400000000000004</v>
      </c>
      <c r="V7" s="69"/>
    </row>
    <row r="8" spans="1:25" ht="14.85" customHeight="1" x14ac:dyDescent="0.25">
      <c r="A8" s="11"/>
      <c r="B8" s="11" t="s">
        <v>83</v>
      </c>
      <c r="C8" s="16" t="s">
        <v>206</v>
      </c>
      <c r="D8" s="24">
        <v>0.01</v>
      </c>
      <c r="E8" s="12">
        <f>$G$1</f>
        <v>121</v>
      </c>
      <c r="F8" s="13">
        <v>1</v>
      </c>
      <c r="G8" s="12">
        <f>E8*D8</f>
        <v>1.21</v>
      </c>
      <c r="H8" s="56">
        <f>G8*F8</f>
        <v>1.21</v>
      </c>
      <c r="I8" s="11">
        <f>VLOOKUP(B8,Ordering!$A$1:$J$45,6,FALSE)</f>
        <v>1</v>
      </c>
      <c r="J8" s="58">
        <f>VLOOKUP(B8,Ordering!$A$1:$J$45,10,FALSE)</f>
        <v>64.243759177679877</v>
      </c>
      <c r="K8" s="58">
        <f>((H8/(I8))/1000)</f>
        <v>1.2099999999999999E-3</v>
      </c>
      <c r="L8" s="59">
        <f>J8*K8</f>
        <v>7.7734948604992651E-2</v>
      </c>
      <c r="V8" s="63" t="s">
        <v>207</v>
      </c>
      <c r="W8" s="64">
        <v>1</v>
      </c>
      <c r="X8" s="63" t="s">
        <v>205</v>
      </c>
      <c r="Y8" s="65">
        <f>(SUM(L5:L9)/Q20)*W8</f>
        <v>0.13444267867793339</v>
      </c>
    </row>
    <row r="9" spans="1:25" ht="14.85" customHeight="1" x14ac:dyDescent="0.25">
      <c r="A9" s="11"/>
      <c r="B9" s="11" t="s">
        <v>34</v>
      </c>
      <c r="C9" s="16" t="s">
        <v>36</v>
      </c>
      <c r="D9" s="24">
        <v>0.09</v>
      </c>
      <c r="E9" s="12">
        <f>$G$1</f>
        <v>121</v>
      </c>
      <c r="F9" s="13">
        <v>1</v>
      </c>
      <c r="G9" s="12">
        <f>E9*D9</f>
        <v>10.889999999999999</v>
      </c>
      <c r="H9" s="56">
        <f>G9*F9</f>
        <v>10.889999999999999</v>
      </c>
      <c r="I9" s="11">
        <f>VLOOKUP(B9,Ordering!$A$1:$J$45,6,FALSE)</f>
        <v>1</v>
      </c>
      <c r="J9" s="58">
        <f>VLOOKUP(B9,Ordering!$A$1:$J$45,10,FALSE)</f>
        <v>5</v>
      </c>
      <c r="K9" s="58">
        <f>((H9/(I9))/1000)</f>
        <v>1.0889999999999999E-2</v>
      </c>
      <c r="L9" s="59">
        <f>J9*K9</f>
        <v>5.4449999999999991E-2</v>
      </c>
    </row>
    <row r="10" spans="1:25" x14ac:dyDescent="0.25">
      <c r="B10" s="57" t="s">
        <v>191</v>
      </c>
      <c r="C10" s="132" t="s">
        <v>206</v>
      </c>
      <c r="D10" s="127">
        <f>$I$1</f>
        <v>20</v>
      </c>
      <c r="E10" s="133"/>
      <c r="F10" s="133"/>
      <c r="G10" s="134" t="s">
        <v>325</v>
      </c>
      <c r="H10" s="135">
        <f>SUM(H5:H9)</f>
        <v>2420</v>
      </c>
      <c r="J10" s="19"/>
      <c r="K10" s="19"/>
      <c r="L10" s="19"/>
    </row>
    <row r="11" spans="1:25" x14ac:dyDescent="0.25">
      <c r="M11" s="72"/>
      <c r="N11" s="22"/>
    </row>
    <row r="12" spans="1:25" ht="14.85" customHeight="1" x14ac:dyDescent="0.25">
      <c r="M12" s="72"/>
      <c r="N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119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121</v>
      </c>
    </row>
    <row r="21" spans="11:17" x14ac:dyDescent="0.25">
      <c r="P21" s="61" t="s">
        <v>205</v>
      </c>
      <c r="Q21" s="67">
        <f>SUM(L5:L9)</f>
        <v>16.267564120029938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00B050"/>
    <pageSetUpPr fitToPage="1"/>
  </sheetPr>
  <dimension ref="A1:Y27"/>
  <sheetViews>
    <sheetView zoomScale="85" zoomScaleNormal="85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242</v>
      </c>
      <c r="F1" s="17" t="s">
        <v>190</v>
      </c>
      <c r="G1" s="10">
        <f>D1/B1</f>
        <v>242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240</v>
      </c>
    </row>
    <row r="2" spans="1:25" ht="14.25" customHeight="1" x14ac:dyDescent="0.25">
      <c r="A2" s="41"/>
      <c r="B2" s="142" t="s">
        <v>218</v>
      </c>
      <c r="C2" s="139"/>
      <c r="D2" s="139"/>
      <c r="E2" s="139"/>
      <c r="F2" s="139"/>
      <c r="G2" s="139"/>
      <c r="H2" s="143"/>
      <c r="I2" s="32"/>
      <c r="J2" s="32"/>
      <c r="K2" s="33"/>
    </row>
    <row r="3" spans="1:25" ht="14.25" customHeight="1" x14ac:dyDescent="0.25">
      <c r="A3" s="41"/>
      <c r="B3" s="147" t="s">
        <v>219</v>
      </c>
      <c r="C3" s="145"/>
      <c r="D3" s="145"/>
      <c r="E3" s="145"/>
      <c r="F3" s="145"/>
      <c r="G3" s="145"/>
      <c r="H3" s="148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1"/>
      <c r="B5" s="11" t="s">
        <v>149</v>
      </c>
      <c r="C5" s="16" t="s">
        <v>206</v>
      </c>
      <c r="D5" s="15">
        <v>33.700000000000003</v>
      </c>
      <c r="E5" s="12">
        <f t="shared" ref="E5:E10" si="0">$G$1</f>
        <v>242</v>
      </c>
      <c r="F5" s="13">
        <v>1</v>
      </c>
      <c r="G5" s="12">
        <f t="shared" ref="G5:G10" si="1">E5*D5</f>
        <v>8155.4000000000005</v>
      </c>
      <c r="H5" s="56">
        <f t="shared" ref="H5:H10" si="2">G5*F5</f>
        <v>8155.4000000000005</v>
      </c>
      <c r="I5" s="11">
        <f>VLOOKUP(B5,Ordering!$A$1:$J$45,6,FALSE)</f>
        <v>0.98</v>
      </c>
      <c r="J5" s="58">
        <f>VLOOKUP(B5,Ordering!$A$1:$J$45,10,FALSE)</f>
        <v>3.5</v>
      </c>
      <c r="K5" s="58">
        <f t="shared" ref="K5:K10" si="3">((H5/(I5))/1000)</f>
        <v>8.3218367346938784</v>
      </c>
      <c r="L5" s="59">
        <f t="shared" ref="L5:L10" si="4">J5*K5</f>
        <v>29.126428571428576</v>
      </c>
    </row>
    <row r="6" spans="1:25" ht="14.85" customHeight="1" x14ac:dyDescent="0.25">
      <c r="A6" s="11"/>
      <c r="B6" s="11" t="s">
        <v>146</v>
      </c>
      <c r="C6" s="16" t="s">
        <v>206</v>
      </c>
      <c r="D6" s="15">
        <v>0.24</v>
      </c>
      <c r="E6" s="12">
        <f t="shared" si="0"/>
        <v>242</v>
      </c>
      <c r="F6" s="13">
        <v>1</v>
      </c>
      <c r="G6" s="12">
        <f t="shared" si="1"/>
        <v>58.08</v>
      </c>
      <c r="H6" s="56">
        <f t="shared" si="2"/>
        <v>58.08</v>
      </c>
      <c r="I6" s="11">
        <f>VLOOKUP(B6,Ordering!$A$1:$J$45,6,FALSE)</f>
        <v>0.96</v>
      </c>
      <c r="J6" s="58">
        <f>VLOOKUP(B6,Ordering!$A$1:$J$45,10,FALSE)</f>
        <v>4</v>
      </c>
      <c r="K6" s="58">
        <f t="shared" si="3"/>
        <v>6.0499999999999998E-2</v>
      </c>
      <c r="L6" s="59">
        <f t="shared" si="4"/>
        <v>0.24199999999999999</v>
      </c>
    </row>
    <row r="7" spans="1:25" ht="14.85" customHeight="1" x14ac:dyDescent="0.25">
      <c r="A7" s="11"/>
      <c r="B7" s="11" t="s">
        <v>133</v>
      </c>
      <c r="C7" s="16" t="s">
        <v>206</v>
      </c>
      <c r="D7" s="15">
        <v>0.2</v>
      </c>
      <c r="E7" s="12">
        <f t="shared" si="0"/>
        <v>242</v>
      </c>
      <c r="F7" s="13">
        <v>1</v>
      </c>
      <c r="G7" s="12">
        <f t="shared" si="1"/>
        <v>48.400000000000006</v>
      </c>
      <c r="H7" s="56">
        <f t="shared" si="2"/>
        <v>48.400000000000006</v>
      </c>
      <c r="I7" s="11">
        <f>VLOOKUP(B7,Ordering!$A$1:$J$45,6,FALSE)</f>
        <v>0.94</v>
      </c>
      <c r="J7" s="58">
        <f>VLOOKUP(B7,Ordering!$A$1:$J$45,10,FALSE)</f>
        <v>3.6363636363636371</v>
      </c>
      <c r="K7" s="58">
        <f t="shared" si="3"/>
        <v>5.1489361702127666E-2</v>
      </c>
      <c r="L7" s="59">
        <f t="shared" si="4"/>
        <v>0.18723404255319157</v>
      </c>
      <c r="R7" s="35"/>
    </row>
    <row r="8" spans="1:25" ht="14.85" customHeight="1" x14ac:dyDescent="0.25">
      <c r="A8" s="11"/>
      <c r="B8" s="11" t="s">
        <v>98</v>
      </c>
      <c r="C8" s="16" t="s">
        <v>206</v>
      </c>
      <c r="D8" s="24">
        <v>3.0000000000000001E-3</v>
      </c>
      <c r="E8" s="12">
        <f t="shared" si="0"/>
        <v>242</v>
      </c>
      <c r="F8" s="13">
        <v>1</v>
      </c>
      <c r="G8" s="12">
        <f t="shared" si="1"/>
        <v>0.72599999999999998</v>
      </c>
      <c r="H8" s="56">
        <f t="shared" si="2"/>
        <v>0.72599999999999998</v>
      </c>
      <c r="I8" s="11">
        <f>VLOOKUP(B8,Ordering!$A$1:$J$45,6,FALSE)</f>
        <v>1</v>
      </c>
      <c r="J8" s="58">
        <f>VLOOKUP(B8,Ordering!$A$1:$J$45,10,FALSE)</f>
        <v>35</v>
      </c>
      <c r="K8" s="58">
        <f t="shared" si="3"/>
        <v>7.2599999999999997E-4</v>
      </c>
      <c r="L8" s="59">
        <f t="shared" si="4"/>
        <v>2.5409999999999999E-2</v>
      </c>
      <c r="V8" s="63" t="s">
        <v>207</v>
      </c>
      <c r="W8" s="64">
        <v>1</v>
      </c>
      <c r="X8" s="63" t="s">
        <v>205</v>
      </c>
      <c r="Y8" s="65">
        <f>SUM(L5:L10)/Q20</f>
        <v>0.12232463724785855</v>
      </c>
    </row>
    <row r="9" spans="1:25" ht="14.85" customHeight="1" x14ac:dyDescent="0.25">
      <c r="A9" s="11"/>
      <c r="B9" s="11" t="s">
        <v>88</v>
      </c>
      <c r="C9" s="16" t="s">
        <v>206</v>
      </c>
      <c r="D9" s="15">
        <v>0.12</v>
      </c>
      <c r="E9" s="12">
        <f t="shared" si="0"/>
        <v>242</v>
      </c>
      <c r="F9" s="13">
        <v>1</v>
      </c>
      <c r="G9" s="12">
        <f t="shared" si="1"/>
        <v>29.04</v>
      </c>
      <c r="H9" s="56">
        <f t="shared" si="2"/>
        <v>29.04</v>
      </c>
      <c r="I9" s="11">
        <f>VLOOKUP(B9,Ordering!$A$1:$J$45,6,FALSE)</f>
        <v>1</v>
      </c>
      <c r="J9" s="58">
        <f>VLOOKUP(B9,Ordering!$A$1:$J$45,10,FALSE)</f>
        <v>0.74</v>
      </c>
      <c r="K9" s="58">
        <f t="shared" si="3"/>
        <v>2.904E-2</v>
      </c>
      <c r="L9" s="59">
        <f t="shared" si="4"/>
        <v>2.1489600000000001E-2</v>
      </c>
    </row>
    <row r="10" spans="1:25" ht="14.85" customHeight="1" x14ac:dyDescent="0.25">
      <c r="A10" s="11"/>
      <c r="B10" s="11" t="s">
        <v>66</v>
      </c>
      <c r="C10" s="16" t="s">
        <v>36</v>
      </c>
      <c r="D10" s="15">
        <v>0.75</v>
      </c>
      <c r="E10" s="12">
        <f t="shared" si="0"/>
        <v>242</v>
      </c>
      <c r="F10" s="13">
        <v>1</v>
      </c>
      <c r="G10" s="12">
        <f t="shared" si="1"/>
        <v>181.5</v>
      </c>
      <c r="H10" s="56">
        <f t="shared" si="2"/>
        <v>181.5</v>
      </c>
      <c r="I10" s="11">
        <f>VLOOKUP(B10,Ordering!$A$1:$J$45,6,FALSE)</f>
        <v>1</v>
      </c>
      <c r="J10" s="58">
        <f>VLOOKUP(B10,Ordering!$A$1:$J$45,10,FALSE)</f>
        <v>0</v>
      </c>
      <c r="K10" s="58">
        <f t="shared" si="3"/>
        <v>0.18149999999999999</v>
      </c>
      <c r="L10" s="59">
        <f t="shared" si="4"/>
        <v>0</v>
      </c>
    </row>
    <row r="11" spans="1:25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8473.1460000000025</v>
      </c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240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242</v>
      </c>
    </row>
    <row r="21" spans="11:17" x14ac:dyDescent="0.25">
      <c r="P21" s="61" t="s">
        <v>205</v>
      </c>
      <c r="Q21" s="62">
        <f>SUM(L5:L10)</f>
        <v>29.60256221398177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B050"/>
    <pageSetUpPr fitToPage="1"/>
  </sheetPr>
  <dimension ref="A1:Y27"/>
  <sheetViews>
    <sheetView topLeftCell="B1" zoomScaleNormal="100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7" max="17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92</v>
      </c>
      <c r="F1" s="17" t="s">
        <v>190</v>
      </c>
      <c r="G1" s="10">
        <f>D1/B1</f>
        <v>92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90</v>
      </c>
    </row>
    <row r="2" spans="1:25" ht="14.25" customHeight="1" x14ac:dyDescent="0.25">
      <c r="A2" s="39"/>
      <c r="B2" s="146" t="s">
        <v>220</v>
      </c>
      <c r="C2" s="139"/>
      <c r="D2" s="139"/>
      <c r="E2" s="139"/>
      <c r="F2" s="139"/>
      <c r="G2" s="139"/>
      <c r="H2" s="139"/>
      <c r="I2" s="32"/>
      <c r="J2" s="32"/>
      <c r="K2" s="33"/>
    </row>
    <row r="3" spans="1:25" ht="14.25" customHeight="1" x14ac:dyDescent="0.25">
      <c r="A3" s="41"/>
      <c r="B3" s="144" t="s">
        <v>221</v>
      </c>
      <c r="C3" s="145"/>
      <c r="D3" s="145"/>
      <c r="E3" s="145"/>
      <c r="F3" s="145"/>
      <c r="G3" s="145"/>
      <c r="H3" s="145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1"/>
      <c r="B5" s="11" t="s">
        <v>34</v>
      </c>
      <c r="C5" s="16" t="s">
        <v>36</v>
      </c>
      <c r="D5" s="15">
        <v>2.12636695018226</v>
      </c>
      <c r="E5" s="12">
        <f t="shared" ref="E5:E10" si="0">$G$1</f>
        <v>92</v>
      </c>
      <c r="F5" s="13">
        <v>1</v>
      </c>
      <c r="G5" s="12">
        <f t="shared" ref="G5:G10" si="1">E5*D5</f>
        <v>195.62575941676792</v>
      </c>
      <c r="H5" s="56">
        <f t="shared" ref="H5:H10" si="2">G5*F5</f>
        <v>195.62575941676792</v>
      </c>
      <c r="I5" s="11">
        <f>VLOOKUP(B5,Ordering!$A$1:$J$45,6,FALSE)</f>
        <v>1</v>
      </c>
      <c r="J5" s="58">
        <f>VLOOKUP(B5,Ordering!$A$1:$J$45,10,FALSE)</f>
        <v>5</v>
      </c>
      <c r="K5" s="58">
        <f t="shared" ref="K5:K10" si="3">((H5/(I5))/1000)</f>
        <v>0.19562575941676791</v>
      </c>
      <c r="L5" s="59">
        <f t="shared" ref="L5:L10" si="4">J5*K5</f>
        <v>0.97812879708383949</v>
      </c>
    </row>
    <row r="6" spans="1:25" ht="14.85" customHeight="1" x14ac:dyDescent="0.25">
      <c r="A6" s="11"/>
      <c r="B6" s="11" t="s">
        <v>80</v>
      </c>
      <c r="C6" s="16" t="s">
        <v>206</v>
      </c>
      <c r="D6" s="15">
        <v>4.25273390036452E-2</v>
      </c>
      <c r="E6" s="12">
        <f t="shared" si="0"/>
        <v>92</v>
      </c>
      <c r="F6" s="13">
        <v>1</v>
      </c>
      <c r="G6" s="12">
        <f t="shared" si="1"/>
        <v>3.9125151883353584</v>
      </c>
      <c r="H6" s="56">
        <f t="shared" si="2"/>
        <v>3.9125151883353584</v>
      </c>
      <c r="I6" s="11">
        <f>VLOOKUP(B6,Ordering!$A$1:$J$45,6,FALSE)</f>
        <v>1</v>
      </c>
      <c r="J6" s="58">
        <f>VLOOKUP(B6,Ordering!$A$1:$J$45,10,FALSE)</f>
        <v>8</v>
      </c>
      <c r="K6" s="58">
        <f t="shared" si="3"/>
        <v>3.9125151883353587E-3</v>
      </c>
      <c r="L6" s="59">
        <f t="shared" si="4"/>
        <v>3.1300121506682869E-2</v>
      </c>
    </row>
    <row r="7" spans="1:25" ht="14.85" customHeight="1" x14ac:dyDescent="0.25">
      <c r="A7" s="11"/>
      <c r="B7" s="11" t="s">
        <v>88</v>
      </c>
      <c r="C7" s="16" t="s">
        <v>206</v>
      </c>
      <c r="D7" s="15">
        <v>0.1559335763466991</v>
      </c>
      <c r="E7" s="12">
        <f t="shared" si="0"/>
        <v>92</v>
      </c>
      <c r="F7" s="13">
        <v>1</v>
      </c>
      <c r="G7" s="12">
        <f t="shared" si="1"/>
        <v>14.345889023896317</v>
      </c>
      <c r="H7" s="56">
        <f t="shared" si="2"/>
        <v>14.345889023896317</v>
      </c>
      <c r="I7" s="11">
        <f>VLOOKUP(B7,Ordering!$A$1:$J$45,6,FALSE)</f>
        <v>1</v>
      </c>
      <c r="J7" s="58">
        <f>VLOOKUP(B7,Ordering!$A$1:$J$45,10,FALSE)</f>
        <v>0.74</v>
      </c>
      <c r="K7" s="58">
        <f t="shared" si="3"/>
        <v>1.4345889023896318E-2</v>
      </c>
      <c r="L7" s="59">
        <f t="shared" si="4"/>
        <v>1.0615957877683276E-2</v>
      </c>
      <c r="P7" s="35"/>
      <c r="V7" s="69"/>
    </row>
    <row r="8" spans="1:25" ht="14.85" customHeight="1" x14ac:dyDescent="0.25">
      <c r="A8" s="11"/>
      <c r="B8" s="11" t="s">
        <v>66</v>
      </c>
      <c r="C8" s="16" t="s">
        <v>36</v>
      </c>
      <c r="D8" s="15">
        <v>18.45686512758202</v>
      </c>
      <c r="E8" s="12">
        <f t="shared" si="0"/>
        <v>92</v>
      </c>
      <c r="F8" s="13">
        <v>1</v>
      </c>
      <c r="G8" s="12">
        <f t="shared" si="1"/>
        <v>1698.0315917375458</v>
      </c>
      <c r="H8" s="56">
        <f t="shared" si="2"/>
        <v>1698.0315917375458</v>
      </c>
      <c r="I8" s="11">
        <f>VLOOKUP(B8,Ordering!$A$1:$J$45,6,FALSE)</f>
        <v>1</v>
      </c>
      <c r="J8" s="58">
        <f>VLOOKUP(B8,Ordering!$A$1:$J$45,10,FALSE)</f>
        <v>0</v>
      </c>
      <c r="K8" s="58">
        <f t="shared" si="3"/>
        <v>1.6980315917375457</v>
      </c>
      <c r="L8" s="59">
        <f t="shared" si="4"/>
        <v>0</v>
      </c>
      <c r="V8" s="63" t="s">
        <v>207</v>
      </c>
      <c r="W8" s="64">
        <v>1</v>
      </c>
      <c r="X8" s="63" t="s">
        <v>205</v>
      </c>
      <c r="Y8" s="65">
        <f>(SUM(L5:L10)/Q20)*W8</f>
        <v>0.15416358849736733</v>
      </c>
    </row>
    <row r="9" spans="1:25" ht="14.85" customHeight="1" x14ac:dyDescent="0.25">
      <c r="A9" s="11"/>
      <c r="B9" s="11" t="s">
        <v>76</v>
      </c>
      <c r="C9" s="16" t="s">
        <v>206</v>
      </c>
      <c r="D9" s="15">
        <v>4.25273390036452E-2</v>
      </c>
      <c r="E9" s="12">
        <f t="shared" si="0"/>
        <v>92</v>
      </c>
      <c r="F9" s="13">
        <v>1</v>
      </c>
      <c r="G9" s="12">
        <f t="shared" si="1"/>
        <v>3.9125151883353584</v>
      </c>
      <c r="H9" s="56">
        <f t="shared" si="2"/>
        <v>3.9125151883353584</v>
      </c>
      <c r="I9" s="11">
        <f>VLOOKUP(B9,Ordering!$A$1:$J$45,6,FALSE)</f>
        <v>1</v>
      </c>
      <c r="J9" s="58">
        <f>VLOOKUP(B9,Ordering!$A$1:$J$45,10,FALSE)</f>
        <v>31</v>
      </c>
      <c r="K9" s="58">
        <f t="shared" si="3"/>
        <v>3.9125151883353587E-3</v>
      </c>
      <c r="L9" s="59">
        <f t="shared" si="4"/>
        <v>0.12128797083839613</v>
      </c>
    </row>
    <row r="10" spans="1:25" ht="14.85" customHeight="1" x14ac:dyDescent="0.25">
      <c r="A10" s="11"/>
      <c r="B10" s="11" t="s">
        <v>51</v>
      </c>
      <c r="C10" s="16" t="s">
        <v>206</v>
      </c>
      <c r="D10" s="15">
        <v>14.175779667881731</v>
      </c>
      <c r="E10" s="12">
        <f t="shared" si="0"/>
        <v>92</v>
      </c>
      <c r="F10" s="13">
        <v>1</v>
      </c>
      <c r="G10" s="12">
        <f t="shared" si="1"/>
        <v>1304.1717294451191</v>
      </c>
      <c r="H10" s="56">
        <f t="shared" si="2"/>
        <v>1304.1717294451191</v>
      </c>
      <c r="I10" s="11">
        <f>VLOOKUP(B10,Ordering!$A$1:$J$45,6,FALSE)</f>
        <v>1</v>
      </c>
      <c r="J10" s="58">
        <f>VLOOKUP(B10,Ordering!$A$1:$J$45,10,FALSE)</f>
        <v>10</v>
      </c>
      <c r="K10" s="58">
        <f t="shared" si="3"/>
        <v>1.3041717294451192</v>
      </c>
      <c r="L10" s="59">
        <f t="shared" si="4"/>
        <v>13.041717294451193</v>
      </c>
    </row>
    <row r="11" spans="1:25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3220</v>
      </c>
    </row>
    <row r="12" spans="1:25" ht="14.85" customHeight="1" x14ac:dyDescent="0.25">
      <c r="M12" s="22"/>
    </row>
    <row r="13" spans="1:25" ht="14.85" customHeight="1" x14ac:dyDescent="0.25"/>
    <row r="14" spans="1:25" ht="14.85" customHeight="1" x14ac:dyDescent="0.25">
      <c r="L14" s="72"/>
      <c r="M14" s="74"/>
    </row>
    <row r="15" spans="1:25" x14ac:dyDescent="0.25">
      <c r="L15" s="72"/>
      <c r="M15" s="75"/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90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92</v>
      </c>
    </row>
    <row r="21" spans="11:17" x14ac:dyDescent="0.25">
      <c r="P21" s="61" t="s">
        <v>205</v>
      </c>
      <c r="Q21" s="67">
        <f>SUM(L5:L10)</f>
        <v>14.183050141757795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rgb="FF00B050"/>
    <pageSetUpPr fitToPage="1"/>
  </sheetPr>
  <dimension ref="A1:Y27"/>
  <sheetViews>
    <sheetView zoomScale="85" zoomScaleNormal="85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8.140625" customWidth="1"/>
    <col min="7" max="7" width="12.140625" bestFit="1" customWidth="1"/>
    <col min="8" max="8" width="29.85546875" bestFit="1" customWidth="1"/>
    <col min="10" max="10" width="22.140625" bestFit="1" customWidth="1"/>
    <col min="11" max="11" width="13.7109375" customWidth="1"/>
    <col min="13" max="15" width="2.7109375" customWidth="1"/>
    <col min="16" max="16" width="10.140625" customWidth="1"/>
    <col min="17" max="17" width="14.85546875" customWidth="1"/>
    <col min="18" max="18" width="22.42578125" customWidth="1"/>
    <col min="19" max="19" width="14.85546875" customWidth="1"/>
  </cols>
  <sheetData>
    <row r="1" spans="1:25" ht="25.35" customHeight="1" x14ac:dyDescent="0.25">
      <c r="A1" s="17" t="s">
        <v>222</v>
      </c>
      <c r="B1" s="9">
        <v>20</v>
      </c>
      <c r="D1" s="8">
        <f>Q20</f>
        <v>120</v>
      </c>
      <c r="E1" s="17" t="s">
        <v>223</v>
      </c>
      <c r="F1" s="10">
        <f>Q20</f>
        <v>120</v>
      </c>
      <c r="H1" s="17" t="s">
        <v>224</v>
      </c>
      <c r="I1" s="21">
        <v>30</v>
      </c>
      <c r="J1" s="1"/>
      <c r="K1" s="18" t="s">
        <v>192</v>
      </c>
      <c r="U1" s="93" t="s">
        <v>20</v>
      </c>
      <c r="V1" s="94">
        <v>118</v>
      </c>
    </row>
    <row r="2" spans="1:25" ht="14.25" customHeight="1" x14ac:dyDescent="0.25">
      <c r="A2" s="39"/>
      <c r="B2" s="146" t="s">
        <v>225</v>
      </c>
      <c r="C2" s="139"/>
      <c r="D2" s="139"/>
      <c r="E2" s="139"/>
      <c r="F2" s="139"/>
      <c r="G2" s="139"/>
      <c r="H2" s="139"/>
      <c r="I2" s="32"/>
      <c r="J2" s="32"/>
      <c r="K2" s="33"/>
    </row>
    <row r="3" spans="1:25" ht="14.25" customHeight="1" x14ac:dyDescent="0.25">
      <c r="A3" s="41"/>
      <c r="B3" s="144" t="s">
        <v>226</v>
      </c>
      <c r="C3" s="145"/>
      <c r="D3" s="145"/>
      <c r="E3" s="145"/>
      <c r="F3" s="145"/>
      <c r="G3" s="145"/>
      <c r="H3" s="145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1"/>
      <c r="B5" s="11" t="s">
        <v>42</v>
      </c>
      <c r="C5" s="16" t="s">
        <v>206</v>
      </c>
      <c r="D5" s="15">
        <v>16.12903225806452</v>
      </c>
      <c r="E5" s="12">
        <f>$F$1</f>
        <v>120</v>
      </c>
      <c r="F5" s="13">
        <v>1</v>
      </c>
      <c r="G5" s="12">
        <f>E5*D5</f>
        <v>1935.4838709677424</v>
      </c>
      <c r="H5" s="56">
        <f>G5*F5</f>
        <v>1935.4838709677424</v>
      </c>
      <c r="I5" s="11">
        <f>VLOOKUP(B5,Ordering!$A$1:$J$45,6,FALSE)</f>
        <v>1</v>
      </c>
      <c r="J5" s="58">
        <f>VLOOKUP(B5,Ordering!$A$1:$J$45,10,FALSE)</f>
        <v>6.4189189189189184</v>
      </c>
      <c r="K5" s="58">
        <f>((H5/(I5))/1000)</f>
        <v>1.9354838709677424</v>
      </c>
      <c r="L5" s="59">
        <f>J5*K5</f>
        <v>12.423714036617264</v>
      </c>
    </row>
    <row r="6" spans="1:25" ht="14.85" customHeight="1" x14ac:dyDescent="0.25">
      <c r="A6" s="11"/>
      <c r="B6" s="11" t="s">
        <v>61</v>
      </c>
      <c r="C6" s="16" t="s">
        <v>36</v>
      </c>
      <c r="D6" s="15">
        <v>10.96774193548387</v>
      </c>
      <c r="E6" s="12">
        <f>$F$1</f>
        <v>120</v>
      </c>
      <c r="F6" s="13">
        <v>1</v>
      </c>
      <c r="G6" s="12">
        <f>E6*D6</f>
        <v>1316.1290322580644</v>
      </c>
      <c r="H6" s="56">
        <f>G6*F6</f>
        <v>1316.1290322580644</v>
      </c>
      <c r="I6" s="11">
        <f>VLOOKUP(B6,Ordering!$A$1:$J$45,6,FALSE)</f>
        <v>1</v>
      </c>
      <c r="J6" s="58">
        <f>VLOOKUP(B6,Ordering!$A$1:$J$45,10,FALSE)</f>
        <v>3.25</v>
      </c>
      <c r="K6" s="58">
        <f>((H6/(I6))/1000)</f>
        <v>1.3161290322580643</v>
      </c>
      <c r="L6" s="59">
        <f>J6*K6</f>
        <v>4.2774193548387087</v>
      </c>
    </row>
    <row r="7" spans="1:25" ht="14.85" customHeight="1" x14ac:dyDescent="0.25">
      <c r="A7" s="11"/>
      <c r="B7" s="11" t="s">
        <v>46</v>
      </c>
      <c r="C7" s="16" t="s">
        <v>206</v>
      </c>
      <c r="D7" s="15">
        <v>1.182795698924731</v>
      </c>
      <c r="E7" s="12">
        <f>$F$1</f>
        <v>120</v>
      </c>
      <c r="F7" s="13">
        <v>1</v>
      </c>
      <c r="G7" s="12">
        <f>E7*D7</f>
        <v>141.93548387096772</v>
      </c>
      <c r="H7" s="56">
        <f>G7*F7</f>
        <v>141.93548387096772</v>
      </c>
      <c r="I7" s="11">
        <f>VLOOKUP(B7,Ordering!$A$1:$J$45,6,FALSE)</f>
        <v>1</v>
      </c>
      <c r="J7" s="58">
        <f>VLOOKUP(B7,Ordering!$A$1:$J$45,10,FALSE)</f>
        <v>11.243386243386244</v>
      </c>
      <c r="K7" s="58">
        <f>((H7/(I7))/1000)</f>
        <v>0.14193548387096772</v>
      </c>
      <c r="L7" s="59">
        <f>J7*K7</f>
        <v>1.5958354668032084</v>
      </c>
    </row>
    <row r="8" spans="1:25" ht="14.85" customHeight="1" x14ac:dyDescent="0.25">
      <c r="A8" s="11"/>
      <c r="B8" s="11" t="s">
        <v>57</v>
      </c>
      <c r="C8" s="16" t="s">
        <v>36</v>
      </c>
      <c r="D8" s="15">
        <v>1.720430107526882</v>
      </c>
      <c r="E8" s="12">
        <f>$F$1</f>
        <v>120</v>
      </c>
      <c r="F8" s="13">
        <v>1</v>
      </c>
      <c r="G8" s="12">
        <f>E8*D8</f>
        <v>206.45161290322585</v>
      </c>
      <c r="H8" s="56">
        <f>G8*F8</f>
        <v>206.45161290322585</v>
      </c>
      <c r="I8" s="11">
        <f>VLOOKUP(B8,Ordering!$A$1:$J$45,6,FALSE)</f>
        <v>1</v>
      </c>
      <c r="J8" s="58">
        <f>VLOOKUP(B8,Ordering!$A$1:$J$45,10,FALSE)</f>
        <v>58.685446009389672</v>
      </c>
      <c r="K8" s="58">
        <f>((H8/(I8))/1000)</f>
        <v>0.20645161290322586</v>
      </c>
      <c r="L8" s="59">
        <f>J8*K8</f>
        <v>12.115704982583678</v>
      </c>
      <c r="R8" s="35"/>
      <c r="V8" s="63" t="s">
        <v>207</v>
      </c>
      <c r="W8" s="64">
        <v>1</v>
      </c>
      <c r="X8" s="63" t="s">
        <v>205</v>
      </c>
      <c r="Y8" s="65">
        <f>(SUM(L5:L8)/Q21)*W8*I1</f>
        <v>50.718897877072813</v>
      </c>
    </row>
    <row r="9" spans="1:25" x14ac:dyDescent="0.25">
      <c r="B9" s="57" t="s">
        <v>191</v>
      </c>
      <c r="C9" s="132" t="s">
        <v>206</v>
      </c>
      <c r="D9" s="127">
        <f>$I$1</f>
        <v>30</v>
      </c>
      <c r="E9" s="133"/>
      <c r="F9" s="133"/>
      <c r="G9" s="134" t="s">
        <v>325</v>
      </c>
      <c r="H9" s="135">
        <f>SUM(H5:H8)</f>
        <v>3600.0000000000005</v>
      </c>
      <c r="J9" s="19"/>
      <c r="K9" s="19"/>
      <c r="L9" s="19"/>
    </row>
    <row r="10" spans="1:25" x14ac:dyDescent="0.25">
      <c r="J10" s="19"/>
      <c r="K10" s="19"/>
      <c r="L10" s="19"/>
    </row>
    <row r="11" spans="1:25" x14ac:dyDescent="0.25">
      <c r="M11" s="19"/>
    </row>
    <row r="12" spans="1:25" ht="14.85" customHeight="1" x14ac:dyDescent="0.25"/>
    <row r="13" spans="1:25" ht="14.85" customHeight="1" x14ac:dyDescent="0.25"/>
    <row r="14" spans="1:25" ht="14.85" customHeight="1" x14ac:dyDescent="0.25"/>
    <row r="15" spans="1:25" ht="14.85" customHeight="1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118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120</v>
      </c>
    </row>
    <row r="21" spans="11:17" x14ac:dyDescent="0.25">
      <c r="P21" s="61" t="s">
        <v>205</v>
      </c>
      <c r="Q21" s="67">
        <f>SUM(L6:L11)</f>
        <v>17.988959804225594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scale="3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52">
    <tabColor rgb="FF00B050"/>
    <pageSetUpPr fitToPage="1"/>
  </sheetPr>
  <dimension ref="A1:Y36"/>
  <sheetViews>
    <sheetView zoomScale="85" zoomScaleNormal="85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181</v>
      </c>
      <c r="F1" s="17" t="s">
        <v>190</v>
      </c>
      <c r="G1" s="10">
        <f>D1/B1</f>
        <v>181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179</v>
      </c>
    </row>
    <row r="2" spans="1:25" ht="14.25" customHeight="1" x14ac:dyDescent="0.25">
      <c r="A2" s="39"/>
      <c r="B2" s="142" t="s">
        <v>281</v>
      </c>
      <c r="C2" s="139"/>
      <c r="D2" s="139"/>
      <c r="E2" s="139"/>
      <c r="F2" s="139"/>
      <c r="G2" s="139"/>
      <c r="H2" s="143"/>
      <c r="I2" s="32"/>
      <c r="J2" s="32"/>
      <c r="K2" s="33"/>
    </row>
    <row r="3" spans="1:25" ht="14.25" customHeight="1" x14ac:dyDescent="0.25">
      <c r="A3" s="41"/>
      <c r="B3" s="138" t="s">
        <v>276</v>
      </c>
      <c r="C3" s="139"/>
      <c r="D3" s="139"/>
      <c r="E3" s="139"/>
      <c r="F3" s="139"/>
      <c r="G3" s="139"/>
      <c r="H3" s="139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23</v>
      </c>
      <c r="C5" s="16" t="s">
        <v>206</v>
      </c>
      <c r="D5" s="107">
        <v>20.408163265306129</v>
      </c>
      <c r="E5" s="108">
        <f t="shared" ref="E5:E12" si="0">$G$1</f>
        <v>181</v>
      </c>
      <c r="F5" s="109">
        <v>1</v>
      </c>
      <c r="G5" s="108">
        <f t="shared" ref="G5:G12" si="1">E5*D5</f>
        <v>3693.8775510204096</v>
      </c>
      <c r="H5" s="110">
        <f t="shared" ref="H5:H12" si="2">G5*F5</f>
        <v>3693.8775510204096</v>
      </c>
      <c r="I5" s="106">
        <f>VLOOKUP(B5,Ordering!$A$1:$J$50,6,FALSE)</f>
        <v>1</v>
      </c>
      <c r="J5" s="111">
        <f>VLOOKUP(B5,Ordering!$A$1:$J$50,10,FALSE)</f>
        <v>6.6959999999999997</v>
      </c>
      <c r="K5" s="107">
        <f t="shared" ref="K5:K12" si="3">((H5/(I5))/1000)</f>
        <v>3.6938775510204094</v>
      </c>
      <c r="L5" s="112">
        <f t="shared" ref="L5:L12" si="4">J5*K5</f>
        <v>24.734204081632662</v>
      </c>
    </row>
    <row r="6" spans="1:25" ht="14.85" customHeight="1" x14ac:dyDescent="0.25">
      <c r="A6" s="106"/>
      <c r="B6" s="106" t="s">
        <v>42</v>
      </c>
      <c r="C6" s="16" t="s">
        <v>206</v>
      </c>
      <c r="D6" s="107">
        <v>10.204081632653063</v>
      </c>
      <c r="E6" s="108">
        <f t="shared" si="0"/>
        <v>181</v>
      </c>
      <c r="F6" s="109">
        <v>1</v>
      </c>
      <c r="G6" s="108">
        <f t="shared" si="1"/>
        <v>1846.9387755102043</v>
      </c>
      <c r="H6" s="110">
        <f t="shared" si="2"/>
        <v>1846.9387755102043</v>
      </c>
      <c r="I6" s="106">
        <f>VLOOKUP(B6,Ordering!$A$1:$J$50,6,FALSE)</f>
        <v>1</v>
      </c>
      <c r="J6" s="111">
        <f>VLOOKUP(B6,Ordering!$A$1:$J$50,10,FALSE)</f>
        <v>6.4189189189189184</v>
      </c>
      <c r="K6" s="107">
        <f t="shared" si="3"/>
        <v>1.8469387755102042</v>
      </c>
      <c r="L6" s="112">
        <f t="shared" si="4"/>
        <v>11.855350248207392</v>
      </c>
    </row>
    <row r="7" spans="1:25" ht="14.85" customHeight="1" x14ac:dyDescent="0.25">
      <c r="A7" s="106"/>
      <c r="B7" s="106" t="s">
        <v>34</v>
      </c>
      <c r="C7" s="16" t="s">
        <v>36</v>
      </c>
      <c r="D7" s="107">
        <v>1.5306122448979591</v>
      </c>
      <c r="E7" s="108">
        <f t="shared" si="0"/>
        <v>181</v>
      </c>
      <c r="F7" s="109">
        <v>1</v>
      </c>
      <c r="G7" s="108">
        <f t="shared" si="1"/>
        <v>277.0408163265306</v>
      </c>
      <c r="H7" s="110">
        <f t="shared" si="2"/>
        <v>277.0408163265306</v>
      </c>
      <c r="I7" s="106">
        <f>VLOOKUP(B7,Ordering!$A$1:$J$50,6,FALSE)</f>
        <v>1</v>
      </c>
      <c r="J7" s="111">
        <f>VLOOKUP(B7,Ordering!$A$1:$J$50,10,FALSE)</f>
        <v>5</v>
      </c>
      <c r="K7" s="107">
        <f t="shared" si="3"/>
        <v>0.2770408163265306</v>
      </c>
      <c r="L7" s="112">
        <f t="shared" si="4"/>
        <v>1.385204081632653</v>
      </c>
      <c r="R7" s="35"/>
    </row>
    <row r="8" spans="1:25" ht="14.85" customHeight="1" x14ac:dyDescent="0.25">
      <c r="A8" s="106"/>
      <c r="B8" s="106" t="s">
        <v>263</v>
      </c>
      <c r="C8" s="16" t="s">
        <v>206</v>
      </c>
      <c r="D8" s="107">
        <v>0.71428571428571419</v>
      </c>
      <c r="E8" s="108">
        <f t="shared" si="0"/>
        <v>181</v>
      </c>
      <c r="F8" s="109">
        <v>1</v>
      </c>
      <c r="G8" s="108">
        <f t="shared" si="1"/>
        <v>129.28571428571428</v>
      </c>
      <c r="H8" s="110">
        <f t="shared" si="2"/>
        <v>129.28571428571428</v>
      </c>
      <c r="I8" s="106">
        <f>VLOOKUP(B8,Ordering!$A$1:$J$50,6,FALSE)</f>
        <v>1</v>
      </c>
      <c r="J8" s="111">
        <f>VLOOKUP(B8,Ordering!$A$1:$J$50,10,FALSE)</f>
        <v>10.5</v>
      </c>
      <c r="K8" s="107">
        <f t="shared" si="3"/>
        <v>0.12928571428571428</v>
      </c>
      <c r="L8" s="112">
        <f t="shared" si="4"/>
        <v>1.3574999999999999</v>
      </c>
      <c r="V8" s="63" t="s">
        <v>207</v>
      </c>
      <c r="W8" s="64">
        <v>1</v>
      </c>
      <c r="X8" s="63" t="s">
        <v>205</v>
      </c>
      <c r="Y8" s="65">
        <f>(SUM(L5:L12)/Q20)*W8</f>
        <v>0.23087363922172782</v>
      </c>
    </row>
    <row r="9" spans="1:25" ht="14.85" customHeight="1" x14ac:dyDescent="0.25">
      <c r="A9" s="106"/>
      <c r="B9" s="106" t="s">
        <v>138</v>
      </c>
      <c r="C9" s="16" t="s">
        <v>206</v>
      </c>
      <c r="D9" s="107">
        <v>0.71428571428571419</v>
      </c>
      <c r="E9" s="108">
        <f t="shared" si="0"/>
        <v>181</v>
      </c>
      <c r="F9" s="109">
        <v>1</v>
      </c>
      <c r="G9" s="108">
        <f t="shared" si="1"/>
        <v>129.28571428571428</v>
      </c>
      <c r="H9" s="110">
        <f t="shared" si="2"/>
        <v>129.28571428571428</v>
      </c>
      <c r="I9" s="106">
        <f>VLOOKUP(B9,Ordering!$A$1:$J$50,6,FALSE)</f>
        <v>0.71</v>
      </c>
      <c r="J9" s="111">
        <f>VLOOKUP(B9,Ordering!$A$1:$J$50,10,FALSE)</f>
        <v>3</v>
      </c>
      <c r="K9" s="107">
        <f t="shared" si="3"/>
        <v>0.18209255533199195</v>
      </c>
      <c r="L9" s="112">
        <f t="shared" si="4"/>
        <v>0.54627766599597583</v>
      </c>
    </row>
    <row r="10" spans="1:25" ht="14.85" customHeight="1" x14ac:dyDescent="0.25">
      <c r="A10" s="106"/>
      <c r="B10" s="106" t="s">
        <v>271</v>
      </c>
      <c r="C10" s="16" t="s">
        <v>206</v>
      </c>
      <c r="D10" s="107">
        <v>0.71428571428571419</v>
      </c>
      <c r="E10" s="108">
        <f t="shared" si="0"/>
        <v>181</v>
      </c>
      <c r="F10" s="109">
        <v>1</v>
      </c>
      <c r="G10" s="108">
        <f t="shared" si="1"/>
        <v>129.28571428571428</v>
      </c>
      <c r="H10" s="110">
        <f t="shared" si="2"/>
        <v>129.28571428571428</v>
      </c>
      <c r="I10" s="106">
        <f>VLOOKUP(B10,Ordering!$A$1:$J$50,6,FALSE)</f>
        <v>0.65</v>
      </c>
      <c r="J10" s="111">
        <f>VLOOKUP(B10,Ordering!$A$1:$J$50,10,FALSE)</f>
        <v>3.5</v>
      </c>
      <c r="K10" s="107">
        <f t="shared" si="3"/>
        <v>0.19890109890109889</v>
      </c>
      <c r="L10" s="112">
        <f t="shared" si="4"/>
        <v>0.69615384615384612</v>
      </c>
    </row>
    <row r="11" spans="1:25" ht="14.85" customHeight="1" x14ac:dyDescent="0.25">
      <c r="A11" s="106"/>
      <c r="B11" s="106" t="s">
        <v>88</v>
      </c>
      <c r="C11" s="16" t="s">
        <v>206</v>
      </c>
      <c r="D11" s="107">
        <v>0.51020408163265285</v>
      </c>
      <c r="E11" s="108">
        <f t="shared" si="0"/>
        <v>181</v>
      </c>
      <c r="F11" s="109">
        <v>1</v>
      </c>
      <c r="G11" s="108">
        <f t="shared" si="1"/>
        <v>92.346938775510168</v>
      </c>
      <c r="H11" s="110">
        <f t="shared" si="2"/>
        <v>92.346938775510168</v>
      </c>
      <c r="I11" s="106">
        <f>VLOOKUP(B11,Ordering!$A$1:$J$50,6,FALSE)</f>
        <v>1</v>
      </c>
      <c r="J11" s="111">
        <f>VLOOKUP(B11,Ordering!$A$1:$J$50,10,FALSE)</f>
        <v>0.74</v>
      </c>
      <c r="K11" s="107">
        <f t="shared" si="3"/>
        <v>9.2346938775510173E-2</v>
      </c>
      <c r="L11" s="112">
        <f t="shared" si="4"/>
        <v>6.8336734693877521E-2</v>
      </c>
      <c r="M11" s="72"/>
      <c r="N11" s="22"/>
    </row>
    <row r="12" spans="1:25" ht="14.85" customHeight="1" x14ac:dyDescent="0.25">
      <c r="A12" s="106"/>
      <c r="B12" s="106" t="s">
        <v>76</v>
      </c>
      <c r="C12" s="16" t="s">
        <v>206</v>
      </c>
      <c r="D12" s="107">
        <v>0.20408163265306126</v>
      </c>
      <c r="E12" s="108">
        <f t="shared" si="0"/>
        <v>181</v>
      </c>
      <c r="F12" s="109">
        <v>1</v>
      </c>
      <c r="G12" s="108">
        <f t="shared" si="1"/>
        <v>36.938775510204088</v>
      </c>
      <c r="H12" s="110">
        <f t="shared" si="2"/>
        <v>36.938775510204088</v>
      </c>
      <c r="I12" s="106">
        <f>VLOOKUP(B12,Ordering!$A$1:$J$50,6,FALSE)</f>
        <v>1</v>
      </c>
      <c r="J12" s="111">
        <f>VLOOKUP(B12,Ordering!$A$1:$J$50,10,FALSE)</f>
        <v>31</v>
      </c>
      <c r="K12" s="107">
        <f t="shared" si="3"/>
        <v>3.6938775510204087E-2</v>
      </c>
      <c r="L12" s="112">
        <f t="shared" si="4"/>
        <v>1.1451020408163266</v>
      </c>
      <c r="M12" s="72"/>
      <c r="N12" s="22"/>
      <c r="O12" s="22"/>
    </row>
    <row r="13" spans="1:25" ht="14.85" customHeight="1" x14ac:dyDescent="0.25">
      <c r="B13" s="57" t="s">
        <v>191</v>
      </c>
      <c r="C13" s="132" t="s">
        <v>206</v>
      </c>
      <c r="D13" s="127">
        <f>$I$1</f>
        <v>35</v>
      </c>
      <c r="E13" s="133"/>
      <c r="F13" s="133"/>
      <c r="G13" s="134" t="s">
        <v>325</v>
      </c>
      <c r="H13" s="135">
        <f>SUM(H5:H12)</f>
        <v>6335.0000000000036</v>
      </c>
    </row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4:17" ht="14.85" customHeight="1" thickBot="1" x14ac:dyDescent="0.3">
      <c r="P17" s="2" t="s">
        <v>208</v>
      </c>
      <c r="Q17" s="3" t="s">
        <v>209</v>
      </c>
    </row>
    <row r="18" spans="4:17" ht="14.85" customHeight="1" thickBot="1" x14ac:dyDescent="0.3">
      <c r="P18" s="4" t="s">
        <v>210</v>
      </c>
      <c r="Q18" s="5">
        <f>V1</f>
        <v>179</v>
      </c>
    </row>
    <row r="19" spans="4:17" ht="14.85" customHeight="1" thickBot="1" x14ac:dyDescent="0.3">
      <c r="P19" s="4" t="s">
        <v>211</v>
      </c>
      <c r="Q19" s="6">
        <v>2</v>
      </c>
    </row>
    <row r="20" spans="4:17" x14ac:dyDescent="0.25">
      <c r="P20" s="7" t="s">
        <v>212</v>
      </c>
      <c r="Q20" s="8">
        <f>Q18+Q19</f>
        <v>181</v>
      </c>
    </row>
    <row r="21" spans="4:17" x14ac:dyDescent="0.25">
      <c r="P21" s="61" t="s">
        <v>205</v>
      </c>
      <c r="Q21" s="62">
        <f>SUM(L5:L12)</f>
        <v>41.788128699132734</v>
      </c>
    </row>
    <row r="27" spans="4:17" x14ac:dyDescent="0.25">
      <c r="K27" s="20"/>
    </row>
    <row r="28" spans="4:17" x14ac:dyDescent="0.25">
      <c r="D28" s="114"/>
    </row>
    <row r="29" spans="4:17" x14ac:dyDescent="0.25">
      <c r="D29" s="114"/>
    </row>
    <row r="30" spans="4:17" x14ac:dyDescent="0.25">
      <c r="D30" s="114"/>
    </row>
    <row r="31" spans="4:17" x14ac:dyDescent="0.25">
      <c r="D31" s="114"/>
    </row>
    <row r="32" spans="4:17" x14ac:dyDescent="0.25">
      <c r="D32" s="114"/>
    </row>
    <row r="33" spans="4:4" x14ac:dyDescent="0.25">
      <c r="D33" s="114"/>
    </row>
    <row r="34" spans="4:4" x14ac:dyDescent="0.25">
      <c r="D34" s="114"/>
    </row>
    <row r="35" spans="4:4" x14ac:dyDescent="0.25">
      <c r="D35" s="114"/>
    </row>
    <row r="36" spans="4:4" x14ac:dyDescent="0.25">
      <c r="D36" s="114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6F3EF-9140-4350-8FA1-82F4983AD7E2}">
  <sheetPr codeName="Sheet1">
    <tabColor rgb="FF00B050"/>
    <pageSetUpPr fitToPage="1"/>
  </sheetPr>
  <dimension ref="A1:Y27"/>
  <sheetViews>
    <sheetView zoomScale="85" zoomScaleNormal="85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181</v>
      </c>
      <c r="F1" s="17" t="s">
        <v>190</v>
      </c>
      <c r="G1" s="10">
        <f>D1/B1</f>
        <v>181</v>
      </c>
      <c r="H1" s="17" t="s">
        <v>191</v>
      </c>
      <c r="I1" s="21">
        <v>20</v>
      </c>
      <c r="J1" s="1"/>
      <c r="K1" s="23" t="s">
        <v>192</v>
      </c>
      <c r="U1" s="93" t="s">
        <v>20</v>
      </c>
      <c r="V1" s="94">
        <v>179</v>
      </c>
    </row>
    <row r="2" spans="1:25" ht="14.25" customHeight="1" x14ac:dyDescent="0.25">
      <c r="A2" s="39"/>
      <c r="B2" s="142" t="s">
        <v>282</v>
      </c>
      <c r="C2" s="139"/>
      <c r="D2" s="139"/>
      <c r="E2" s="139"/>
      <c r="F2" s="139"/>
      <c r="G2" s="139"/>
      <c r="H2" s="143"/>
      <c r="I2" s="32"/>
      <c r="J2" s="32"/>
      <c r="K2" s="33"/>
    </row>
    <row r="3" spans="1:25" ht="14.25" customHeight="1" x14ac:dyDescent="0.25">
      <c r="A3" s="41"/>
      <c r="B3" s="138" t="s">
        <v>276</v>
      </c>
      <c r="C3" s="139"/>
      <c r="D3" s="139"/>
      <c r="E3" s="139"/>
      <c r="F3" s="139"/>
      <c r="G3" s="139"/>
      <c r="H3" s="139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23</v>
      </c>
      <c r="C5" s="16" t="s">
        <v>206</v>
      </c>
      <c r="D5" s="107">
        <v>11.66180758017493</v>
      </c>
      <c r="E5" s="108">
        <f t="shared" ref="E5:E12" si="0">$G$1</f>
        <v>181</v>
      </c>
      <c r="F5" s="109">
        <v>1</v>
      </c>
      <c r="G5" s="108">
        <f t="shared" ref="G5:G12" si="1">E5*D5</f>
        <v>2110.7871720116623</v>
      </c>
      <c r="H5" s="110">
        <f t="shared" ref="H5:H12" si="2">G5*F5</f>
        <v>2110.7871720116623</v>
      </c>
      <c r="I5" s="106">
        <f>VLOOKUP(B5,Ordering!$A$1:$J$50,6,FALSE)</f>
        <v>1</v>
      </c>
      <c r="J5" s="111">
        <f>VLOOKUP(B5,Ordering!$A$1:$J$50,10,FALSE)</f>
        <v>6.6959999999999997</v>
      </c>
      <c r="K5" s="107">
        <f t="shared" ref="K5:K12" si="3">((H5/(I5))/1000)</f>
        <v>2.1107871720116624</v>
      </c>
      <c r="L5" s="112">
        <f t="shared" ref="L5:L12" si="4">J5*K5</f>
        <v>14.133830903790091</v>
      </c>
    </row>
    <row r="6" spans="1:25" ht="14.85" customHeight="1" x14ac:dyDescent="0.25">
      <c r="A6" s="106"/>
      <c r="B6" s="106" t="s">
        <v>42</v>
      </c>
      <c r="C6" s="16" t="s">
        <v>206</v>
      </c>
      <c r="D6" s="107">
        <v>5.8309037900874641</v>
      </c>
      <c r="E6" s="108">
        <f t="shared" si="0"/>
        <v>181</v>
      </c>
      <c r="F6" s="109">
        <v>1</v>
      </c>
      <c r="G6" s="108">
        <f t="shared" si="1"/>
        <v>1055.3935860058309</v>
      </c>
      <c r="H6" s="110">
        <f t="shared" si="2"/>
        <v>1055.3935860058309</v>
      </c>
      <c r="I6" s="106">
        <f>VLOOKUP(B6,Ordering!$A$1:$J$50,6,FALSE)</f>
        <v>1</v>
      </c>
      <c r="J6" s="111">
        <f>VLOOKUP(B6,Ordering!$A$1:$J$50,10,FALSE)</f>
        <v>6.4189189189189184</v>
      </c>
      <c r="K6" s="107">
        <f t="shared" si="3"/>
        <v>1.055393586005831</v>
      </c>
      <c r="L6" s="112">
        <f t="shared" si="4"/>
        <v>6.7744858561185088</v>
      </c>
    </row>
    <row r="7" spans="1:25" ht="14.85" customHeight="1" x14ac:dyDescent="0.25">
      <c r="A7" s="106"/>
      <c r="B7" s="106" t="s">
        <v>34</v>
      </c>
      <c r="C7" s="16" t="s">
        <v>36</v>
      </c>
      <c r="D7" s="107">
        <v>0.87463556851311952</v>
      </c>
      <c r="E7" s="108">
        <f t="shared" si="0"/>
        <v>181</v>
      </c>
      <c r="F7" s="109">
        <v>1</v>
      </c>
      <c r="G7" s="108">
        <f t="shared" si="1"/>
        <v>158.30903790087464</v>
      </c>
      <c r="H7" s="110">
        <f t="shared" si="2"/>
        <v>158.30903790087464</v>
      </c>
      <c r="I7" s="106">
        <f>VLOOKUP(B7,Ordering!$A$1:$J$50,6,FALSE)</f>
        <v>1</v>
      </c>
      <c r="J7" s="111">
        <f>VLOOKUP(B7,Ordering!$A$1:$J$50,10,FALSE)</f>
        <v>5</v>
      </c>
      <c r="K7" s="107">
        <f t="shared" si="3"/>
        <v>0.15830903790087464</v>
      </c>
      <c r="L7" s="112">
        <f t="shared" si="4"/>
        <v>0.79154518950437325</v>
      </c>
      <c r="R7" s="35"/>
    </row>
    <row r="8" spans="1:25" ht="14.85" customHeight="1" x14ac:dyDescent="0.25">
      <c r="A8" s="106"/>
      <c r="B8" s="106" t="s">
        <v>263</v>
      </c>
      <c r="C8" s="16" t="s">
        <v>206</v>
      </c>
      <c r="D8" s="107">
        <v>0.4081632653061224</v>
      </c>
      <c r="E8" s="108">
        <f t="shared" si="0"/>
        <v>181</v>
      </c>
      <c r="F8" s="109">
        <v>1</v>
      </c>
      <c r="G8" s="108">
        <f t="shared" si="1"/>
        <v>73.877551020408148</v>
      </c>
      <c r="H8" s="110">
        <f t="shared" si="2"/>
        <v>73.877551020408148</v>
      </c>
      <c r="I8" s="106">
        <f>VLOOKUP(B8,Ordering!$A$1:$J$50,6,FALSE)</f>
        <v>1</v>
      </c>
      <c r="J8" s="111">
        <f>VLOOKUP(B8,Ordering!$A$1:$J$50,10,FALSE)</f>
        <v>10.5</v>
      </c>
      <c r="K8" s="107">
        <f t="shared" si="3"/>
        <v>7.3877551020408147E-2</v>
      </c>
      <c r="L8" s="112">
        <f t="shared" si="4"/>
        <v>0.77571428571428558</v>
      </c>
      <c r="V8" s="63" t="s">
        <v>207</v>
      </c>
      <c r="W8" s="64">
        <v>1</v>
      </c>
      <c r="X8" s="63" t="s">
        <v>205</v>
      </c>
      <c r="Y8" s="65">
        <f>(SUM(L5:L12)/Q20)*W8</f>
        <v>0.13192779384098732</v>
      </c>
    </row>
    <row r="9" spans="1:25" ht="14.85" customHeight="1" x14ac:dyDescent="0.25">
      <c r="A9" s="106"/>
      <c r="B9" s="106" t="s">
        <v>138</v>
      </c>
      <c r="C9" s="16" t="s">
        <v>206</v>
      </c>
      <c r="D9" s="107">
        <v>0.4081632653061224</v>
      </c>
      <c r="E9" s="108">
        <f t="shared" si="0"/>
        <v>181</v>
      </c>
      <c r="F9" s="109">
        <v>1</v>
      </c>
      <c r="G9" s="108">
        <f t="shared" si="1"/>
        <v>73.877551020408148</v>
      </c>
      <c r="H9" s="110">
        <f t="shared" si="2"/>
        <v>73.877551020408148</v>
      </c>
      <c r="I9" s="106">
        <f>VLOOKUP(B9,Ordering!$A$1:$J$50,6,FALSE)</f>
        <v>0.71</v>
      </c>
      <c r="J9" s="111">
        <f>VLOOKUP(B9,Ordering!$A$1:$J$50,10,FALSE)</f>
        <v>3</v>
      </c>
      <c r="K9" s="107">
        <f t="shared" si="3"/>
        <v>0.10405288876113825</v>
      </c>
      <c r="L9" s="112">
        <f t="shared" si="4"/>
        <v>0.31215866628341471</v>
      </c>
    </row>
    <row r="10" spans="1:25" ht="14.85" customHeight="1" x14ac:dyDescent="0.25">
      <c r="A10" s="106"/>
      <c r="B10" s="106" t="s">
        <v>271</v>
      </c>
      <c r="C10" s="16" t="s">
        <v>206</v>
      </c>
      <c r="D10" s="107">
        <v>0.4081632653061224</v>
      </c>
      <c r="E10" s="108">
        <f t="shared" si="0"/>
        <v>181</v>
      </c>
      <c r="F10" s="109">
        <v>1</v>
      </c>
      <c r="G10" s="108">
        <f t="shared" si="1"/>
        <v>73.877551020408148</v>
      </c>
      <c r="H10" s="110">
        <f t="shared" si="2"/>
        <v>73.877551020408148</v>
      </c>
      <c r="I10" s="106">
        <f>VLOOKUP(B10,Ordering!$A$1:$J$50,6,FALSE)</f>
        <v>0.65</v>
      </c>
      <c r="J10" s="111">
        <f>VLOOKUP(B10,Ordering!$A$1:$J$50,10,FALSE)</f>
        <v>3.5</v>
      </c>
      <c r="K10" s="107">
        <f t="shared" si="3"/>
        <v>0.11365777080062792</v>
      </c>
      <c r="L10" s="112">
        <f t="shared" si="4"/>
        <v>0.39780219780219772</v>
      </c>
    </row>
    <row r="11" spans="1:25" ht="14.85" customHeight="1" x14ac:dyDescent="0.25">
      <c r="A11" s="106"/>
      <c r="B11" s="106" t="s">
        <v>88</v>
      </c>
      <c r="C11" s="16" t="s">
        <v>206</v>
      </c>
      <c r="D11" s="107">
        <v>0.29154518950437308</v>
      </c>
      <c r="E11" s="108">
        <f t="shared" si="0"/>
        <v>181</v>
      </c>
      <c r="F11" s="109">
        <v>1</v>
      </c>
      <c r="G11" s="108">
        <f t="shared" si="1"/>
        <v>52.769679300291529</v>
      </c>
      <c r="H11" s="110">
        <f t="shared" si="2"/>
        <v>52.769679300291529</v>
      </c>
      <c r="I11" s="106">
        <f>VLOOKUP(B11,Ordering!$A$1:$J$50,6,FALSE)</f>
        <v>1</v>
      </c>
      <c r="J11" s="111">
        <f>VLOOKUP(B11,Ordering!$A$1:$J$50,10,FALSE)</f>
        <v>0.74</v>
      </c>
      <c r="K11" s="107">
        <f t="shared" si="3"/>
        <v>5.2769679300291528E-2</v>
      </c>
      <c r="L11" s="112">
        <f t="shared" si="4"/>
        <v>3.9049562682215731E-2</v>
      </c>
      <c r="M11" s="72"/>
      <c r="N11" s="22"/>
    </row>
    <row r="12" spans="1:25" ht="14.85" customHeight="1" x14ac:dyDescent="0.25">
      <c r="A12" s="106"/>
      <c r="B12" s="106" t="s">
        <v>76</v>
      </c>
      <c r="C12" s="16" t="s">
        <v>206</v>
      </c>
      <c r="D12" s="107">
        <v>0.11661807580174929</v>
      </c>
      <c r="E12" s="108">
        <f t="shared" si="0"/>
        <v>181</v>
      </c>
      <c r="F12" s="109">
        <v>1</v>
      </c>
      <c r="G12" s="108">
        <f t="shared" si="1"/>
        <v>21.107871720116623</v>
      </c>
      <c r="H12" s="110">
        <f t="shared" si="2"/>
        <v>21.107871720116623</v>
      </c>
      <c r="I12" s="106">
        <f>VLOOKUP(B12,Ordering!$A$1:$J$50,6,FALSE)</f>
        <v>1</v>
      </c>
      <c r="J12" s="111">
        <f>VLOOKUP(B12,Ordering!$A$1:$J$50,10,FALSE)</f>
        <v>31</v>
      </c>
      <c r="K12" s="107">
        <f t="shared" si="3"/>
        <v>2.1107871720116623E-2</v>
      </c>
      <c r="L12" s="112">
        <f t="shared" si="4"/>
        <v>0.6543440233236153</v>
      </c>
      <c r="M12" s="72"/>
      <c r="N12" s="22"/>
      <c r="O12" s="22"/>
    </row>
    <row r="13" spans="1:25" ht="14.85" customHeight="1" x14ac:dyDescent="0.25">
      <c r="B13" s="57" t="s">
        <v>191</v>
      </c>
      <c r="C13" s="132" t="s">
        <v>206</v>
      </c>
      <c r="D13" s="127">
        <f>$I$1</f>
        <v>20</v>
      </c>
      <c r="E13" s="133"/>
      <c r="F13" s="133"/>
      <c r="G13" s="134" t="s">
        <v>325</v>
      </c>
      <c r="H13" s="135">
        <f>SUM(H5:H12)</f>
        <v>3620.0000000000005</v>
      </c>
    </row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179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181</v>
      </c>
    </row>
    <row r="21" spans="11:17" x14ac:dyDescent="0.25">
      <c r="P21" s="61" t="s">
        <v>205</v>
      </c>
      <c r="Q21" s="62">
        <f>SUM(L5:L12)</f>
        <v>23.878930685218705</v>
      </c>
    </row>
    <row r="27" spans="11:17" x14ac:dyDescent="0.25">
      <c r="K27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>
    <tabColor theme="8" tint="-0.249977111117893"/>
    <pageSetUpPr fitToPage="1"/>
  </sheetPr>
  <dimension ref="A1:V27"/>
  <sheetViews>
    <sheetView zoomScale="85" zoomScaleNormal="85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2" ht="26.25" customHeight="1" x14ac:dyDescent="0.25">
      <c r="A1" s="17" t="s">
        <v>188</v>
      </c>
      <c r="B1" s="9">
        <v>1</v>
      </c>
      <c r="C1" s="17" t="s">
        <v>189</v>
      </c>
      <c r="D1" s="10">
        <f>Q20</f>
        <v>234</v>
      </c>
      <c r="F1" s="17" t="s">
        <v>190</v>
      </c>
      <c r="G1" s="10">
        <f>D1/B1</f>
        <v>234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232</v>
      </c>
    </row>
    <row r="2" spans="1:22" ht="14.25" customHeight="1" x14ac:dyDescent="0.25">
      <c r="A2" s="37"/>
      <c r="B2" s="150" t="s">
        <v>228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38"/>
      <c r="B3" s="149" t="s">
        <v>229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23</v>
      </c>
      <c r="C5" s="16" t="s">
        <v>206</v>
      </c>
      <c r="D5" s="15">
        <v>20</v>
      </c>
      <c r="E5" s="12">
        <f>$G$1</f>
        <v>234</v>
      </c>
      <c r="F5" s="13">
        <v>1</v>
      </c>
      <c r="G5" s="12">
        <f t="shared" ref="G5:G10" si="0">E5*D5</f>
        <v>4680</v>
      </c>
      <c r="H5" s="56">
        <f t="shared" ref="H5:H10" si="1">G5*F5</f>
        <v>4680</v>
      </c>
      <c r="I5" s="11">
        <f>VLOOKUP(B5,Ordering!$A$1:$J$45,6,FALSE)</f>
        <v>1</v>
      </c>
      <c r="J5" s="58">
        <f>VLOOKUP(B5,Ordering!$A$1:$J$45,10,FALSE)</f>
        <v>6.6959999999999997</v>
      </c>
      <c r="K5" s="58">
        <f t="shared" ref="K5:K10" si="2">((H5/(I5))/1000)</f>
        <v>4.68</v>
      </c>
      <c r="L5" s="59">
        <f t="shared" ref="L5:L10" si="3">J5*K5</f>
        <v>31.337279999999996</v>
      </c>
    </row>
    <row r="6" spans="1:22" ht="14.85" customHeight="1" x14ac:dyDescent="0.25">
      <c r="A6" s="11"/>
      <c r="B6" s="11" t="s">
        <v>142</v>
      </c>
      <c r="C6" s="16" t="s">
        <v>206</v>
      </c>
      <c r="D6" s="15">
        <v>5.4</v>
      </c>
      <c r="E6" s="12">
        <f t="shared" ref="E6:E10" si="4">$G$1</f>
        <v>234</v>
      </c>
      <c r="F6" s="13">
        <v>1</v>
      </c>
      <c r="G6" s="12">
        <f t="shared" si="0"/>
        <v>1263.6000000000001</v>
      </c>
      <c r="H6" s="56">
        <f t="shared" si="1"/>
        <v>1263.6000000000001</v>
      </c>
      <c r="I6" s="11">
        <f>VLOOKUP(B6,Ordering!$A$1:$J$45,6,FALSE)</f>
        <v>0.8</v>
      </c>
      <c r="J6" s="58">
        <f>VLOOKUP(B6,Ordering!$A$1:$J$45,10,FALSE)</f>
        <v>3</v>
      </c>
      <c r="K6" s="58">
        <f t="shared" si="2"/>
        <v>1.5794999999999999</v>
      </c>
      <c r="L6" s="59">
        <f t="shared" si="3"/>
        <v>4.7385000000000002</v>
      </c>
    </row>
    <row r="7" spans="1:22" ht="14.85" customHeight="1" x14ac:dyDescent="0.25">
      <c r="A7" s="11"/>
      <c r="B7" s="11" t="s">
        <v>80</v>
      </c>
      <c r="C7" s="16" t="s">
        <v>206</v>
      </c>
      <c r="D7" s="15">
        <v>0.05</v>
      </c>
      <c r="E7" s="12">
        <f t="shared" si="4"/>
        <v>234</v>
      </c>
      <c r="F7" s="13">
        <v>1</v>
      </c>
      <c r="G7" s="12">
        <f t="shared" si="0"/>
        <v>11.700000000000001</v>
      </c>
      <c r="H7" s="56">
        <f t="shared" si="1"/>
        <v>11.700000000000001</v>
      </c>
      <c r="I7" s="11">
        <f>VLOOKUP(B7,Ordering!$A$1:$J$45,6,FALSE)</f>
        <v>1</v>
      </c>
      <c r="J7" s="58">
        <f>VLOOKUP(B7,Ordering!$A$1:$J$45,10,FALSE)</f>
        <v>8</v>
      </c>
      <c r="K7" s="58">
        <f t="shared" si="2"/>
        <v>1.17E-2</v>
      </c>
      <c r="L7" s="59">
        <f t="shared" si="3"/>
        <v>9.3600000000000003E-2</v>
      </c>
      <c r="R7" s="35"/>
    </row>
    <row r="8" spans="1:22" ht="14.85" customHeight="1" x14ac:dyDescent="0.25">
      <c r="A8" s="11"/>
      <c r="B8" s="11" t="s">
        <v>120</v>
      </c>
      <c r="C8" s="16" t="s">
        <v>206</v>
      </c>
      <c r="D8" s="15">
        <v>0.02</v>
      </c>
      <c r="E8" s="12">
        <f t="shared" si="4"/>
        <v>234</v>
      </c>
      <c r="F8" s="13">
        <v>1</v>
      </c>
      <c r="G8" s="12">
        <f t="shared" si="0"/>
        <v>4.68</v>
      </c>
      <c r="H8" s="56">
        <f t="shared" si="1"/>
        <v>4.68</v>
      </c>
      <c r="I8" s="11">
        <f>VLOOKUP(B8,Ordering!$A$1:$J$45,6,FALSE)</f>
        <v>1</v>
      </c>
      <c r="J8" s="58">
        <f>VLOOKUP(B8,Ordering!$A$1:$J$45,10,FALSE)</f>
        <v>20</v>
      </c>
      <c r="K8" s="58">
        <f t="shared" si="2"/>
        <v>4.6800000000000001E-3</v>
      </c>
      <c r="L8" s="59">
        <f t="shared" si="3"/>
        <v>9.3600000000000003E-2</v>
      </c>
    </row>
    <row r="9" spans="1:22" ht="14.85" customHeight="1" x14ac:dyDescent="0.25">
      <c r="A9" s="11"/>
      <c r="B9" s="11" t="s">
        <v>66</v>
      </c>
      <c r="C9" s="16" t="s">
        <v>36</v>
      </c>
      <c r="D9" s="15">
        <v>9.4499999999999993</v>
      </c>
      <c r="E9" s="12">
        <f t="shared" si="4"/>
        <v>234</v>
      </c>
      <c r="F9" s="13">
        <v>1</v>
      </c>
      <c r="G9" s="12">
        <f t="shared" si="0"/>
        <v>2211.2999999999997</v>
      </c>
      <c r="H9" s="56">
        <f t="shared" si="1"/>
        <v>2211.2999999999997</v>
      </c>
      <c r="I9" s="11">
        <f>VLOOKUP(B9,Ordering!$A$1:$J$45,6,FALSE)</f>
        <v>1</v>
      </c>
      <c r="J9" s="58">
        <f>VLOOKUP(B9,Ordering!$A$1:$J$45,10,FALSE)</f>
        <v>0</v>
      </c>
      <c r="K9" s="58">
        <f t="shared" si="2"/>
        <v>2.2112999999999996</v>
      </c>
      <c r="L9" s="59">
        <f t="shared" si="3"/>
        <v>0</v>
      </c>
    </row>
    <row r="10" spans="1:22" ht="14.85" customHeight="1" x14ac:dyDescent="0.25">
      <c r="A10" s="11"/>
      <c r="B10" s="11" t="s">
        <v>88</v>
      </c>
      <c r="C10" s="16" t="s">
        <v>206</v>
      </c>
      <c r="D10" s="15">
        <v>0.08</v>
      </c>
      <c r="E10" s="12">
        <f t="shared" si="4"/>
        <v>234</v>
      </c>
      <c r="F10" s="13">
        <v>1</v>
      </c>
      <c r="G10" s="12">
        <f t="shared" si="0"/>
        <v>18.72</v>
      </c>
      <c r="H10" s="56">
        <f t="shared" si="1"/>
        <v>18.72</v>
      </c>
      <c r="I10" s="11">
        <f>VLOOKUP(B10,Ordering!$A$1:$J$45,6,FALSE)</f>
        <v>1</v>
      </c>
      <c r="J10" s="58">
        <f>VLOOKUP(B10,Ordering!$A$1:$J$45,10,FALSE)</f>
        <v>0.74</v>
      </c>
      <c r="K10" s="58">
        <f t="shared" si="2"/>
        <v>1.8720000000000001E-2</v>
      </c>
      <c r="L10" s="59">
        <f t="shared" si="3"/>
        <v>1.38528E-2</v>
      </c>
    </row>
    <row r="11" spans="1:22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8190.0000000000009</v>
      </c>
      <c r="M11" s="72"/>
      <c r="N11" s="22"/>
    </row>
    <row r="12" spans="1:22" ht="14.85" customHeight="1" x14ac:dyDescent="0.25">
      <c r="M12" s="72"/>
      <c r="N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232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234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theme="8" tint="-0.249977111117893"/>
    <pageSetUpPr fitToPage="1"/>
  </sheetPr>
  <dimension ref="A1:V27"/>
  <sheetViews>
    <sheetView topLeftCell="B1" zoomScale="85" zoomScaleNormal="85" zoomScaleSheetLayoutView="10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3.5703125" customWidth="1"/>
    <col min="19" max="19" width="8.42578125" bestFit="1" customWidth="1"/>
  </cols>
  <sheetData>
    <row r="1" spans="1:22" ht="26.25" customHeight="1" x14ac:dyDescent="0.25">
      <c r="A1" s="17" t="s">
        <v>188</v>
      </c>
      <c r="B1" s="9">
        <v>1</v>
      </c>
      <c r="C1" s="17" t="s">
        <v>189</v>
      </c>
      <c r="D1" s="10">
        <f>Q20</f>
        <v>234</v>
      </c>
      <c r="F1" s="17" t="s">
        <v>190</v>
      </c>
      <c r="G1" s="10">
        <f>D1/B1</f>
        <v>234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232</v>
      </c>
    </row>
    <row r="2" spans="1:22" ht="14.25" customHeight="1" x14ac:dyDescent="0.25">
      <c r="A2" s="41"/>
      <c r="B2" s="152" t="s">
        <v>218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2" ht="14.25" customHeight="1" x14ac:dyDescent="0.25">
      <c r="A3" s="41"/>
      <c r="B3" s="149" t="s">
        <v>229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149</v>
      </c>
      <c r="C5" s="16" t="s">
        <v>206</v>
      </c>
      <c r="D5" s="15">
        <v>33.700000000000003</v>
      </c>
      <c r="E5" s="12">
        <f t="shared" ref="E5:E10" si="0">$G$1</f>
        <v>234</v>
      </c>
      <c r="F5" s="13">
        <v>1</v>
      </c>
      <c r="G5" s="12">
        <f t="shared" ref="G5:G10" si="1">E5*D5</f>
        <v>7885.8000000000011</v>
      </c>
      <c r="H5" s="56">
        <f t="shared" ref="H5:H10" si="2">G5*F5</f>
        <v>7885.8000000000011</v>
      </c>
      <c r="I5" s="11">
        <f>VLOOKUP(B5,Ordering!$A$1:$J$45,6,FALSE)</f>
        <v>0.98</v>
      </c>
      <c r="J5" s="58">
        <f>VLOOKUP(B5,Ordering!$A$1:$J$45,10,FALSE)</f>
        <v>3.5</v>
      </c>
      <c r="K5" s="58">
        <f t="shared" ref="K5:K10" si="3">H5/I5</f>
        <v>8046.7346938775527</v>
      </c>
      <c r="L5" s="59">
        <f t="shared" ref="L5:L10" si="4">J5*K5</f>
        <v>28163.571428571435</v>
      </c>
    </row>
    <row r="6" spans="1:22" ht="14.85" customHeight="1" x14ac:dyDescent="0.25">
      <c r="A6" s="11"/>
      <c r="B6" s="11" t="s">
        <v>146</v>
      </c>
      <c r="C6" s="16" t="s">
        <v>206</v>
      </c>
      <c r="D6" s="15">
        <v>0.24</v>
      </c>
      <c r="E6" s="12">
        <f t="shared" si="0"/>
        <v>234</v>
      </c>
      <c r="F6" s="13">
        <v>1</v>
      </c>
      <c r="G6" s="12">
        <f t="shared" si="1"/>
        <v>56.16</v>
      </c>
      <c r="H6" s="56">
        <f t="shared" si="2"/>
        <v>56.16</v>
      </c>
      <c r="I6" s="11">
        <f>VLOOKUP(B6,Ordering!$A$1:$J$45,6,FALSE)</f>
        <v>0.96</v>
      </c>
      <c r="J6" s="58">
        <f>VLOOKUP(B6,Ordering!$A$1:$J$45,10,FALSE)</f>
        <v>4</v>
      </c>
      <c r="K6" s="58">
        <f t="shared" si="3"/>
        <v>58.5</v>
      </c>
      <c r="L6" s="59">
        <f t="shared" si="4"/>
        <v>234</v>
      </c>
    </row>
    <row r="7" spans="1:22" ht="14.85" customHeight="1" x14ac:dyDescent="0.25">
      <c r="A7" s="11"/>
      <c r="B7" s="11" t="s">
        <v>133</v>
      </c>
      <c r="C7" s="16" t="s">
        <v>206</v>
      </c>
      <c r="D7" s="15">
        <v>0.2</v>
      </c>
      <c r="E7" s="12">
        <f t="shared" si="0"/>
        <v>234</v>
      </c>
      <c r="F7" s="13">
        <v>1</v>
      </c>
      <c r="G7" s="12">
        <f t="shared" si="1"/>
        <v>46.800000000000004</v>
      </c>
      <c r="H7" s="56">
        <f t="shared" si="2"/>
        <v>46.800000000000004</v>
      </c>
      <c r="I7" s="11">
        <f>VLOOKUP(B7,Ordering!$A$1:$J$45,6,FALSE)</f>
        <v>0.94</v>
      </c>
      <c r="J7" s="58">
        <f>VLOOKUP(B7,Ordering!$A$1:$J$45,10,FALSE)</f>
        <v>3.6363636363636371</v>
      </c>
      <c r="K7" s="58">
        <f t="shared" si="3"/>
        <v>49.787234042553202</v>
      </c>
      <c r="L7" s="59">
        <f t="shared" si="4"/>
        <v>181.04448742746624</v>
      </c>
      <c r="R7" s="35"/>
    </row>
    <row r="8" spans="1:22" ht="14.85" customHeight="1" x14ac:dyDescent="0.25">
      <c r="A8" s="11"/>
      <c r="B8" s="11" t="s">
        <v>98</v>
      </c>
      <c r="C8" s="16" t="s">
        <v>206</v>
      </c>
      <c r="D8" s="24">
        <v>3.0000000000000001E-3</v>
      </c>
      <c r="E8" s="12">
        <f t="shared" si="0"/>
        <v>234</v>
      </c>
      <c r="F8" s="13">
        <v>1</v>
      </c>
      <c r="G8" s="12">
        <f t="shared" si="1"/>
        <v>0.70200000000000007</v>
      </c>
      <c r="H8" s="56">
        <f t="shared" si="2"/>
        <v>0.70200000000000007</v>
      </c>
      <c r="I8" s="11">
        <f>VLOOKUP(B8,Ordering!$A$1:$J$45,6,FALSE)</f>
        <v>1</v>
      </c>
      <c r="J8" s="58">
        <f>VLOOKUP(B8,Ordering!$A$1:$J$45,10,FALSE)</f>
        <v>35</v>
      </c>
      <c r="K8" s="58">
        <f t="shared" si="3"/>
        <v>0.70200000000000007</v>
      </c>
      <c r="L8" s="59">
        <f t="shared" si="4"/>
        <v>24.570000000000004</v>
      </c>
    </row>
    <row r="9" spans="1:22" ht="14.85" customHeight="1" x14ac:dyDescent="0.25">
      <c r="A9" s="11"/>
      <c r="B9" s="11" t="s">
        <v>88</v>
      </c>
      <c r="C9" s="16" t="s">
        <v>206</v>
      </c>
      <c r="D9" s="15">
        <v>0.12</v>
      </c>
      <c r="E9" s="12">
        <f t="shared" si="0"/>
        <v>234</v>
      </c>
      <c r="F9" s="13">
        <v>1</v>
      </c>
      <c r="G9" s="12">
        <f t="shared" si="1"/>
        <v>28.08</v>
      </c>
      <c r="H9" s="56">
        <f t="shared" si="2"/>
        <v>28.08</v>
      </c>
      <c r="I9" s="11">
        <f>VLOOKUP(B9,Ordering!$A$1:$J$45,6,FALSE)</f>
        <v>1</v>
      </c>
      <c r="J9" s="58">
        <f>VLOOKUP(B9,Ordering!$A$1:$J$45,10,FALSE)</f>
        <v>0.74</v>
      </c>
      <c r="K9" s="58">
        <f t="shared" si="3"/>
        <v>28.08</v>
      </c>
      <c r="L9" s="59">
        <f t="shared" si="4"/>
        <v>20.779199999999999</v>
      </c>
    </row>
    <row r="10" spans="1:22" ht="14.85" customHeight="1" x14ac:dyDescent="0.25">
      <c r="A10" s="11"/>
      <c r="B10" s="11" t="s">
        <v>66</v>
      </c>
      <c r="C10" s="16" t="s">
        <v>36</v>
      </c>
      <c r="D10" s="15">
        <v>0.75</v>
      </c>
      <c r="E10" s="12">
        <f t="shared" si="0"/>
        <v>234</v>
      </c>
      <c r="F10" s="13">
        <v>1</v>
      </c>
      <c r="G10" s="12">
        <f t="shared" si="1"/>
        <v>175.5</v>
      </c>
      <c r="H10" s="56">
        <f t="shared" si="2"/>
        <v>175.5</v>
      </c>
      <c r="I10" s="11">
        <f>VLOOKUP(B10,Ordering!$A$1:$J$45,6,FALSE)</f>
        <v>1</v>
      </c>
      <c r="J10" s="58">
        <f>VLOOKUP(B10,Ordering!$A$1:$J$45,10,FALSE)</f>
        <v>0</v>
      </c>
      <c r="K10" s="58">
        <f t="shared" si="3"/>
        <v>175.5</v>
      </c>
      <c r="L10" s="59">
        <f t="shared" si="4"/>
        <v>0</v>
      </c>
    </row>
    <row r="11" spans="1:22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8193.0420000000013</v>
      </c>
      <c r="M11" s="72"/>
      <c r="N11" s="22"/>
    </row>
    <row r="12" spans="1:22" ht="14.85" customHeight="1" x14ac:dyDescent="0.25">
      <c r="M12" s="72"/>
      <c r="N12" s="22"/>
      <c r="O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232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234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8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53">
    <tabColor theme="8" tint="-0.249977111117893"/>
    <pageSetUpPr fitToPage="1"/>
  </sheetPr>
  <dimension ref="A1:Y27"/>
  <sheetViews>
    <sheetView zoomScale="70" zoomScaleNormal="70" workbookViewId="0">
      <selection activeCell="G33" sqref="G3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155</v>
      </c>
      <c r="F1" s="17" t="s">
        <v>190</v>
      </c>
      <c r="G1" s="10">
        <f>D1/B1</f>
        <v>155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153</v>
      </c>
    </row>
    <row r="2" spans="1:25" ht="14.25" customHeight="1" x14ac:dyDescent="0.25">
      <c r="A2" s="39"/>
      <c r="B2" s="152" t="s">
        <v>288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4" t="s">
        <v>254</v>
      </c>
      <c r="C3" s="154"/>
      <c r="D3" s="154"/>
      <c r="E3" s="154"/>
      <c r="F3" s="154"/>
      <c r="G3" s="154"/>
      <c r="H3" s="154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42</v>
      </c>
      <c r="C5" s="16" t="s">
        <v>206</v>
      </c>
      <c r="D5" s="107">
        <v>21.649484536082483</v>
      </c>
      <c r="E5" s="108">
        <f t="shared" ref="E5:E10" si="0">$G$1</f>
        <v>155</v>
      </c>
      <c r="F5" s="109">
        <v>1</v>
      </c>
      <c r="G5" s="108">
        <f t="shared" ref="G5:G10" si="1">E5*D5</f>
        <v>3355.6701030927848</v>
      </c>
      <c r="H5" s="110">
        <f t="shared" ref="H5:H10" si="2">G5*F5</f>
        <v>3355.6701030927848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 t="shared" ref="K5:K10" si="3">((H5/(I5))/1000)</f>
        <v>3.3556701030927849</v>
      </c>
      <c r="L5" s="112">
        <f t="shared" ref="L5:L10" si="4">J5*K5</f>
        <v>21.539774310392875</v>
      </c>
    </row>
    <row r="6" spans="1:25" ht="14.85" customHeight="1" x14ac:dyDescent="0.25">
      <c r="A6" s="106"/>
      <c r="B6" s="106" t="s">
        <v>61</v>
      </c>
      <c r="C6" s="16" t="s">
        <v>36</v>
      </c>
      <c r="D6" s="107">
        <v>7.216494845360824</v>
      </c>
      <c r="E6" s="108">
        <f t="shared" si="0"/>
        <v>155</v>
      </c>
      <c r="F6" s="109">
        <v>1</v>
      </c>
      <c r="G6" s="108">
        <f t="shared" si="1"/>
        <v>1118.5567010309278</v>
      </c>
      <c r="H6" s="110">
        <f t="shared" si="2"/>
        <v>1118.5567010309278</v>
      </c>
      <c r="I6" s="106">
        <f>VLOOKUP(B6,Ordering!$A$1:$J$45,6,FALSE)</f>
        <v>1</v>
      </c>
      <c r="J6" s="111">
        <f>VLOOKUP(B6,Ordering!$A$1:$J$45,10,FALSE)</f>
        <v>3.25</v>
      </c>
      <c r="K6" s="107">
        <f t="shared" si="3"/>
        <v>1.1185567010309279</v>
      </c>
      <c r="L6" s="112">
        <f t="shared" si="4"/>
        <v>3.6353092783505154</v>
      </c>
    </row>
    <row r="7" spans="1:25" ht="14.85" customHeight="1" x14ac:dyDescent="0.25">
      <c r="A7" s="106"/>
      <c r="B7" s="106" t="s">
        <v>46</v>
      </c>
      <c r="C7" s="16" t="s">
        <v>206</v>
      </c>
      <c r="D7" s="107">
        <v>2.8865979381443294</v>
      </c>
      <c r="E7" s="108">
        <f t="shared" si="0"/>
        <v>155</v>
      </c>
      <c r="F7" s="109">
        <v>1</v>
      </c>
      <c r="G7" s="108">
        <f t="shared" si="1"/>
        <v>447.42268041237105</v>
      </c>
      <c r="H7" s="110">
        <f t="shared" si="2"/>
        <v>447.42268041237105</v>
      </c>
      <c r="I7" s="106">
        <f>VLOOKUP(B7,Ordering!$A$1:$J$45,6,FALSE)</f>
        <v>1</v>
      </c>
      <c r="J7" s="111">
        <f>VLOOKUP(B7,Ordering!$A$1:$J$45,10,FALSE)</f>
        <v>11.243386243386244</v>
      </c>
      <c r="K7" s="107">
        <f t="shared" si="3"/>
        <v>0.44742268041237104</v>
      </c>
      <c r="L7" s="112">
        <f t="shared" si="4"/>
        <v>5.0305460099274519</v>
      </c>
      <c r="R7" s="35"/>
    </row>
    <row r="8" spans="1:25" ht="14.85" customHeight="1" x14ac:dyDescent="0.25">
      <c r="A8" s="106"/>
      <c r="B8" s="106" t="s">
        <v>261</v>
      </c>
      <c r="C8" s="16" t="s">
        <v>206</v>
      </c>
      <c r="D8" s="107">
        <v>1.0824742268041239</v>
      </c>
      <c r="E8" s="108">
        <f t="shared" si="0"/>
        <v>155</v>
      </c>
      <c r="F8" s="109">
        <v>1</v>
      </c>
      <c r="G8" s="108">
        <f t="shared" si="1"/>
        <v>167.78350515463919</v>
      </c>
      <c r="H8" s="110">
        <f t="shared" si="2"/>
        <v>167.78350515463919</v>
      </c>
      <c r="I8" s="106">
        <f>VLOOKUP(B8,Ordering!$A$1:$J$45,6,FALSE)</f>
        <v>1</v>
      </c>
      <c r="J8" s="111">
        <f>VLOOKUP(B8,Ordering!$A$1:$J$45,10,FALSE)</f>
        <v>35.310734463276837</v>
      </c>
      <c r="K8" s="107">
        <f t="shared" si="3"/>
        <v>0.16778350515463919</v>
      </c>
      <c r="L8" s="112">
        <f t="shared" si="4"/>
        <v>5.9245587978333045</v>
      </c>
      <c r="V8" s="63" t="s">
        <v>207</v>
      </c>
      <c r="W8" s="64">
        <v>1</v>
      </c>
      <c r="X8" s="63" t="s">
        <v>205</v>
      </c>
      <c r="Y8" s="65">
        <f>(SUM(L5:L10)/Q20)*W8</f>
        <v>0.25691242264455616</v>
      </c>
    </row>
    <row r="9" spans="1:25" ht="14.85" customHeight="1" x14ac:dyDescent="0.25">
      <c r="A9" s="106"/>
      <c r="B9" s="106" t="s">
        <v>259</v>
      </c>
      <c r="C9" s="16" t="s">
        <v>206</v>
      </c>
      <c r="D9" s="107">
        <v>1.0824742268041239</v>
      </c>
      <c r="E9" s="108">
        <f t="shared" si="0"/>
        <v>155</v>
      </c>
      <c r="F9" s="109">
        <v>1</v>
      </c>
      <c r="G9" s="108">
        <f t="shared" si="1"/>
        <v>167.78350515463919</v>
      </c>
      <c r="H9" s="110">
        <f t="shared" si="2"/>
        <v>167.78350515463919</v>
      </c>
      <c r="I9" s="106">
        <f>VLOOKUP(B9,Ordering!$A$1:$J$45,6,FALSE)</f>
        <v>1</v>
      </c>
      <c r="J9" s="111">
        <f>VLOOKUP(B9,Ordering!$A$1:$J$45,10,FALSE)</f>
        <v>10</v>
      </c>
      <c r="K9" s="107">
        <f t="shared" si="3"/>
        <v>0.16778350515463919</v>
      </c>
      <c r="L9" s="112">
        <f t="shared" si="4"/>
        <v>1.677835051546392</v>
      </c>
    </row>
    <row r="10" spans="1:25" ht="14.85" customHeight="1" x14ac:dyDescent="0.25">
      <c r="A10" s="106"/>
      <c r="B10" s="106" t="s">
        <v>260</v>
      </c>
      <c r="C10" s="16" t="s">
        <v>206</v>
      </c>
      <c r="D10" s="107">
        <v>1.0824742268041239</v>
      </c>
      <c r="E10" s="108">
        <f t="shared" si="0"/>
        <v>155</v>
      </c>
      <c r="F10" s="109">
        <v>1</v>
      </c>
      <c r="G10" s="108">
        <f t="shared" si="1"/>
        <v>167.78350515463919</v>
      </c>
      <c r="H10" s="110">
        <f t="shared" si="2"/>
        <v>167.78350515463919</v>
      </c>
      <c r="I10" s="106">
        <f>VLOOKUP(B10,Ordering!$A$1:$J$45,6,FALSE)</f>
        <v>1</v>
      </c>
      <c r="J10" s="111">
        <f>VLOOKUP(B10,Ordering!$A$1:$J$45,10,FALSE)</f>
        <v>12</v>
      </c>
      <c r="K10" s="107">
        <f t="shared" si="3"/>
        <v>0.16778350515463919</v>
      </c>
      <c r="L10" s="112">
        <f t="shared" si="4"/>
        <v>2.0134020618556701</v>
      </c>
    </row>
    <row r="11" spans="1:25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5425.0000000000009</v>
      </c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153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155</v>
      </c>
    </row>
    <row r="21" spans="11:17" x14ac:dyDescent="0.25">
      <c r="P21" s="61" t="s">
        <v>205</v>
      </c>
      <c r="Q21" s="62">
        <f>SUM(L5:L10)</f>
        <v>39.821425509906206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DB7A2-7059-4109-821C-64AF44AABC05}">
  <sheetPr codeName="Sheet4">
    <tabColor theme="8" tint="-0.249977111117893"/>
    <pageSetUpPr fitToPage="1"/>
  </sheetPr>
  <dimension ref="A1:Y27"/>
  <sheetViews>
    <sheetView topLeftCell="B1" zoomScale="85" zoomScaleNormal="85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155</v>
      </c>
      <c r="F1" s="17" t="s">
        <v>190</v>
      </c>
      <c r="G1" s="10">
        <f>D1/B1</f>
        <v>155</v>
      </c>
      <c r="H1" s="17" t="s">
        <v>191</v>
      </c>
      <c r="I1" s="21">
        <v>20</v>
      </c>
      <c r="J1" s="1"/>
      <c r="K1" s="23" t="s">
        <v>192</v>
      </c>
      <c r="U1" s="93" t="s">
        <v>20</v>
      </c>
      <c r="V1" s="94">
        <v>153</v>
      </c>
    </row>
    <row r="2" spans="1:25" ht="14.25" customHeight="1" x14ac:dyDescent="0.25">
      <c r="A2" s="39"/>
      <c r="B2" s="152" t="s">
        <v>287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254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42</v>
      </c>
      <c r="C5" s="16" t="s">
        <v>206</v>
      </c>
      <c r="D5" s="107">
        <v>12.371134020618561</v>
      </c>
      <c r="E5" s="108">
        <f t="shared" ref="E5:E10" si="0">$G$1</f>
        <v>155</v>
      </c>
      <c r="F5" s="109">
        <v>1</v>
      </c>
      <c r="G5" s="108">
        <f t="shared" ref="G5:G10" si="1">E5*D5</f>
        <v>1917.5257731958768</v>
      </c>
      <c r="H5" s="110">
        <f t="shared" ref="H5:H10" si="2">G5*F5</f>
        <v>1917.5257731958768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 t="shared" ref="K5:K10" si="3">((H5/(I5))/1000)</f>
        <v>1.9175257731958768</v>
      </c>
      <c r="L5" s="112">
        <f t="shared" ref="L5:L10" si="4">J5*K5</f>
        <v>12.30844246308164</v>
      </c>
    </row>
    <row r="6" spans="1:25" ht="14.85" customHeight="1" x14ac:dyDescent="0.25">
      <c r="A6" s="106"/>
      <c r="B6" s="106" t="s">
        <v>61</v>
      </c>
      <c r="C6" s="16" t="s">
        <v>36</v>
      </c>
      <c r="D6" s="107">
        <v>4.1237113402061851</v>
      </c>
      <c r="E6" s="108">
        <f t="shared" si="0"/>
        <v>155</v>
      </c>
      <c r="F6" s="109">
        <v>1</v>
      </c>
      <c r="G6" s="108">
        <f t="shared" si="1"/>
        <v>639.17525773195871</v>
      </c>
      <c r="H6" s="110">
        <f t="shared" si="2"/>
        <v>639.17525773195871</v>
      </c>
      <c r="I6" s="106">
        <f>VLOOKUP(B6,Ordering!$A$1:$J$45,6,FALSE)</f>
        <v>1</v>
      </c>
      <c r="J6" s="111">
        <f>VLOOKUP(B6,Ordering!$A$1:$J$45,10,FALSE)</f>
        <v>3.25</v>
      </c>
      <c r="K6" s="107">
        <f t="shared" si="3"/>
        <v>0.63917525773195871</v>
      </c>
      <c r="L6" s="112">
        <f t="shared" si="4"/>
        <v>2.0773195876288657</v>
      </c>
    </row>
    <row r="7" spans="1:25" ht="14.85" customHeight="1" x14ac:dyDescent="0.25">
      <c r="A7" s="106"/>
      <c r="B7" s="106" t="s">
        <v>46</v>
      </c>
      <c r="C7" s="16" t="s">
        <v>206</v>
      </c>
      <c r="D7" s="107">
        <v>1.6494845360824739</v>
      </c>
      <c r="E7" s="108">
        <f t="shared" si="0"/>
        <v>155</v>
      </c>
      <c r="F7" s="109">
        <v>1</v>
      </c>
      <c r="G7" s="108">
        <f t="shared" si="1"/>
        <v>255.67010309278345</v>
      </c>
      <c r="H7" s="110">
        <f t="shared" si="2"/>
        <v>255.67010309278345</v>
      </c>
      <c r="I7" s="106">
        <f>VLOOKUP(B7,Ordering!$A$1:$J$45,6,FALSE)</f>
        <v>1</v>
      </c>
      <c r="J7" s="111">
        <f>VLOOKUP(B7,Ordering!$A$1:$J$45,10,FALSE)</f>
        <v>11.243386243386244</v>
      </c>
      <c r="K7" s="107">
        <f t="shared" si="3"/>
        <v>0.25567010309278343</v>
      </c>
      <c r="L7" s="112">
        <f t="shared" si="4"/>
        <v>2.874597719958544</v>
      </c>
      <c r="R7" s="35"/>
    </row>
    <row r="8" spans="1:25" ht="14.85" customHeight="1" x14ac:dyDescent="0.25">
      <c r="A8" s="106"/>
      <c r="B8" s="106" t="s">
        <v>261</v>
      </c>
      <c r="C8" s="16" t="s">
        <v>206</v>
      </c>
      <c r="D8" s="107">
        <v>0.61855670103092786</v>
      </c>
      <c r="E8" s="108">
        <f t="shared" si="0"/>
        <v>155</v>
      </c>
      <c r="F8" s="109">
        <v>1</v>
      </c>
      <c r="G8" s="108">
        <f t="shared" si="1"/>
        <v>95.876288659793815</v>
      </c>
      <c r="H8" s="110">
        <f t="shared" si="2"/>
        <v>95.876288659793815</v>
      </c>
      <c r="I8" s="106">
        <f>VLOOKUP(B8,Ordering!$A$1:$J$45,6,FALSE)</f>
        <v>1</v>
      </c>
      <c r="J8" s="111">
        <f>VLOOKUP(B8,Ordering!$A$1:$J$45,10,FALSE)</f>
        <v>35.310734463276837</v>
      </c>
      <c r="K8" s="107">
        <f t="shared" si="3"/>
        <v>9.5876288659793821E-2</v>
      </c>
      <c r="L8" s="112">
        <f t="shared" si="4"/>
        <v>3.3854621701904599</v>
      </c>
      <c r="V8" s="63" t="s">
        <v>207</v>
      </c>
      <c r="W8" s="64">
        <v>1</v>
      </c>
      <c r="X8" s="63" t="s">
        <v>205</v>
      </c>
      <c r="Y8" s="65">
        <f>(SUM(L5:L10)/Q20)*W8</f>
        <v>0.14680709865403208</v>
      </c>
    </row>
    <row r="9" spans="1:25" ht="14.85" customHeight="1" x14ac:dyDescent="0.25">
      <c r="A9" s="106"/>
      <c r="B9" s="106" t="s">
        <v>259</v>
      </c>
      <c r="C9" s="16" t="s">
        <v>206</v>
      </c>
      <c r="D9" s="107">
        <v>0.61855670103092786</v>
      </c>
      <c r="E9" s="108">
        <f t="shared" si="0"/>
        <v>155</v>
      </c>
      <c r="F9" s="109">
        <v>1</v>
      </c>
      <c r="G9" s="108">
        <f t="shared" si="1"/>
        <v>95.876288659793815</v>
      </c>
      <c r="H9" s="110">
        <f t="shared" si="2"/>
        <v>95.876288659793815</v>
      </c>
      <c r="I9" s="106">
        <f>VLOOKUP(B9,Ordering!$A$1:$J$45,6,FALSE)</f>
        <v>1</v>
      </c>
      <c r="J9" s="111">
        <f>VLOOKUP(B9,Ordering!$A$1:$J$45,10,FALSE)</f>
        <v>10</v>
      </c>
      <c r="K9" s="107">
        <f t="shared" si="3"/>
        <v>9.5876288659793821E-2</v>
      </c>
      <c r="L9" s="112">
        <f t="shared" si="4"/>
        <v>0.95876288659793818</v>
      </c>
    </row>
    <row r="10" spans="1:25" ht="14.85" customHeight="1" x14ac:dyDescent="0.25">
      <c r="A10" s="106"/>
      <c r="B10" s="106" t="s">
        <v>260</v>
      </c>
      <c r="C10" s="16" t="s">
        <v>206</v>
      </c>
      <c r="D10" s="107">
        <v>0.61855670103092786</v>
      </c>
      <c r="E10" s="108">
        <f t="shared" si="0"/>
        <v>155</v>
      </c>
      <c r="F10" s="109">
        <v>1</v>
      </c>
      <c r="G10" s="108">
        <f t="shared" si="1"/>
        <v>95.876288659793815</v>
      </c>
      <c r="H10" s="110">
        <f t="shared" si="2"/>
        <v>95.876288659793815</v>
      </c>
      <c r="I10" s="106">
        <f>VLOOKUP(B10,Ordering!$A$1:$J$45,6,FALSE)</f>
        <v>1</v>
      </c>
      <c r="J10" s="111">
        <f>VLOOKUP(B10,Ordering!$A$1:$J$45,10,FALSE)</f>
        <v>12</v>
      </c>
      <c r="K10" s="107">
        <f t="shared" si="3"/>
        <v>9.5876288659793821E-2</v>
      </c>
      <c r="L10" s="112">
        <f t="shared" si="4"/>
        <v>1.1505154639175259</v>
      </c>
    </row>
    <row r="11" spans="1:25" x14ac:dyDescent="0.25">
      <c r="B11" s="57" t="s">
        <v>191</v>
      </c>
      <c r="C11" s="132" t="s">
        <v>206</v>
      </c>
      <c r="D11" s="127">
        <f>$I$1</f>
        <v>20</v>
      </c>
      <c r="E11" s="133"/>
      <c r="F11" s="133"/>
      <c r="G11" s="134" t="s">
        <v>325</v>
      </c>
      <c r="H11" s="135">
        <f>SUM(H5:H10)</f>
        <v>3100.0000000000005</v>
      </c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153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155</v>
      </c>
    </row>
    <row r="21" spans="11:17" x14ac:dyDescent="0.25">
      <c r="P21" s="61" t="s">
        <v>205</v>
      </c>
      <c r="Q21" s="62">
        <f>SUM(L5:L10)</f>
        <v>22.755100291374973</v>
      </c>
    </row>
    <row r="27" spans="11:17" x14ac:dyDescent="0.25">
      <c r="K27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4">
    <tabColor theme="8" tint="-0.249977111117893"/>
    <pageSetUpPr fitToPage="1"/>
  </sheetPr>
  <dimension ref="A1:Y27"/>
  <sheetViews>
    <sheetView topLeftCell="B1" zoomScale="70" zoomScaleNormal="7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137</v>
      </c>
      <c r="F1" s="17" t="s">
        <v>190</v>
      </c>
      <c r="G1" s="10">
        <f>D1/B1</f>
        <v>137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135</v>
      </c>
    </row>
    <row r="2" spans="1:25" ht="14.25" customHeight="1" x14ac:dyDescent="0.25">
      <c r="A2" s="39"/>
      <c r="B2" s="152" t="s">
        <v>280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257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42</v>
      </c>
      <c r="C5" s="16" t="s">
        <v>206</v>
      </c>
      <c r="D5" s="107">
        <v>22.151898734177223</v>
      </c>
      <c r="E5" s="108">
        <f>$G$1</f>
        <v>137</v>
      </c>
      <c r="F5" s="109">
        <v>1</v>
      </c>
      <c r="G5" s="108">
        <f>E5*D5</f>
        <v>3034.8101265822797</v>
      </c>
      <c r="H5" s="110">
        <f>G5*F5</f>
        <v>3034.8101265822797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3.0348101265822796</v>
      </c>
      <c r="L5" s="112">
        <f>J5*K5</f>
        <v>19.480200136845713</v>
      </c>
    </row>
    <row r="6" spans="1:25" ht="14.85" customHeight="1" x14ac:dyDescent="0.25">
      <c r="A6" s="106"/>
      <c r="B6" s="106" t="s">
        <v>46</v>
      </c>
      <c r="C6" s="16" t="s">
        <v>206</v>
      </c>
      <c r="D6" s="107">
        <v>7.0886075949367093</v>
      </c>
      <c r="E6" s="108">
        <f>$G$1</f>
        <v>137</v>
      </c>
      <c r="F6" s="109">
        <v>1</v>
      </c>
      <c r="G6" s="108">
        <f>E6*D6</f>
        <v>971.1392405063292</v>
      </c>
      <c r="H6" s="110">
        <f>G6*F6</f>
        <v>971.1392405063292</v>
      </c>
      <c r="I6" s="106">
        <f>VLOOKUP(B6,Ordering!$A$1:$J$45,6,FALSE)</f>
        <v>1</v>
      </c>
      <c r="J6" s="111">
        <f>VLOOKUP(B6,Ordering!$A$1:$J$45,10,FALSE)</f>
        <v>11.243386243386244</v>
      </c>
      <c r="K6" s="107">
        <f>((H6/(I6))/1000)</f>
        <v>0.97113924050632916</v>
      </c>
      <c r="L6" s="112">
        <f>J6*K6</f>
        <v>10.918893577121427</v>
      </c>
    </row>
    <row r="7" spans="1:25" ht="14.85" customHeight="1" x14ac:dyDescent="0.25">
      <c r="A7" s="106"/>
      <c r="B7" s="106" t="s">
        <v>265</v>
      </c>
      <c r="C7" s="16" t="s">
        <v>206</v>
      </c>
      <c r="D7" s="107">
        <v>4.4303797468354427</v>
      </c>
      <c r="E7" s="108">
        <f>$G$1</f>
        <v>137</v>
      </c>
      <c r="F7" s="109">
        <v>1</v>
      </c>
      <c r="G7" s="108">
        <f>E7*D7</f>
        <v>606.96202531645565</v>
      </c>
      <c r="H7" s="110">
        <f>G7*F7</f>
        <v>606.96202531645565</v>
      </c>
      <c r="I7" s="106">
        <f>VLOOKUP(B7,Ordering!$A$1:$J$45,6,FALSE)</f>
        <v>1</v>
      </c>
      <c r="J7" s="111">
        <f>VLOOKUP(B7,Ordering!$A$1:$J$45,10,FALSE)</f>
        <v>17</v>
      </c>
      <c r="K7" s="107">
        <f>((H7/(I7))/1000)</f>
        <v>0.6069620253164556</v>
      </c>
      <c r="L7" s="112">
        <f>J7*K7</f>
        <v>10.318354430379745</v>
      </c>
      <c r="R7" s="35"/>
    </row>
    <row r="8" spans="1:25" ht="14.85" customHeight="1" x14ac:dyDescent="0.25">
      <c r="A8" s="106"/>
      <c r="B8" s="106" t="s">
        <v>34</v>
      </c>
      <c r="C8" s="16" t="s">
        <v>36</v>
      </c>
      <c r="D8" s="107">
        <v>1.3291139240506329</v>
      </c>
      <c r="E8" s="108">
        <f>$G$1</f>
        <v>137</v>
      </c>
      <c r="F8" s="109">
        <v>1</v>
      </c>
      <c r="G8" s="108">
        <f>E8*D8</f>
        <v>182.08860759493672</v>
      </c>
      <c r="H8" s="110">
        <f>G8*F8</f>
        <v>182.08860759493672</v>
      </c>
      <c r="I8" s="106">
        <f>VLOOKUP(B8,Ordering!$A$1:$J$45,6,FALSE)</f>
        <v>1</v>
      </c>
      <c r="J8" s="111">
        <f>VLOOKUP(B8,Ordering!$A$1:$J$45,10,FALSE)</f>
        <v>5</v>
      </c>
      <c r="K8" s="107">
        <f>((H8/(I8))/1000)</f>
        <v>0.18208860759493672</v>
      </c>
      <c r="L8" s="112">
        <f>J8*K8</f>
        <v>0.91044303797468362</v>
      </c>
      <c r="V8" s="63" t="s">
        <v>207</v>
      </c>
      <c r="W8" s="64">
        <v>1</v>
      </c>
      <c r="X8" s="63" t="s">
        <v>205</v>
      </c>
      <c r="Y8" s="65">
        <f>(SUM(L5:L8)/Q20)*W8</f>
        <v>0.30385322030891654</v>
      </c>
    </row>
    <row r="9" spans="1:25" ht="14.85" customHeight="1" x14ac:dyDescent="0.25">
      <c r="A9" s="11"/>
      <c r="B9" s="57" t="s">
        <v>191</v>
      </c>
      <c r="C9" s="132" t="s">
        <v>206</v>
      </c>
      <c r="D9" s="127">
        <f>$I$1</f>
        <v>35</v>
      </c>
      <c r="E9" s="133"/>
      <c r="F9" s="133"/>
      <c r="G9" s="134" t="s">
        <v>325</v>
      </c>
      <c r="H9" s="135">
        <f>SUM(H5:H8)</f>
        <v>4795.0000000000009</v>
      </c>
      <c r="I9" s="106"/>
      <c r="J9" s="111"/>
      <c r="K9" s="15"/>
      <c r="L9" s="70"/>
    </row>
    <row r="10" spans="1:25" ht="14.85" customHeight="1" x14ac:dyDescent="0.25">
      <c r="A10" s="11"/>
      <c r="B10" s="11"/>
      <c r="C10" s="16"/>
      <c r="D10" s="15"/>
      <c r="E10" s="12"/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135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137</v>
      </c>
    </row>
    <row r="21" spans="11:17" x14ac:dyDescent="0.25">
      <c r="P21" s="61" t="s">
        <v>205</v>
      </c>
      <c r="Q21" s="62">
        <f>SUM(L5:L8)</f>
        <v>41.627891182321569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E9B7-5CAC-4EAD-A618-9943D30D220A}">
  <sheetPr codeName="Sheet12">
    <tabColor theme="8" tint="-0.249977111117893"/>
    <pageSetUpPr fitToPage="1"/>
  </sheetPr>
  <dimension ref="A1:Y27"/>
  <sheetViews>
    <sheetView zoomScale="70" zoomScaleNormal="70" workbookViewId="0">
      <selection activeCell="B2" sqref="B2:H3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137</v>
      </c>
      <c r="F1" s="17" t="s">
        <v>190</v>
      </c>
      <c r="G1" s="10">
        <f>D1/B1</f>
        <v>137</v>
      </c>
      <c r="H1" s="17" t="s">
        <v>191</v>
      </c>
      <c r="I1" s="21">
        <v>20</v>
      </c>
      <c r="J1" s="1"/>
      <c r="K1" s="23" t="s">
        <v>192</v>
      </c>
      <c r="U1" s="93" t="s">
        <v>20</v>
      </c>
      <c r="V1" s="94">
        <v>135</v>
      </c>
    </row>
    <row r="2" spans="1:25" ht="14.25" customHeight="1" x14ac:dyDescent="0.25">
      <c r="A2" s="39"/>
      <c r="B2" s="152" t="s">
        <v>283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257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42</v>
      </c>
      <c r="C5" s="16" t="s">
        <v>206</v>
      </c>
      <c r="D5" s="107">
        <v>12.658227848101269</v>
      </c>
      <c r="E5" s="108">
        <f>$G$1</f>
        <v>137</v>
      </c>
      <c r="F5" s="109">
        <v>1</v>
      </c>
      <c r="G5" s="108">
        <f>E5*D5</f>
        <v>1734.177215189874</v>
      </c>
      <c r="H5" s="110">
        <f>G5*F5</f>
        <v>1734.177215189874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1.734177215189874</v>
      </c>
      <c r="L5" s="112">
        <f>J5*K5</f>
        <v>11.131542935340407</v>
      </c>
    </row>
    <row r="6" spans="1:25" ht="14.85" customHeight="1" x14ac:dyDescent="0.25">
      <c r="A6" s="106"/>
      <c r="B6" s="106" t="s">
        <v>46</v>
      </c>
      <c r="C6" s="16" t="s">
        <v>206</v>
      </c>
      <c r="D6" s="107">
        <v>4.0506329113924053</v>
      </c>
      <c r="E6" s="108">
        <f>$G$1</f>
        <v>137</v>
      </c>
      <c r="F6" s="109">
        <v>1</v>
      </c>
      <c r="G6" s="108">
        <f>E6*D6</f>
        <v>554.9367088607595</v>
      </c>
      <c r="H6" s="110">
        <f>G6*F6</f>
        <v>554.9367088607595</v>
      </c>
      <c r="I6" s="106">
        <f>VLOOKUP(B6,Ordering!$A$1:$J$45,6,FALSE)</f>
        <v>1</v>
      </c>
      <c r="J6" s="111">
        <f>VLOOKUP(B6,Ordering!$A$1:$J$45,10,FALSE)</f>
        <v>11.243386243386244</v>
      </c>
      <c r="K6" s="107">
        <f>((H6/(I6))/1000)</f>
        <v>0.55493670886075952</v>
      </c>
      <c r="L6" s="112">
        <f>J6*K6</f>
        <v>6.2393677583551002</v>
      </c>
    </row>
    <row r="7" spans="1:25" ht="14.85" customHeight="1" x14ac:dyDescent="0.25">
      <c r="A7" s="106"/>
      <c r="B7" s="106" t="s">
        <v>265</v>
      </c>
      <c r="C7" s="16" t="s">
        <v>206</v>
      </c>
      <c r="D7" s="107">
        <v>2.5316455696202529</v>
      </c>
      <c r="E7" s="108">
        <f>$G$1</f>
        <v>137</v>
      </c>
      <c r="F7" s="109">
        <v>1</v>
      </c>
      <c r="G7" s="108">
        <f>E7*D7</f>
        <v>346.83544303797464</v>
      </c>
      <c r="H7" s="110">
        <f>G7*F7</f>
        <v>346.83544303797464</v>
      </c>
      <c r="I7" s="106">
        <f>VLOOKUP(B7,Ordering!$A$1:$J$45,6,FALSE)</f>
        <v>1</v>
      </c>
      <c r="J7" s="111">
        <f>VLOOKUP(B7,Ordering!$A$1:$J$45,10,FALSE)</f>
        <v>17</v>
      </c>
      <c r="K7" s="107">
        <f>((H7/(I7))/1000)</f>
        <v>0.34683544303797464</v>
      </c>
      <c r="L7" s="112">
        <f>J7*K7</f>
        <v>5.8962025316455691</v>
      </c>
      <c r="R7" s="35"/>
    </row>
    <row r="8" spans="1:25" ht="14.85" customHeight="1" x14ac:dyDescent="0.25">
      <c r="A8" s="106"/>
      <c r="B8" s="106" t="s">
        <v>34</v>
      </c>
      <c r="C8" s="16" t="s">
        <v>36</v>
      </c>
      <c r="D8" s="107">
        <v>0.759493670886076</v>
      </c>
      <c r="E8" s="108">
        <f>$G$1</f>
        <v>137</v>
      </c>
      <c r="F8" s="109">
        <v>1</v>
      </c>
      <c r="G8" s="108">
        <f>E8*D8</f>
        <v>104.05063291139241</v>
      </c>
      <c r="H8" s="110">
        <f>G8*F8</f>
        <v>104.05063291139241</v>
      </c>
      <c r="I8" s="106">
        <f>VLOOKUP(B8,Ordering!$A$1:$J$45,6,FALSE)</f>
        <v>1</v>
      </c>
      <c r="J8" s="111">
        <f>VLOOKUP(B8,Ordering!$A$1:$J$45,10,FALSE)</f>
        <v>5</v>
      </c>
      <c r="K8" s="107">
        <f>((H8/(I8))/1000)</f>
        <v>0.10405063291139241</v>
      </c>
      <c r="L8" s="112">
        <f>J8*K8</f>
        <v>0.52025316455696202</v>
      </c>
      <c r="V8" s="63" t="s">
        <v>207</v>
      </c>
      <c r="W8" s="64">
        <v>1</v>
      </c>
      <c r="X8" s="63" t="s">
        <v>205</v>
      </c>
      <c r="Y8" s="65">
        <f>(SUM(L5:L8)/Q20)*W8</f>
        <v>0.17363041160509518</v>
      </c>
    </row>
    <row r="9" spans="1:25" ht="14.85" customHeight="1" x14ac:dyDescent="0.25">
      <c r="A9" s="11"/>
      <c r="B9" s="57" t="s">
        <v>191</v>
      </c>
      <c r="C9" s="132" t="s">
        <v>206</v>
      </c>
      <c r="D9" s="127">
        <f>$I$1</f>
        <v>20</v>
      </c>
      <c r="E9" s="133"/>
      <c r="F9" s="133"/>
      <c r="G9" s="134" t="s">
        <v>325</v>
      </c>
      <c r="H9" s="135">
        <f>SUM(H5:H8)</f>
        <v>2740.0000000000005</v>
      </c>
      <c r="I9" s="106"/>
      <c r="J9" s="111"/>
      <c r="K9" s="15"/>
      <c r="L9" s="70"/>
    </row>
    <row r="10" spans="1:25" ht="14.85" customHeight="1" x14ac:dyDescent="0.25">
      <c r="A10" s="11"/>
      <c r="B10" s="11"/>
      <c r="C10" s="16"/>
      <c r="D10" s="15"/>
      <c r="E10" s="12"/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135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137</v>
      </c>
    </row>
    <row r="21" spans="11:17" x14ac:dyDescent="0.25">
      <c r="P21" s="61" t="s">
        <v>205</v>
      </c>
      <c r="Q21" s="62">
        <f>SUM(L5:L8)</f>
        <v>23.78736638989804</v>
      </c>
    </row>
    <row r="27" spans="11:17" x14ac:dyDescent="0.25">
      <c r="K27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>
    <tabColor theme="7" tint="-0.249977111117893"/>
    <pageSetUpPr fitToPage="1"/>
  </sheetPr>
  <dimension ref="A1:V27"/>
  <sheetViews>
    <sheetView zoomScale="85" zoomScaleNormal="85" zoomScaleSheetLayoutView="100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4.28515625" customWidth="1"/>
    <col min="17" max="17" width="8.42578125" bestFit="1" customWidth="1"/>
  </cols>
  <sheetData>
    <row r="1" spans="1:22" ht="26.25" customHeight="1" x14ac:dyDescent="0.25">
      <c r="A1" s="17" t="s">
        <v>188</v>
      </c>
      <c r="B1" s="9">
        <v>1</v>
      </c>
      <c r="C1" s="17" t="s">
        <v>189</v>
      </c>
      <c r="D1" s="10">
        <f>Q20</f>
        <v>90</v>
      </c>
      <c r="F1" s="17" t="s">
        <v>190</v>
      </c>
      <c r="G1" s="10">
        <f>D1/B1</f>
        <v>90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88</v>
      </c>
    </row>
    <row r="2" spans="1:22" ht="14.25" customHeight="1" x14ac:dyDescent="0.25">
      <c r="A2" s="39"/>
      <c r="B2" s="155" t="s">
        <v>220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41"/>
      <c r="B3" s="149" t="s">
        <v>221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34</v>
      </c>
      <c r="C5" s="16" t="s">
        <v>36</v>
      </c>
      <c r="D5" s="15">
        <v>2.12636695018226</v>
      </c>
      <c r="E5" s="12">
        <f t="shared" ref="E5:E10" si="0">$G$1</f>
        <v>90</v>
      </c>
      <c r="F5" s="13">
        <v>1</v>
      </c>
      <c r="G5" s="12">
        <f t="shared" ref="G5:G10" si="1">E5*D5</f>
        <v>191.3730255164034</v>
      </c>
      <c r="H5" s="56">
        <f t="shared" ref="H5:H10" si="2">G5*F5</f>
        <v>191.3730255164034</v>
      </c>
      <c r="I5" s="11">
        <f>VLOOKUP(B5,Ordering!$A$1:$J$45,6,FALSE)</f>
        <v>1</v>
      </c>
      <c r="J5" s="58">
        <f>VLOOKUP(B5,Ordering!$A$1:$J$45,10,FALSE)</f>
        <v>5</v>
      </c>
      <c r="K5" s="58">
        <f t="shared" ref="K5:K10" si="3">H5/I5</f>
        <v>191.3730255164034</v>
      </c>
      <c r="L5" s="59">
        <f t="shared" ref="L5:L10" si="4">J5*K5</f>
        <v>956.86512758201707</v>
      </c>
    </row>
    <row r="6" spans="1:22" ht="14.85" customHeight="1" x14ac:dyDescent="0.25">
      <c r="A6" s="11"/>
      <c r="B6" s="11" t="s">
        <v>80</v>
      </c>
      <c r="C6" s="16" t="s">
        <v>206</v>
      </c>
      <c r="D6" s="15">
        <v>4.25273390036452E-2</v>
      </c>
      <c r="E6" s="12">
        <f t="shared" si="0"/>
        <v>90</v>
      </c>
      <c r="F6" s="13">
        <v>1</v>
      </c>
      <c r="G6" s="12">
        <f t="shared" si="1"/>
        <v>3.8274605103280681</v>
      </c>
      <c r="H6" s="56">
        <f t="shared" si="2"/>
        <v>3.8274605103280681</v>
      </c>
      <c r="I6" s="11">
        <f>VLOOKUP(B6,Ordering!$A$1:$J$45,6,FALSE)</f>
        <v>1</v>
      </c>
      <c r="J6" s="58">
        <f>VLOOKUP(B6,Ordering!$A$1:$J$45,10,FALSE)</f>
        <v>8</v>
      </c>
      <c r="K6" s="58">
        <f t="shared" si="3"/>
        <v>3.8274605103280681</v>
      </c>
      <c r="L6" s="59">
        <f t="shared" si="4"/>
        <v>30.619684082624545</v>
      </c>
    </row>
    <row r="7" spans="1:22" ht="14.85" customHeight="1" x14ac:dyDescent="0.25">
      <c r="A7" s="11"/>
      <c r="B7" s="11" t="s">
        <v>88</v>
      </c>
      <c r="C7" s="16" t="s">
        <v>206</v>
      </c>
      <c r="D7" s="15">
        <v>0.1559335763466991</v>
      </c>
      <c r="E7" s="12">
        <f t="shared" si="0"/>
        <v>90</v>
      </c>
      <c r="F7" s="13">
        <v>1</v>
      </c>
      <c r="G7" s="12">
        <f t="shared" si="1"/>
        <v>14.034021871202919</v>
      </c>
      <c r="H7" s="56">
        <f t="shared" si="2"/>
        <v>14.034021871202919</v>
      </c>
      <c r="I7" s="11">
        <f>VLOOKUP(B7,Ordering!$A$1:$J$45,6,FALSE)</f>
        <v>1</v>
      </c>
      <c r="J7" s="58">
        <f>VLOOKUP(B7,Ordering!$A$1:$J$45,10,FALSE)</f>
        <v>0.74</v>
      </c>
      <c r="K7" s="58">
        <f t="shared" si="3"/>
        <v>14.034021871202919</v>
      </c>
      <c r="L7" s="59">
        <f t="shared" si="4"/>
        <v>10.38517618469016</v>
      </c>
      <c r="P7" s="35"/>
    </row>
    <row r="8" spans="1:22" ht="14.85" customHeight="1" x14ac:dyDescent="0.25">
      <c r="A8" s="11"/>
      <c r="B8" s="11" t="s">
        <v>66</v>
      </c>
      <c r="C8" s="16" t="s">
        <v>36</v>
      </c>
      <c r="D8" s="15">
        <v>18.45686512758202</v>
      </c>
      <c r="E8" s="12">
        <f t="shared" si="0"/>
        <v>90</v>
      </c>
      <c r="F8" s="13">
        <v>1</v>
      </c>
      <c r="G8" s="12">
        <f t="shared" si="1"/>
        <v>1661.1178614823818</v>
      </c>
      <c r="H8" s="56">
        <f t="shared" si="2"/>
        <v>1661.1178614823818</v>
      </c>
      <c r="I8" s="11">
        <f>VLOOKUP(B8,Ordering!$A$1:$J$45,6,FALSE)</f>
        <v>1</v>
      </c>
      <c r="J8" s="58">
        <f>VLOOKUP(B8,Ordering!$A$1:$J$45,10,FALSE)</f>
        <v>0</v>
      </c>
      <c r="K8" s="58">
        <f t="shared" si="3"/>
        <v>1661.1178614823818</v>
      </c>
      <c r="L8" s="59">
        <f t="shared" si="4"/>
        <v>0</v>
      </c>
    </row>
    <row r="9" spans="1:22" ht="14.85" customHeight="1" x14ac:dyDescent="0.25">
      <c r="A9" s="11"/>
      <c r="B9" s="11" t="s">
        <v>76</v>
      </c>
      <c r="C9" s="16" t="s">
        <v>206</v>
      </c>
      <c r="D9" s="15">
        <v>4.25273390036452E-2</v>
      </c>
      <c r="E9" s="12">
        <f t="shared" si="0"/>
        <v>90</v>
      </c>
      <c r="F9" s="13">
        <v>1</v>
      </c>
      <c r="G9" s="12">
        <f t="shared" si="1"/>
        <v>3.8274605103280681</v>
      </c>
      <c r="H9" s="56">
        <f t="shared" si="2"/>
        <v>3.8274605103280681</v>
      </c>
      <c r="I9" s="11">
        <f>VLOOKUP(B9,Ordering!$A$1:$J$45,6,FALSE)</f>
        <v>1</v>
      </c>
      <c r="J9" s="58">
        <f>VLOOKUP(B9,Ordering!$A$1:$J$45,10,FALSE)</f>
        <v>31</v>
      </c>
      <c r="K9" s="58">
        <f t="shared" si="3"/>
        <v>3.8274605103280681</v>
      </c>
      <c r="L9" s="59">
        <f t="shared" si="4"/>
        <v>118.65127582017011</v>
      </c>
    </row>
    <row r="10" spans="1:22" ht="14.85" customHeight="1" x14ac:dyDescent="0.25">
      <c r="A10" s="11"/>
      <c r="B10" s="11" t="s">
        <v>51</v>
      </c>
      <c r="C10" s="16" t="s">
        <v>206</v>
      </c>
      <c r="D10" s="15">
        <v>14.175779667881731</v>
      </c>
      <c r="E10" s="12">
        <f t="shared" si="0"/>
        <v>90</v>
      </c>
      <c r="F10" s="13">
        <v>1</v>
      </c>
      <c r="G10" s="12">
        <f t="shared" si="1"/>
        <v>1275.8201701093558</v>
      </c>
      <c r="H10" s="56">
        <f t="shared" si="2"/>
        <v>1275.8201701093558</v>
      </c>
      <c r="I10" s="11">
        <f>VLOOKUP(B10,Ordering!$A$1:$J$45,6,FALSE)</f>
        <v>1</v>
      </c>
      <c r="J10" s="58">
        <f>VLOOKUP(B10,Ordering!$A$1:$J$45,10,FALSE)</f>
        <v>10</v>
      </c>
      <c r="K10" s="58">
        <f t="shared" si="3"/>
        <v>1275.8201701093558</v>
      </c>
      <c r="L10" s="59">
        <f t="shared" si="4"/>
        <v>12758.201701093558</v>
      </c>
    </row>
    <row r="11" spans="1:22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3150</v>
      </c>
    </row>
    <row r="12" spans="1:22" ht="14.85" customHeight="1" x14ac:dyDescent="0.25">
      <c r="M12" s="22"/>
    </row>
    <row r="13" spans="1:22" ht="14.85" customHeight="1" x14ac:dyDescent="0.25"/>
    <row r="14" spans="1:22" ht="14.85" customHeight="1" x14ac:dyDescent="0.25">
      <c r="L14" s="72"/>
      <c r="M14" s="74"/>
    </row>
    <row r="15" spans="1:22" x14ac:dyDescent="0.25">
      <c r="L15" s="72"/>
      <c r="M15" s="75"/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88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90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8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theme="7" tint="-0.249977111117893"/>
    <pageSetUpPr fitToPage="1"/>
  </sheetPr>
  <dimension ref="A1:V27"/>
  <sheetViews>
    <sheetView zoomScale="85" zoomScaleNormal="85" zoomScaleSheetLayoutView="100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2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184</v>
      </c>
      <c r="F1" s="17" t="s">
        <v>190</v>
      </c>
      <c r="G1" s="10">
        <f>D1/B1</f>
        <v>184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182</v>
      </c>
    </row>
    <row r="2" spans="1:22" ht="14.25" customHeight="1" x14ac:dyDescent="0.25">
      <c r="A2" s="41"/>
      <c r="B2" s="152" t="s">
        <v>218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2" ht="14.25" customHeight="1" x14ac:dyDescent="0.25">
      <c r="A3" s="41"/>
      <c r="B3" s="156" t="s">
        <v>230</v>
      </c>
      <c r="C3" s="137"/>
      <c r="D3" s="137"/>
      <c r="E3" s="137"/>
      <c r="F3" s="137"/>
      <c r="G3" s="137"/>
      <c r="H3" s="15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149</v>
      </c>
      <c r="C5" s="16" t="s">
        <v>206</v>
      </c>
      <c r="D5" s="15">
        <v>33.700000000000003</v>
      </c>
      <c r="E5" s="12">
        <f t="shared" ref="E5:E10" si="0">$G$1</f>
        <v>184</v>
      </c>
      <c r="F5" s="13">
        <v>1</v>
      </c>
      <c r="G5" s="12">
        <f t="shared" ref="G5:G10" si="1">E5*D5</f>
        <v>6200.8</v>
      </c>
      <c r="H5" s="56">
        <f t="shared" ref="H5:H10" si="2">G5*F5</f>
        <v>6200.8</v>
      </c>
      <c r="I5" s="11">
        <f>VLOOKUP(B5,Ordering!$A$1:$J$45,6,FALSE)</f>
        <v>0.98</v>
      </c>
      <c r="J5" s="58">
        <f>VLOOKUP(B5,Ordering!$A$1:$J$45,10,FALSE)</f>
        <v>3.5</v>
      </c>
      <c r="K5" s="58">
        <f t="shared" ref="K5:K10" si="3">H5/I5</f>
        <v>6327.3469387755104</v>
      </c>
      <c r="L5" s="76">
        <f t="shared" ref="L5:L10" si="4">J5*K5</f>
        <v>22145.714285714286</v>
      </c>
    </row>
    <row r="6" spans="1:22" ht="14.85" customHeight="1" x14ac:dyDescent="0.25">
      <c r="A6" s="11"/>
      <c r="B6" s="11" t="s">
        <v>146</v>
      </c>
      <c r="C6" s="16" t="s">
        <v>206</v>
      </c>
      <c r="D6" s="15">
        <v>0.24</v>
      </c>
      <c r="E6" s="12">
        <f t="shared" si="0"/>
        <v>184</v>
      </c>
      <c r="F6" s="13">
        <v>1</v>
      </c>
      <c r="G6" s="12">
        <f t="shared" si="1"/>
        <v>44.16</v>
      </c>
      <c r="H6" s="56">
        <f t="shared" si="2"/>
        <v>44.16</v>
      </c>
      <c r="I6" s="11">
        <f>VLOOKUP(B6,Ordering!$A$1:$J$45,6,FALSE)</f>
        <v>0.96</v>
      </c>
      <c r="J6" s="58">
        <f>VLOOKUP(B6,Ordering!$A$1:$J$45,10,FALSE)</f>
        <v>4</v>
      </c>
      <c r="K6" s="58">
        <f t="shared" si="3"/>
        <v>46</v>
      </c>
      <c r="L6" s="76">
        <f t="shared" si="4"/>
        <v>184</v>
      </c>
    </row>
    <row r="7" spans="1:22" ht="14.85" customHeight="1" x14ac:dyDescent="0.25">
      <c r="A7" s="11"/>
      <c r="B7" s="11" t="s">
        <v>133</v>
      </c>
      <c r="C7" s="16" t="s">
        <v>206</v>
      </c>
      <c r="D7" s="15">
        <v>0.2</v>
      </c>
      <c r="E7" s="12">
        <f t="shared" si="0"/>
        <v>184</v>
      </c>
      <c r="F7" s="13">
        <v>1</v>
      </c>
      <c r="G7" s="12">
        <f t="shared" si="1"/>
        <v>36.800000000000004</v>
      </c>
      <c r="H7" s="56">
        <f t="shared" si="2"/>
        <v>36.800000000000004</v>
      </c>
      <c r="I7" s="11">
        <f>VLOOKUP(B7,Ordering!$A$1:$J$45,6,FALSE)</f>
        <v>0.94</v>
      </c>
      <c r="J7" s="58">
        <f>VLOOKUP(B7,Ordering!$A$1:$J$45,10,FALSE)</f>
        <v>3.6363636363636371</v>
      </c>
      <c r="K7" s="58">
        <f t="shared" si="3"/>
        <v>39.148936170212771</v>
      </c>
      <c r="L7" s="76">
        <f t="shared" si="4"/>
        <v>142.35976789168282</v>
      </c>
      <c r="R7" s="35"/>
    </row>
    <row r="8" spans="1:22" ht="14.85" customHeight="1" x14ac:dyDescent="0.25">
      <c r="A8" s="11"/>
      <c r="B8" s="11" t="s">
        <v>98</v>
      </c>
      <c r="C8" s="16" t="s">
        <v>206</v>
      </c>
      <c r="D8" s="24">
        <v>3.0000000000000001E-3</v>
      </c>
      <c r="E8" s="12">
        <f t="shared" si="0"/>
        <v>184</v>
      </c>
      <c r="F8" s="13">
        <v>1</v>
      </c>
      <c r="G8" s="12">
        <f t="shared" si="1"/>
        <v>0.55200000000000005</v>
      </c>
      <c r="H8" s="56">
        <f t="shared" si="2"/>
        <v>0.55200000000000005</v>
      </c>
      <c r="I8" s="11">
        <f>VLOOKUP(B8,Ordering!$A$1:$J$45,6,FALSE)</f>
        <v>1</v>
      </c>
      <c r="J8" s="58">
        <f>VLOOKUP(B8,Ordering!$A$1:$J$45,10,FALSE)</f>
        <v>35</v>
      </c>
      <c r="K8" s="58">
        <f t="shared" si="3"/>
        <v>0.55200000000000005</v>
      </c>
      <c r="L8" s="76">
        <f t="shared" si="4"/>
        <v>19.32</v>
      </c>
    </row>
    <row r="9" spans="1:22" ht="14.85" customHeight="1" x14ac:dyDescent="0.25">
      <c r="A9" s="11"/>
      <c r="B9" s="11" t="s">
        <v>88</v>
      </c>
      <c r="C9" s="16" t="s">
        <v>206</v>
      </c>
      <c r="D9" s="15">
        <v>0.12</v>
      </c>
      <c r="E9" s="12">
        <f t="shared" si="0"/>
        <v>184</v>
      </c>
      <c r="F9" s="13">
        <v>1</v>
      </c>
      <c r="G9" s="12">
        <f t="shared" si="1"/>
        <v>22.08</v>
      </c>
      <c r="H9" s="56">
        <f t="shared" si="2"/>
        <v>22.08</v>
      </c>
      <c r="I9" s="11">
        <f>VLOOKUP(B9,Ordering!$A$1:$J$45,6,FALSE)</f>
        <v>1</v>
      </c>
      <c r="J9" s="58">
        <f>VLOOKUP(B9,Ordering!$A$1:$J$45,10,FALSE)</f>
        <v>0.74</v>
      </c>
      <c r="K9" s="58">
        <f t="shared" si="3"/>
        <v>22.08</v>
      </c>
      <c r="L9" s="76">
        <f t="shared" si="4"/>
        <v>16.339199999999998</v>
      </c>
    </row>
    <row r="10" spans="1:22" ht="14.85" customHeight="1" x14ac:dyDescent="0.25">
      <c r="A10" s="11"/>
      <c r="B10" s="11" t="s">
        <v>66</v>
      </c>
      <c r="C10" s="16" t="s">
        <v>36</v>
      </c>
      <c r="D10" s="15">
        <v>0.75</v>
      </c>
      <c r="E10" s="12">
        <f t="shared" si="0"/>
        <v>184</v>
      </c>
      <c r="F10" s="13">
        <v>1</v>
      </c>
      <c r="G10" s="12">
        <f t="shared" si="1"/>
        <v>138</v>
      </c>
      <c r="H10" s="56">
        <f t="shared" si="2"/>
        <v>138</v>
      </c>
      <c r="I10" s="11">
        <f>VLOOKUP(B10,Ordering!$A$1:$J$45,6,FALSE)</f>
        <v>1</v>
      </c>
      <c r="J10" s="58">
        <f>VLOOKUP(B10,Ordering!$A$1:$J$45,10,FALSE)</f>
        <v>0</v>
      </c>
      <c r="K10" s="58">
        <f t="shared" si="3"/>
        <v>138</v>
      </c>
      <c r="L10" s="76">
        <f t="shared" si="4"/>
        <v>0</v>
      </c>
    </row>
    <row r="11" spans="1:22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6442.3919999999998</v>
      </c>
      <c r="M11" s="72"/>
      <c r="N11" s="22"/>
    </row>
    <row r="12" spans="1:22" ht="14.85" customHeight="1" x14ac:dyDescent="0.25">
      <c r="M12" s="72"/>
      <c r="N12" s="22"/>
      <c r="O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182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184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>
    <tabColor theme="7" tint="-0.249977111117893"/>
    <pageSetUpPr fitToPage="1"/>
  </sheetPr>
  <dimension ref="A1:V32"/>
  <sheetViews>
    <sheetView zoomScale="85" zoomScaleNormal="85" zoomScaleSheetLayoutView="100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9" max="19" width="8.42578125" bestFit="1" customWidth="1"/>
  </cols>
  <sheetData>
    <row r="1" spans="1:22" ht="25.35" customHeight="1" x14ac:dyDescent="0.25">
      <c r="A1" s="17" t="s">
        <v>188</v>
      </c>
      <c r="B1" s="9">
        <v>1</v>
      </c>
      <c r="D1" s="8">
        <f>Q20</f>
        <v>173</v>
      </c>
      <c r="E1" s="17" t="s">
        <v>189</v>
      </c>
      <c r="F1" s="10">
        <f>Q20</f>
        <v>173</v>
      </c>
      <c r="H1" s="17" t="s">
        <v>224</v>
      </c>
      <c r="I1" s="21">
        <v>20</v>
      </c>
      <c r="J1" s="1"/>
      <c r="U1" s="93" t="s">
        <v>20</v>
      </c>
      <c r="V1" s="94">
        <v>171</v>
      </c>
    </row>
    <row r="2" spans="1:22" ht="14.25" customHeight="1" x14ac:dyDescent="0.25">
      <c r="A2" s="39"/>
      <c r="B2" s="155" t="s">
        <v>231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25.5" customHeight="1" x14ac:dyDescent="0.25">
      <c r="A3" s="41"/>
      <c r="B3" s="149" t="s">
        <v>232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42</v>
      </c>
      <c r="C5" s="16" t="s">
        <v>206</v>
      </c>
      <c r="D5" s="15">
        <v>16.7</v>
      </c>
      <c r="E5" s="12">
        <f>$F$1</f>
        <v>173</v>
      </c>
      <c r="F5" s="13">
        <v>1</v>
      </c>
      <c r="G5" s="12">
        <f>E5*D5</f>
        <v>2889.1</v>
      </c>
      <c r="H5" s="56">
        <f>G5*F5</f>
        <v>2889.1</v>
      </c>
      <c r="I5" s="11">
        <f>VLOOKUP(B5,Ordering!$A$1:$J$45,6,FALSE)</f>
        <v>1</v>
      </c>
      <c r="J5" s="58">
        <f>VLOOKUP(B5,Ordering!$A$1:$J$45,10,FALSE)</f>
        <v>6.4189189189189184</v>
      </c>
      <c r="K5" s="58">
        <f>H5/I5</f>
        <v>2889.1</v>
      </c>
      <c r="L5" s="59">
        <f>J5*K5</f>
        <v>18544.898648648646</v>
      </c>
    </row>
    <row r="6" spans="1:22" ht="14.85" customHeight="1" x14ac:dyDescent="0.25">
      <c r="A6" s="11"/>
      <c r="B6" s="11" t="s">
        <v>61</v>
      </c>
      <c r="C6" s="16" t="s">
        <v>36</v>
      </c>
      <c r="D6" s="15">
        <v>0.3</v>
      </c>
      <c r="E6" s="12">
        <f t="shared" ref="E6:E8" si="0">$F$1</f>
        <v>173</v>
      </c>
      <c r="F6" s="13">
        <v>1</v>
      </c>
      <c r="G6" s="12">
        <f>E6*D6</f>
        <v>51.9</v>
      </c>
      <c r="H6" s="56">
        <f>G6*F6</f>
        <v>51.9</v>
      </c>
      <c r="I6" s="11">
        <f>VLOOKUP(B6,Ordering!$A$1:$J$45,6,FALSE)</f>
        <v>1</v>
      </c>
      <c r="J6" s="58">
        <f>VLOOKUP(B6,Ordering!$A$1:$J$45,10,FALSE)</f>
        <v>3.25</v>
      </c>
      <c r="K6" s="58">
        <f>H6/I6</f>
        <v>51.9</v>
      </c>
      <c r="L6" s="59">
        <f>J6*K6</f>
        <v>168.67499999999998</v>
      </c>
    </row>
    <row r="7" spans="1:22" ht="14.85" customHeight="1" x14ac:dyDescent="0.25">
      <c r="A7" s="11"/>
      <c r="B7" s="11" t="s">
        <v>46</v>
      </c>
      <c r="C7" s="16" t="s">
        <v>206</v>
      </c>
      <c r="D7" s="15">
        <v>1</v>
      </c>
      <c r="E7" s="12">
        <f t="shared" si="0"/>
        <v>173</v>
      </c>
      <c r="F7" s="13">
        <v>1</v>
      </c>
      <c r="G7" s="12">
        <f>E7*D7</f>
        <v>173</v>
      </c>
      <c r="H7" s="56">
        <f>G7*F7</f>
        <v>173</v>
      </c>
      <c r="I7" s="11">
        <f>VLOOKUP(B7,Ordering!$A$1:$J$45,6,FALSE)</f>
        <v>1</v>
      </c>
      <c r="J7" s="58">
        <f>VLOOKUP(B7,Ordering!$A$1:$J$45,10,FALSE)</f>
        <v>11.243386243386244</v>
      </c>
      <c r="K7" s="58">
        <f>H7/I7</f>
        <v>173</v>
      </c>
      <c r="L7" s="59">
        <f>J7*K7</f>
        <v>1945.1058201058202</v>
      </c>
      <c r="S7" s="35"/>
    </row>
    <row r="8" spans="1:22" ht="14.85" customHeight="1" x14ac:dyDescent="0.25">
      <c r="A8" s="11"/>
      <c r="B8" s="11" t="s">
        <v>57</v>
      </c>
      <c r="C8" s="16" t="s">
        <v>36</v>
      </c>
      <c r="D8" s="15">
        <v>2</v>
      </c>
      <c r="E8" s="12">
        <f t="shared" si="0"/>
        <v>173</v>
      </c>
      <c r="F8" s="13">
        <v>1</v>
      </c>
      <c r="G8" s="12">
        <f>E8*D8</f>
        <v>346</v>
      </c>
      <c r="H8" s="56">
        <f>G8*F8</f>
        <v>346</v>
      </c>
      <c r="I8" s="77">
        <f>VLOOKUP(B8,Ordering!$A$1:$J$45,6,FALSE)</f>
        <v>1</v>
      </c>
      <c r="J8" s="78">
        <f>VLOOKUP(B8,Ordering!$A$1:$J$45,10,FALSE)</f>
        <v>58.685446009389672</v>
      </c>
      <c r="K8" s="78">
        <f>H8/I8</f>
        <v>346</v>
      </c>
      <c r="L8" s="79">
        <f>J8*K8</f>
        <v>20305.164319248826</v>
      </c>
      <c r="S8" s="35"/>
    </row>
    <row r="9" spans="1:22" x14ac:dyDescent="0.25">
      <c r="B9" s="57" t="s">
        <v>191</v>
      </c>
      <c r="C9" s="132" t="s">
        <v>206</v>
      </c>
      <c r="D9" s="127">
        <f>$I$1</f>
        <v>20</v>
      </c>
      <c r="E9" s="133"/>
      <c r="F9" s="133"/>
      <c r="G9" s="134" t="s">
        <v>325</v>
      </c>
      <c r="H9" s="135">
        <f>SUM(H5:H8)</f>
        <v>3460</v>
      </c>
      <c r="I9" s="81"/>
      <c r="J9" s="82"/>
      <c r="K9" s="82"/>
      <c r="L9" s="83"/>
    </row>
    <row r="11" spans="1:22" x14ac:dyDescent="0.25">
      <c r="M11" s="19"/>
    </row>
    <row r="12" spans="1:22" ht="14.85" customHeight="1" x14ac:dyDescent="0.25"/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171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173</v>
      </c>
    </row>
    <row r="26" spans="11:17" x14ac:dyDescent="0.25">
      <c r="K26" s="20"/>
    </row>
    <row r="32" spans="11:17" x14ac:dyDescent="0.25">
      <c r="K32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6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0">
    <tabColor theme="7" tint="-0.249977111117893"/>
    <pageSetUpPr fitToPage="1"/>
  </sheetPr>
  <dimension ref="A1:V27"/>
  <sheetViews>
    <sheetView topLeftCell="B1" zoomScaleNormal="100" zoomScaleSheetLayoutView="100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0.85546875" customWidth="1"/>
    <col min="8" max="8" width="29.85546875" bestFit="1" customWidth="1"/>
    <col min="10" max="10" width="22.140625" bestFit="1" customWidth="1"/>
    <col min="11" max="11" width="13.7109375" customWidth="1"/>
    <col min="13" max="15" width="2.85546875" customWidth="1"/>
    <col min="16" max="16" width="7.85546875" bestFit="1" customWidth="1"/>
    <col min="18" max="18" width="22.42578125" customWidth="1"/>
    <col min="19" max="19" width="14.85546875" customWidth="1"/>
  </cols>
  <sheetData>
    <row r="1" spans="1:22" ht="25.35" customHeight="1" x14ac:dyDescent="0.25">
      <c r="A1" s="17" t="s">
        <v>222</v>
      </c>
      <c r="B1" s="9">
        <v>20</v>
      </c>
      <c r="D1" s="8">
        <f>Q20</f>
        <v>99</v>
      </c>
      <c r="E1" s="17" t="s">
        <v>223</v>
      </c>
      <c r="F1" s="10">
        <f>Q20</f>
        <v>99</v>
      </c>
      <c r="H1" s="17" t="s">
        <v>191</v>
      </c>
      <c r="I1" s="21">
        <v>20</v>
      </c>
      <c r="J1" s="1"/>
      <c r="K1" s="18" t="s">
        <v>192</v>
      </c>
      <c r="U1" s="93" t="s">
        <v>20</v>
      </c>
      <c r="V1" s="94">
        <v>97</v>
      </c>
    </row>
    <row r="2" spans="1:22" ht="14.25" customHeight="1" x14ac:dyDescent="0.25">
      <c r="A2" s="39"/>
      <c r="B2" s="155" t="s">
        <v>225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41"/>
      <c r="B3" s="149" t="s">
        <v>233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42</v>
      </c>
      <c r="C5" s="16" t="s">
        <v>206</v>
      </c>
      <c r="D5" s="15">
        <v>10.75268817204301</v>
      </c>
      <c r="E5" s="12">
        <f>$F$1</f>
        <v>99</v>
      </c>
      <c r="F5" s="13">
        <v>1</v>
      </c>
      <c r="G5" s="12">
        <f>E5*D5</f>
        <v>1064.516129032258</v>
      </c>
      <c r="H5" s="56">
        <f>G5*F5</f>
        <v>1064.516129032258</v>
      </c>
      <c r="I5" s="11">
        <f>VLOOKUP(B5,Ordering!$A$1:$J$45,6,FALSE)</f>
        <v>1</v>
      </c>
      <c r="J5" s="58">
        <f>VLOOKUP(B5,Ordering!$A$1:$J$45,10,FALSE)</f>
        <v>6.4189189189189184</v>
      </c>
      <c r="K5" s="60">
        <f>H5/I5</f>
        <v>1064.516129032258</v>
      </c>
      <c r="L5" s="76">
        <f>J5*K5</f>
        <v>6833.0427201394941</v>
      </c>
    </row>
    <row r="6" spans="1:22" ht="14.85" customHeight="1" x14ac:dyDescent="0.25">
      <c r="A6" s="11"/>
      <c r="B6" s="11" t="s">
        <v>61</v>
      </c>
      <c r="C6" s="16" t="s">
        <v>36</v>
      </c>
      <c r="D6" s="15">
        <v>7.311827956989247</v>
      </c>
      <c r="E6" s="12">
        <f>$F$1</f>
        <v>99</v>
      </c>
      <c r="F6" s="13">
        <v>1</v>
      </c>
      <c r="G6" s="12">
        <f>E6*D6</f>
        <v>723.87096774193549</v>
      </c>
      <c r="H6" s="56">
        <f>G6*F6</f>
        <v>723.87096774193549</v>
      </c>
      <c r="I6" s="11">
        <f>VLOOKUP(B6,Ordering!$A$1:$J$45,6,FALSE)</f>
        <v>1</v>
      </c>
      <c r="J6" s="58">
        <f>VLOOKUP(B6,Ordering!$A$1:$J$45,10,FALSE)</f>
        <v>3.25</v>
      </c>
      <c r="K6" s="60">
        <f>H6/I6</f>
        <v>723.87096774193549</v>
      </c>
      <c r="L6" s="76">
        <f>J6*K6</f>
        <v>2352.5806451612902</v>
      </c>
    </row>
    <row r="7" spans="1:22" ht="14.85" customHeight="1" x14ac:dyDescent="0.25">
      <c r="A7" s="11"/>
      <c r="B7" s="11" t="s">
        <v>46</v>
      </c>
      <c r="C7" s="16" t="s">
        <v>206</v>
      </c>
      <c r="D7" s="15">
        <v>0.78853046594982079</v>
      </c>
      <c r="E7" s="12">
        <f>$F$1</f>
        <v>99</v>
      </c>
      <c r="F7" s="13">
        <v>1</v>
      </c>
      <c r="G7" s="12">
        <f>E7*D7</f>
        <v>78.064516129032256</v>
      </c>
      <c r="H7" s="56">
        <f>G7*F7</f>
        <v>78.064516129032256</v>
      </c>
      <c r="I7" s="11">
        <f>VLOOKUP(B7,Ordering!$A$1:$J$45,6,FALSE)</f>
        <v>1</v>
      </c>
      <c r="J7" s="58">
        <f>VLOOKUP(B7,Ordering!$A$1:$J$45,10,FALSE)</f>
        <v>11.243386243386244</v>
      </c>
      <c r="K7" s="60">
        <f>H7/I7</f>
        <v>78.064516129032256</v>
      </c>
      <c r="L7" s="76">
        <f>J7*K7</f>
        <v>877.70950674176481</v>
      </c>
    </row>
    <row r="8" spans="1:22" ht="14.85" customHeight="1" x14ac:dyDescent="0.25">
      <c r="A8" s="11"/>
      <c r="B8" s="11" t="s">
        <v>57</v>
      </c>
      <c r="C8" s="16" t="s">
        <v>36</v>
      </c>
      <c r="D8" s="15">
        <v>1.1469534050179211</v>
      </c>
      <c r="E8" s="12">
        <f>$F$1</f>
        <v>99</v>
      </c>
      <c r="F8" s="13">
        <v>1</v>
      </c>
      <c r="G8" s="12">
        <f>E8*D8</f>
        <v>113.54838709677419</v>
      </c>
      <c r="H8" s="56">
        <f>G8*F8</f>
        <v>113.54838709677419</v>
      </c>
      <c r="I8" s="11">
        <f>VLOOKUP(B8,Ordering!$A$1:$J$45,6,FALSE)</f>
        <v>1</v>
      </c>
      <c r="J8" s="58">
        <f>VLOOKUP(B8,Ordering!$A$1:$J$45,10,FALSE)</f>
        <v>58.685446009389672</v>
      </c>
      <c r="K8" s="60">
        <f>H8/I8</f>
        <v>113.54838709677419</v>
      </c>
      <c r="L8" s="76">
        <f>J8*K8</f>
        <v>6663.6377404210207</v>
      </c>
      <c r="R8" s="35"/>
    </row>
    <row r="9" spans="1:22" x14ac:dyDescent="0.25">
      <c r="B9" s="57" t="s">
        <v>191</v>
      </c>
      <c r="C9" s="132" t="s">
        <v>206</v>
      </c>
      <c r="D9" s="127">
        <f>$I$1</f>
        <v>20</v>
      </c>
      <c r="E9" s="133"/>
      <c r="F9" s="133"/>
      <c r="G9" s="134" t="s">
        <v>325</v>
      </c>
      <c r="H9" s="135">
        <f>SUM(H5:H8)</f>
        <v>1980</v>
      </c>
    </row>
    <row r="11" spans="1:22" x14ac:dyDescent="0.25">
      <c r="M11" s="19"/>
    </row>
    <row r="12" spans="1:22" ht="14.85" customHeight="1" x14ac:dyDescent="0.25"/>
    <row r="13" spans="1:22" ht="14.85" customHeight="1" x14ac:dyDescent="0.25"/>
    <row r="14" spans="1:22" ht="14.85" customHeight="1" x14ac:dyDescent="0.25"/>
    <row r="15" spans="1:22" ht="14.85" customHeight="1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97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99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6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">
    <tabColor theme="7" tint="-0.249977111117893"/>
    <pageSetUpPr fitToPage="1"/>
  </sheetPr>
  <dimension ref="A1:Y27"/>
  <sheetViews>
    <sheetView zoomScale="71" zoomScaleNormal="85" zoomScaleSheetLayoutView="100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4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99</v>
      </c>
      <c r="F1" s="17" t="s">
        <v>190</v>
      </c>
      <c r="G1" s="10">
        <f>D1/B1</f>
        <v>99</v>
      </c>
      <c r="H1" s="17" t="s">
        <v>191</v>
      </c>
      <c r="I1" s="21">
        <v>25</v>
      </c>
      <c r="J1" s="1"/>
      <c r="K1" s="23" t="s">
        <v>192</v>
      </c>
      <c r="U1" s="93" t="s">
        <v>20</v>
      </c>
      <c r="V1" s="94">
        <v>97</v>
      </c>
    </row>
    <row r="2" spans="1:25" ht="14.25" customHeight="1" x14ac:dyDescent="0.25">
      <c r="A2" s="39"/>
      <c r="B2" s="155" t="s">
        <v>234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5" ht="14.25" customHeight="1" x14ac:dyDescent="0.25">
      <c r="A3" s="41"/>
      <c r="B3" s="149" t="s">
        <v>233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1"/>
      <c r="B5" s="11" t="s">
        <v>115</v>
      </c>
      <c r="C5" s="16" t="s">
        <v>206</v>
      </c>
      <c r="D5" s="15">
        <v>8.3333333333333339</v>
      </c>
      <c r="E5" s="12">
        <f>$G$1</f>
        <v>99</v>
      </c>
      <c r="F5" s="13">
        <v>1</v>
      </c>
      <c r="G5" s="12">
        <f>E5*D5</f>
        <v>825.00000000000011</v>
      </c>
      <c r="H5" s="56">
        <f>G5*F5</f>
        <v>825.00000000000011</v>
      </c>
      <c r="I5" s="11">
        <f>VLOOKUP(B5,Ordering!$A$1:$J$45,6,FALSE)</f>
        <v>1</v>
      </c>
      <c r="J5" s="58">
        <f>VLOOKUP(B5,Ordering!$A$1:$J$45,10,FALSE)</f>
        <v>6</v>
      </c>
      <c r="K5" s="58">
        <f>((H5/(I5))/1000)</f>
        <v>0.82500000000000007</v>
      </c>
      <c r="L5" s="59">
        <f>J5*K5</f>
        <v>4.95</v>
      </c>
    </row>
    <row r="6" spans="1:25" ht="14.85" customHeight="1" x14ac:dyDescent="0.25">
      <c r="A6" s="11"/>
      <c r="B6" s="11" t="s">
        <v>106</v>
      </c>
      <c r="C6" s="16" t="s">
        <v>206</v>
      </c>
      <c r="D6" s="15">
        <v>8.3333333333333339</v>
      </c>
      <c r="E6" s="12">
        <f>$G$1</f>
        <v>99</v>
      </c>
      <c r="F6" s="13">
        <v>1</v>
      </c>
      <c r="G6" s="12">
        <f>E6*D6</f>
        <v>825.00000000000011</v>
      </c>
      <c r="H6" s="56">
        <f>G6*F6</f>
        <v>825.00000000000011</v>
      </c>
      <c r="I6" s="11">
        <f>VLOOKUP(B6,Ordering!$A$1:$J$45,6,FALSE)</f>
        <v>1</v>
      </c>
      <c r="J6" s="58">
        <f>VLOOKUP(B6,Ordering!$A$1:$J$45,10,FALSE)</f>
        <v>4.2</v>
      </c>
      <c r="K6" s="58">
        <f>((H6/(I6))/1000)</f>
        <v>0.82500000000000007</v>
      </c>
      <c r="L6" s="59">
        <f>J6*K6</f>
        <v>3.4650000000000003</v>
      </c>
    </row>
    <row r="7" spans="1:25" ht="14.85" customHeight="1" x14ac:dyDescent="0.25">
      <c r="A7" s="11"/>
      <c r="B7" s="11" t="s">
        <v>113</v>
      </c>
      <c r="C7" s="16" t="s">
        <v>206</v>
      </c>
      <c r="D7" s="15">
        <v>8.3333333333333339</v>
      </c>
      <c r="E7" s="12">
        <f>$G$1</f>
        <v>99</v>
      </c>
      <c r="F7" s="13">
        <v>1</v>
      </c>
      <c r="G7" s="12">
        <f>E7*D7</f>
        <v>825.00000000000011</v>
      </c>
      <c r="H7" s="56">
        <f>G7*F7</f>
        <v>825.00000000000011</v>
      </c>
      <c r="I7" s="11">
        <f>VLOOKUP(B7,Ordering!$A$1:$J$45,6,FALSE)</f>
        <v>1</v>
      </c>
      <c r="J7" s="58">
        <f>VLOOKUP(B7,Ordering!$A$1:$J$45,10,FALSE)</f>
        <v>4.2</v>
      </c>
      <c r="K7" s="58">
        <f>((H7/(I7))/1000)</f>
        <v>0.82500000000000007</v>
      </c>
      <c r="L7" s="59">
        <f>J7*K7</f>
        <v>3.4650000000000003</v>
      </c>
    </row>
    <row r="8" spans="1:25" x14ac:dyDescent="0.25">
      <c r="B8" s="57" t="s">
        <v>191</v>
      </c>
      <c r="C8" s="132" t="s">
        <v>206</v>
      </c>
      <c r="D8" s="127">
        <f>$I$1</f>
        <v>25</v>
      </c>
      <c r="E8" s="133"/>
      <c r="F8" s="133"/>
      <c r="G8" s="134" t="s">
        <v>325</v>
      </c>
      <c r="H8" s="135">
        <f>SUM(H5:H7)</f>
        <v>2475.0000000000005</v>
      </c>
      <c r="J8" s="19"/>
      <c r="K8" s="19"/>
      <c r="L8" s="19"/>
      <c r="R8" s="35"/>
      <c r="V8" s="63" t="s">
        <v>207</v>
      </c>
      <c r="W8" s="64">
        <v>1</v>
      </c>
      <c r="X8" s="63" t="s">
        <v>205</v>
      </c>
      <c r="Y8" s="65">
        <f>SUM(L5:L7)/Q20</f>
        <v>0.12000000000000001</v>
      </c>
    </row>
    <row r="9" spans="1:25" x14ac:dyDescent="0.25">
      <c r="J9" s="19"/>
      <c r="K9" s="19"/>
      <c r="L9" s="19"/>
    </row>
    <row r="10" spans="1:25" x14ac:dyDescent="0.25">
      <c r="J10" s="19"/>
      <c r="K10" s="19"/>
      <c r="L10" s="19"/>
    </row>
    <row r="11" spans="1:25" x14ac:dyDescent="0.25">
      <c r="N11" s="22"/>
    </row>
    <row r="12" spans="1:25" ht="14.85" customHeight="1" x14ac:dyDescent="0.25"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 t="s">
        <v>92</v>
      </c>
      <c r="Q15" s="137"/>
    </row>
    <row r="16" spans="1:25" x14ac:dyDescent="0.25">
      <c r="P16" s="140" t="s">
        <v>227</v>
      </c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97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99</v>
      </c>
    </row>
    <row r="21" spans="11:17" x14ac:dyDescent="0.25">
      <c r="P21" s="61" t="s">
        <v>205</v>
      </c>
      <c r="Q21" s="62">
        <f>SUM(L5:L7)</f>
        <v>11.88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55">
    <tabColor theme="7" tint="-0.249977111117893"/>
    <pageSetUpPr fitToPage="1"/>
  </sheetPr>
  <dimension ref="A1:Y26"/>
  <sheetViews>
    <sheetView zoomScale="85" zoomScaleNormal="85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211</v>
      </c>
      <c r="F1" s="17" t="s">
        <v>190</v>
      </c>
      <c r="G1" s="10">
        <f>D1/B1</f>
        <v>211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209</v>
      </c>
    </row>
    <row r="2" spans="1:25" ht="14.25" customHeight="1" x14ac:dyDescent="0.25">
      <c r="A2" s="39"/>
      <c r="B2" s="152" t="s">
        <v>277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256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42</v>
      </c>
      <c r="C5" s="16" t="s">
        <v>206</v>
      </c>
      <c r="D5" s="107">
        <v>23.200000000000003</v>
      </c>
      <c r="E5" s="108">
        <f t="shared" ref="E5:E11" si="0">$G$1</f>
        <v>211</v>
      </c>
      <c r="F5" s="109">
        <v>1</v>
      </c>
      <c r="G5" s="108">
        <f t="shared" ref="G5:G11" si="1">E5*D5</f>
        <v>4895.2000000000007</v>
      </c>
      <c r="H5" s="110">
        <f t="shared" ref="H5:H11" si="2">G5*F5</f>
        <v>4895.2000000000007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 t="shared" ref="K5:K11" si="3">((H5/(I5))/1000)</f>
        <v>4.8952000000000009</v>
      </c>
      <c r="L5" s="112">
        <f t="shared" ref="L5:L11" si="4">J5*K5</f>
        <v>31.421891891891896</v>
      </c>
    </row>
    <row r="6" spans="1:25" ht="14.85" customHeight="1" x14ac:dyDescent="0.25">
      <c r="A6" s="106"/>
      <c r="B6" s="113" t="s">
        <v>266</v>
      </c>
      <c r="C6" s="16" t="s">
        <v>206</v>
      </c>
      <c r="D6" s="107">
        <v>9.2799999999999994</v>
      </c>
      <c r="E6" s="108">
        <f t="shared" si="0"/>
        <v>211</v>
      </c>
      <c r="F6" s="109">
        <v>1</v>
      </c>
      <c r="G6" s="108">
        <f t="shared" si="1"/>
        <v>1958.08</v>
      </c>
      <c r="H6" s="110">
        <f t="shared" si="2"/>
        <v>1958.08</v>
      </c>
      <c r="I6" s="106">
        <f>VLOOKUP(B6,Ordering!$A$1:$J$45,6,FALSE)</f>
        <v>1</v>
      </c>
      <c r="J6" s="111">
        <f>VLOOKUP(B6,Ordering!$A$1:$J$45,10,FALSE)</f>
        <v>17.480211081794195</v>
      </c>
      <c r="K6" s="107">
        <f t="shared" si="3"/>
        <v>1.9580799999999998</v>
      </c>
      <c r="L6" s="112">
        <f t="shared" si="4"/>
        <v>34.227651715039578</v>
      </c>
    </row>
    <row r="7" spans="1:25" ht="14.85" customHeight="1" x14ac:dyDescent="0.25">
      <c r="A7" s="106"/>
      <c r="B7" s="113" t="s">
        <v>265</v>
      </c>
      <c r="C7" s="16" t="s">
        <v>206</v>
      </c>
      <c r="D7" s="107">
        <v>0.92799999999999971</v>
      </c>
      <c r="E7" s="108">
        <f t="shared" si="0"/>
        <v>211</v>
      </c>
      <c r="F7" s="109">
        <v>1</v>
      </c>
      <c r="G7" s="108">
        <f t="shared" si="1"/>
        <v>195.80799999999994</v>
      </c>
      <c r="H7" s="110">
        <f t="shared" si="2"/>
        <v>195.80799999999994</v>
      </c>
      <c r="I7" s="106">
        <f>VLOOKUP(B7,Ordering!$A$1:$J$45,6,FALSE)</f>
        <v>1</v>
      </c>
      <c r="J7" s="111">
        <f>VLOOKUP(B7,Ordering!$A$1:$J$45,10,FALSE)</f>
        <v>17</v>
      </c>
      <c r="K7" s="107">
        <f t="shared" si="3"/>
        <v>0.19580799999999993</v>
      </c>
      <c r="L7" s="112">
        <f t="shared" si="4"/>
        <v>3.3287359999999988</v>
      </c>
      <c r="R7" s="35"/>
    </row>
    <row r="8" spans="1:25" ht="14.85" customHeight="1" x14ac:dyDescent="0.25">
      <c r="A8" s="106"/>
      <c r="B8" s="113" t="s">
        <v>264</v>
      </c>
      <c r="C8" s="16" t="s">
        <v>206</v>
      </c>
      <c r="D8" s="107">
        <v>0.46399999999999997</v>
      </c>
      <c r="E8" s="108">
        <f t="shared" si="0"/>
        <v>211</v>
      </c>
      <c r="F8" s="109">
        <v>1</v>
      </c>
      <c r="G8" s="108">
        <f t="shared" si="1"/>
        <v>97.903999999999996</v>
      </c>
      <c r="H8" s="110">
        <f t="shared" si="2"/>
        <v>97.903999999999996</v>
      </c>
      <c r="I8" s="106">
        <f>VLOOKUP(B8,Ordering!$A$1:$J$45,6,FALSE)</f>
        <v>1</v>
      </c>
      <c r="J8" s="111">
        <f>VLOOKUP(B8,Ordering!$A$1:$J$45,10,FALSE)</f>
        <v>96.916299559471369</v>
      </c>
      <c r="K8" s="107">
        <f t="shared" si="3"/>
        <v>9.7903999999999991E-2</v>
      </c>
      <c r="L8" s="112">
        <f t="shared" si="4"/>
        <v>9.4884933920704846</v>
      </c>
      <c r="V8" s="63" t="s">
        <v>207</v>
      </c>
      <c r="W8" s="64">
        <v>1</v>
      </c>
      <c r="X8" s="63" t="s">
        <v>205</v>
      </c>
      <c r="Y8" s="65">
        <f>(SUM(L5:L11)/Q20)*W8</f>
        <v>0.37645623318599614</v>
      </c>
    </row>
    <row r="9" spans="1:25" ht="14.85" customHeight="1" x14ac:dyDescent="0.25">
      <c r="A9" s="106"/>
      <c r="B9" s="113" t="s">
        <v>259</v>
      </c>
      <c r="C9" s="16" t="s">
        <v>206</v>
      </c>
      <c r="D9" s="107">
        <v>0.34799999999999992</v>
      </c>
      <c r="E9" s="108">
        <f t="shared" si="0"/>
        <v>211</v>
      </c>
      <c r="F9" s="109">
        <v>1</v>
      </c>
      <c r="G9" s="108">
        <f t="shared" si="1"/>
        <v>73.427999999999983</v>
      </c>
      <c r="H9" s="110">
        <f t="shared" si="2"/>
        <v>73.427999999999983</v>
      </c>
      <c r="I9" s="106">
        <f>VLOOKUP(B9,Ordering!$A$1:$J$45,6,FALSE)</f>
        <v>1</v>
      </c>
      <c r="J9" s="111">
        <f>VLOOKUP(B9,Ordering!$A$1:$J$45,10,FALSE)</f>
        <v>10</v>
      </c>
      <c r="K9" s="107">
        <f t="shared" si="3"/>
        <v>7.3427999999999979E-2</v>
      </c>
      <c r="L9" s="112">
        <f t="shared" si="4"/>
        <v>0.73427999999999982</v>
      </c>
    </row>
    <row r="10" spans="1:25" ht="14.85" customHeight="1" x14ac:dyDescent="0.25">
      <c r="A10" s="106"/>
      <c r="B10" s="113" t="s">
        <v>267</v>
      </c>
      <c r="C10" s="16" t="s">
        <v>206</v>
      </c>
      <c r="D10" s="107">
        <v>0.34799999999999992</v>
      </c>
      <c r="E10" s="108">
        <f t="shared" si="0"/>
        <v>211</v>
      </c>
      <c r="F10" s="109">
        <v>1</v>
      </c>
      <c r="G10" s="108">
        <f t="shared" si="1"/>
        <v>73.427999999999983</v>
      </c>
      <c r="H10" s="110">
        <f t="shared" si="2"/>
        <v>73.427999999999983</v>
      </c>
      <c r="I10" s="106">
        <f>VLOOKUP(B10,Ordering!$A$1:$J$45,6,FALSE)</f>
        <v>1</v>
      </c>
      <c r="J10" s="111">
        <f>VLOOKUP(B10,Ordering!$A$1:$J$45,10,FALSE)</f>
        <v>2.1621621621621623</v>
      </c>
      <c r="K10" s="107">
        <f t="shared" si="3"/>
        <v>7.3427999999999979E-2</v>
      </c>
      <c r="L10" s="112">
        <f t="shared" si="4"/>
        <v>0.1587632432432432</v>
      </c>
    </row>
    <row r="11" spans="1:25" ht="14.85" customHeight="1" x14ac:dyDescent="0.25">
      <c r="A11" s="106"/>
      <c r="B11" s="106" t="s">
        <v>88</v>
      </c>
      <c r="C11" s="16" t="s">
        <v>206</v>
      </c>
      <c r="D11" s="107">
        <v>0.46399999999999997</v>
      </c>
      <c r="E11" s="108">
        <f t="shared" si="0"/>
        <v>211</v>
      </c>
      <c r="F11" s="109">
        <v>1</v>
      </c>
      <c r="G11" s="108">
        <f t="shared" si="1"/>
        <v>97.903999999999996</v>
      </c>
      <c r="H11" s="110">
        <f t="shared" si="2"/>
        <v>97.903999999999996</v>
      </c>
      <c r="I11" s="106">
        <f>VLOOKUP(B11,Ordering!$A$1:$J$45,6,FALSE)</f>
        <v>1</v>
      </c>
      <c r="J11" s="111">
        <f>VLOOKUP(B11,Ordering!$A$1:$J$45,10,FALSE)</f>
        <v>0.74</v>
      </c>
      <c r="K11" s="107">
        <f t="shared" si="3"/>
        <v>9.7903999999999991E-2</v>
      </c>
      <c r="L11" s="112">
        <f t="shared" si="4"/>
        <v>7.2448959999999993E-2</v>
      </c>
      <c r="M11" s="72"/>
      <c r="N11" s="22"/>
    </row>
    <row r="12" spans="1:25" ht="14.85" customHeight="1" x14ac:dyDescent="0.25">
      <c r="B12" s="57" t="s">
        <v>191</v>
      </c>
      <c r="C12" s="132" t="s">
        <v>206</v>
      </c>
      <c r="D12" s="127">
        <f>$I$1</f>
        <v>35</v>
      </c>
      <c r="E12" s="133"/>
      <c r="F12" s="133"/>
      <c r="G12" s="134" t="s">
        <v>325</v>
      </c>
      <c r="H12" s="135">
        <f>SUM(H5:H11)</f>
        <v>7391.7520000000004</v>
      </c>
    </row>
    <row r="13" spans="1:25" ht="14.85" customHeight="1" x14ac:dyDescent="0.25"/>
    <row r="15" spans="1:25" x14ac:dyDescent="0.25">
      <c r="P15" s="136"/>
      <c r="Q15" s="137"/>
    </row>
    <row r="16" spans="1:25" ht="14.85" customHeight="1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209</v>
      </c>
    </row>
    <row r="19" spans="11:17" ht="15.75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Q19+Q18</f>
        <v>211</v>
      </c>
    </row>
    <row r="21" spans="11:17" x14ac:dyDescent="0.25">
      <c r="P21" s="61" t="s">
        <v>205</v>
      </c>
      <c r="Q21" s="62">
        <f>SUM(L5:L11)</f>
        <v>79.43226520224519</v>
      </c>
    </row>
    <row r="26" spans="11:17" x14ac:dyDescent="0.25">
      <c r="K26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8F000-0003-4BA6-A2E3-95A68E51AA78}">
  <sheetPr codeName="Sheet16">
    <tabColor theme="7" tint="-0.249977111117893"/>
    <pageSetUpPr fitToPage="1"/>
  </sheetPr>
  <dimension ref="A1:Y26"/>
  <sheetViews>
    <sheetView zoomScale="85" zoomScaleNormal="85" workbookViewId="0">
      <selection activeCell="Q20" sqref="Q2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211</v>
      </c>
      <c r="F1" s="17" t="s">
        <v>190</v>
      </c>
      <c r="G1" s="10">
        <f>D1/B1</f>
        <v>211</v>
      </c>
      <c r="H1" s="17" t="s">
        <v>191</v>
      </c>
      <c r="I1" s="21">
        <v>20</v>
      </c>
      <c r="J1" s="1"/>
      <c r="K1" s="23" t="s">
        <v>192</v>
      </c>
      <c r="U1" s="93" t="s">
        <v>20</v>
      </c>
      <c r="V1" s="94">
        <v>209</v>
      </c>
    </row>
    <row r="2" spans="1:25" ht="14.25" customHeight="1" x14ac:dyDescent="0.25">
      <c r="A2" s="39"/>
      <c r="B2" s="152" t="s">
        <v>286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256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42</v>
      </c>
      <c r="C5" s="16" t="s">
        <v>206</v>
      </c>
      <c r="D5" s="107">
        <v>13.257142857142858</v>
      </c>
      <c r="E5" s="108">
        <f t="shared" ref="E5:E11" si="0">$G$1</f>
        <v>211</v>
      </c>
      <c r="F5" s="109">
        <v>1</v>
      </c>
      <c r="G5" s="108">
        <f t="shared" ref="G5:G11" si="1">E5*D5</f>
        <v>2797.2571428571432</v>
      </c>
      <c r="H5" s="110">
        <f t="shared" ref="H5:H11" si="2">G5*F5</f>
        <v>2797.2571428571432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 t="shared" ref="K5:K11" si="3">((H5/(I5))/1000)</f>
        <v>2.7972571428571431</v>
      </c>
      <c r="L5" s="112">
        <f t="shared" ref="L5:L11" si="4">J5*K5</f>
        <v>17.955366795366796</v>
      </c>
    </row>
    <row r="6" spans="1:25" ht="14.85" customHeight="1" x14ac:dyDescent="0.25">
      <c r="A6" s="106"/>
      <c r="B6" s="113" t="s">
        <v>266</v>
      </c>
      <c r="C6" s="16" t="s">
        <v>206</v>
      </c>
      <c r="D6" s="107">
        <v>5.3028571428571425</v>
      </c>
      <c r="E6" s="108">
        <f t="shared" si="0"/>
        <v>211</v>
      </c>
      <c r="F6" s="109">
        <v>1</v>
      </c>
      <c r="G6" s="108">
        <f t="shared" si="1"/>
        <v>1118.9028571428571</v>
      </c>
      <c r="H6" s="110">
        <f t="shared" si="2"/>
        <v>1118.9028571428571</v>
      </c>
      <c r="I6" s="106">
        <f>VLOOKUP(B6,Ordering!$A$1:$J$45,6,FALSE)</f>
        <v>1</v>
      </c>
      <c r="J6" s="111">
        <f>VLOOKUP(B6,Ordering!$A$1:$J$45,10,FALSE)</f>
        <v>17.480211081794195</v>
      </c>
      <c r="K6" s="107">
        <f t="shared" si="3"/>
        <v>1.1189028571428572</v>
      </c>
      <c r="L6" s="112">
        <f t="shared" si="4"/>
        <v>19.558658122879759</v>
      </c>
    </row>
    <row r="7" spans="1:25" ht="14.85" customHeight="1" x14ac:dyDescent="0.25">
      <c r="A7" s="106"/>
      <c r="B7" s="113" t="s">
        <v>265</v>
      </c>
      <c r="C7" s="16" t="s">
        <v>206</v>
      </c>
      <c r="D7" s="107">
        <v>0.53028571428571414</v>
      </c>
      <c r="E7" s="108">
        <f t="shared" si="0"/>
        <v>211</v>
      </c>
      <c r="F7" s="109">
        <v>1</v>
      </c>
      <c r="G7" s="108">
        <f t="shared" si="1"/>
        <v>111.89028571428568</v>
      </c>
      <c r="H7" s="110">
        <f t="shared" si="2"/>
        <v>111.89028571428568</v>
      </c>
      <c r="I7" s="106">
        <f>VLOOKUP(B7,Ordering!$A$1:$J$45,6,FALSE)</f>
        <v>1</v>
      </c>
      <c r="J7" s="111">
        <f>VLOOKUP(B7,Ordering!$A$1:$J$45,10,FALSE)</f>
        <v>17</v>
      </c>
      <c r="K7" s="107">
        <f t="shared" si="3"/>
        <v>0.11189028571428568</v>
      </c>
      <c r="L7" s="112">
        <f t="shared" si="4"/>
        <v>1.9021348571428565</v>
      </c>
      <c r="R7" s="35"/>
    </row>
    <row r="8" spans="1:25" ht="14.85" customHeight="1" x14ac:dyDescent="0.25">
      <c r="A8" s="106"/>
      <c r="B8" s="113" t="s">
        <v>264</v>
      </c>
      <c r="C8" s="16" t="s">
        <v>206</v>
      </c>
      <c r="D8" s="107">
        <v>0.26514285714285712</v>
      </c>
      <c r="E8" s="108">
        <f t="shared" si="0"/>
        <v>211</v>
      </c>
      <c r="F8" s="109">
        <v>1</v>
      </c>
      <c r="G8" s="108">
        <f t="shared" si="1"/>
        <v>55.945142857142855</v>
      </c>
      <c r="H8" s="110">
        <f t="shared" si="2"/>
        <v>55.945142857142855</v>
      </c>
      <c r="I8" s="106">
        <f>VLOOKUP(B8,Ordering!$A$1:$J$45,6,FALSE)</f>
        <v>1</v>
      </c>
      <c r="J8" s="111">
        <f>VLOOKUP(B8,Ordering!$A$1:$J$45,10,FALSE)</f>
        <v>96.916299559471369</v>
      </c>
      <c r="K8" s="107">
        <f t="shared" si="3"/>
        <v>5.5945142857142853E-2</v>
      </c>
      <c r="L8" s="112">
        <f t="shared" si="4"/>
        <v>5.421996224040277</v>
      </c>
      <c r="V8" s="63" t="s">
        <v>207</v>
      </c>
      <c r="W8" s="64">
        <v>1</v>
      </c>
      <c r="X8" s="63" t="s">
        <v>205</v>
      </c>
      <c r="Y8" s="65">
        <f>(SUM(L5:L11)/Q20)*W8</f>
        <v>0.21511784753485497</v>
      </c>
    </row>
    <row r="9" spans="1:25" ht="14.85" customHeight="1" x14ac:dyDescent="0.25">
      <c r="A9" s="106"/>
      <c r="B9" s="113" t="s">
        <v>259</v>
      </c>
      <c r="C9" s="16" t="s">
        <v>206</v>
      </c>
      <c r="D9" s="107">
        <v>0.19885714285714282</v>
      </c>
      <c r="E9" s="108">
        <f t="shared" si="0"/>
        <v>211</v>
      </c>
      <c r="F9" s="109">
        <v>1</v>
      </c>
      <c r="G9" s="130">
        <f t="shared" si="1"/>
        <v>41.958857142857134</v>
      </c>
      <c r="H9" s="131">
        <f t="shared" si="2"/>
        <v>41.958857142857134</v>
      </c>
      <c r="I9" s="106">
        <f>VLOOKUP(B9,Ordering!$A$1:$J$45,6,FALSE)</f>
        <v>1</v>
      </c>
      <c r="J9" s="111">
        <f>VLOOKUP(B9,Ordering!$A$1:$J$45,10,FALSE)</f>
        <v>10</v>
      </c>
      <c r="K9" s="107">
        <f t="shared" si="3"/>
        <v>4.1958857142857131E-2</v>
      </c>
      <c r="L9" s="112">
        <f t="shared" si="4"/>
        <v>0.41958857142857131</v>
      </c>
    </row>
    <row r="10" spans="1:25" ht="14.85" customHeight="1" x14ac:dyDescent="0.25">
      <c r="A10" s="106"/>
      <c r="B10" s="113" t="s">
        <v>267</v>
      </c>
      <c r="C10" s="16" t="s">
        <v>206</v>
      </c>
      <c r="D10" s="107">
        <v>0.19885714285714282</v>
      </c>
      <c r="E10" s="108">
        <f t="shared" si="0"/>
        <v>211</v>
      </c>
      <c r="F10" s="109">
        <v>1</v>
      </c>
      <c r="G10" s="130">
        <f t="shared" si="1"/>
        <v>41.958857142857134</v>
      </c>
      <c r="H10" s="131">
        <f t="shared" si="2"/>
        <v>41.958857142857134</v>
      </c>
      <c r="I10" s="106">
        <f>VLOOKUP(B10,Ordering!$A$1:$J$45,6,FALSE)</f>
        <v>1</v>
      </c>
      <c r="J10" s="111">
        <f>VLOOKUP(B10,Ordering!$A$1:$J$45,10,FALSE)</f>
        <v>2.1621621621621623</v>
      </c>
      <c r="K10" s="107">
        <f t="shared" si="3"/>
        <v>4.1958857142857131E-2</v>
      </c>
      <c r="L10" s="112">
        <f t="shared" si="4"/>
        <v>9.0721853281853268E-2</v>
      </c>
    </row>
    <row r="11" spans="1:25" ht="14.85" customHeight="1" x14ac:dyDescent="0.25">
      <c r="A11" s="106"/>
      <c r="B11" s="106" t="s">
        <v>88</v>
      </c>
      <c r="C11" s="16" t="s">
        <v>206</v>
      </c>
      <c r="D11" s="107">
        <v>0.26514285714285712</v>
      </c>
      <c r="E11" s="108">
        <f t="shared" si="0"/>
        <v>211</v>
      </c>
      <c r="F11" s="109">
        <v>1</v>
      </c>
      <c r="G11" s="108">
        <f t="shared" si="1"/>
        <v>55.945142857142855</v>
      </c>
      <c r="H11" s="110">
        <f t="shared" si="2"/>
        <v>55.945142857142855</v>
      </c>
      <c r="I11" s="106">
        <f>VLOOKUP(B11,Ordering!$A$1:$J$45,6,FALSE)</f>
        <v>1</v>
      </c>
      <c r="J11" s="111">
        <f>VLOOKUP(B11,Ordering!$A$1:$J$45,10,FALSE)</f>
        <v>0.74</v>
      </c>
      <c r="K11" s="107">
        <f t="shared" si="3"/>
        <v>5.5945142857142853E-2</v>
      </c>
      <c r="L11" s="112">
        <f t="shared" si="4"/>
        <v>4.1399405714285714E-2</v>
      </c>
      <c r="M11" s="72"/>
      <c r="N11" s="22"/>
    </row>
    <row r="12" spans="1:25" ht="14.85" customHeight="1" x14ac:dyDescent="0.25">
      <c r="B12" s="57" t="s">
        <v>191</v>
      </c>
      <c r="C12" s="132" t="s">
        <v>206</v>
      </c>
      <c r="D12" s="127">
        <f>$I$1</f>
        <v>20</v>
      </c>
      <c r="E12" s="133"/>
      <c r="F12" s="133"/>
      <c r="G12" s="134" t="s">
        <v>325</v>
      </c>
      <c r="H12" s="135">
        <f>SUM(H5:H11)</f>
        <v>4223.8582857142856</v>
      </c>
    </row>
    <row r="13" spans="1:25" ht="14.85" customHeight="1" x14ac:dyDescent="0.25"/>
    <row r="15" spans="1:25" x14ac:dyDescent="0.25">
      <c r="P15" s="136"/>
      <c r="Q15" s="137"/>
    </row>
    <row r="16" spans="1:25" ht="14.85" customHeight="1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209</v>
      </c>
    </row>
    <row r="19" spans="11:17" ht="15.75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211</v>
      </c>
    </row>
    <row r="21" spans="11:17" x14ac:dyDescent="0.25">
      <c r="P21" s="61" t="s">
        <v>205</v>
      </c>
      <c r="Q21" s="62">
        <f>SUM(L5:L11)</f>
        <v>45.389865829854401</v>
      </c>
    </row>
    <row r="26" spans="11:17" x14ac:dyDescent="0.25">
      <c r="K26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6" tint="-0.249977111117893"/>
    <pageSetUpPr fitToPage="1"/>
  </sheetPr>
  <dimension ref="A1:V27"/>
  <sheetViews>
    <sheetView zoomScale="85" zoomScaleNormal="85" zoomScaleSheetLayoutView="100" workbookViewId="0">
      <selection activeCell="D40" sqref="D4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2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127</v>
      </c>
      <c r="F1" s="17" t="s">
        <v>190</v>
      </c>
      <c r="G1" s="10">
        <f>D1/B1</f>
        <v>127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125</v>
      </c>
    </row>
    <row r="2" spans="1:22" ht="14.25" customHeight="1" x14ac:dyDescent="0.25">
      <c r="A2" s="37"/>
      <c r="B2" s="150" t="s">
        <v>228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38"/>
      <c r="B3" s="149" t="s">
        <v>235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23</v>
      </c>
      <c r="C5" s="16" t="s">
        <v>206</v>
      </c>
      <c r="D5" s="15">
        <v>20</v>
      </c>
      <c r="E5" s="12">
        <f t="shared" ref="E5:E10" si="0">$G$1</f>
        <v>127</v>
      </c>
      <c r="F5" s="13">
        <v>1</v>
      </c>
      <c r="G5" s="12">
        <f t="shared" ref="G5:G10" si="1">E5*D5</f>
        <v>2540</v>
      </c>
      <c r="H5" s="56">
        <f t="shared" ref="H5:H10" si="2">G5*F5</f>
        <v>2540</v>
      </c>
      <c r="I5" s="11">
        <f>VLOOKUP(B5,Ordering!$A$1:$J$45,6,FALSE)</f>
        <v>1</v>
      </c>
      <c r="J5" s="58">
        <f>VLOOKUP(B5,Ordering!$A$1:$J$45,10,FALSE)</f>
        <v>6.6959999999999997</v>
      </c>
      <c r="K5" s="58">
        <f t="shared" ref="K5:K10" si="3">H5/I5</f>
        <v>2540</v>
      </c>
      <c r="L5" s="59">
        <f t="shared" ref="L5:L10" si="4">J5*K5</f>
        <v>17007.84</v>
      </c>
    </row>
    <row r="6" spans="1:22" ht="14.85" customHeight="1" x14ac:dyDescent="0.25">
      <c r="A6" s="11"/>
      <c r="B6" s="11" t="s">
        <v>142</v>
      </c>
      <c r="C6" s="16" t="s">
        <v>206</v>
      </c>
      <c r="D6" s="15">
        <v>5.4</v>
      </c>
      <c r="E6" s="12">
        <f t="shared" si="0"/>
        <v>127</v>
      </c>
      <c r="F6" s="13">
        <v>1</v>
      </c>
      <c r="G6" s="12">
        <f t="shared" si="1"/>
        <v>685.80000000000007</v>
      </c>
      <c r="H6" s="56">
        <f t="shared" si="2"/>
        <v>685.80000000000007</v>
      </c>
      <c r="I6" s="11">
        <f>VLOOKUP(B6,Ordering!$A$1:$J$45,6,FALSE)</f>
        <v>0.8</v>
      </c>
      <c r="J6" s="58">
        <f>VLOOKUP(B6,Ordering!$A$1:$J$45,10,FALSE)</f>
        <v>3</v>
      </c>
      <c r="K6" s="58">
        <f t="shared" si="3"/>
        <v>857.25</v>
      </c>
      <c r="L6" s="59">
        <f t="shared" si="4"/>
        <v>2571.75</v>
      </c>
    </row>
    <row r="7" spans="1:22" ht="14.85" customHeight="1" x14ac:dyDescent="0.25">
      <c r="A7" s="11"/>
      <c r="B7" s="11" t="s">
        <v>80</v>
      </c>
      <c r="C7" s="16" t="s">
        <v>206</v>
      </c>
      <c r="D7" s="15">
        <v>0.05</v>
      </c>
      <c r="E7" s="12">
        <f t="shared" si="0"/>
        <v>127</v>
      </c>
      <c r="F7" s="13">
        <v>1</v>
      </c>
      <c r="G7" s="12">
        <f t="shared" si="1"/>
        <v>6.3500000000000005</v>
      </c>
      <c r="H7" s="56">
        <f t="shared" si="2"/>
        <v>6.3500000000000005</v>
      </c>
      <c r="I7" s="11">
        <f>VLOOKUP(B7,Ordering!$A$1:$J$45,6,FALSE)</f>
        <v>1</v>
      </c>
      <c r="J7" s="58">
        <f>VLOOKUP(B7,Ordering!$A$1:$J$45,10,FALSE)</f>
        <v>8</v>
      </c>
      <c r="K7" s="58">
        <f t="shared" si="3"/>
        <v>6.3500000000000005</v>
      </c>
      <c r="L7" s="59">
        <f t="shared" si="4"/>
        <v>50.800000000000004</v>
      </c>
      <c r="R7" s="35"/>
    </row>
    <row r="8" spans="1:22" ht="14.85" customHeight="1" x14ac:dyDescent="0.25">
      <c r="A8" s="11"/>
      <c r="B8" s="11" t="s">
        <v>120</v>
      </c>
      <c r="C8" s="16" t="s">
        <v>206</v>
      </c>
      <c r="D8" s="15">
        <v>0.02</v>
      </c>
      <c r="E8" s="12">
        <f t="shared" si="0"/>
        <v>127</v>
      </c>
      <c r="F8" s="13">
        <v>1</v>
      </c>
      <c r="G8" s="12">
        <f t="shared" si="1"/>
        <v>2.54</v>
      </c>
      <c r="H8" s="56">
        <f t="shared" si="2"/>
        <v>2.54</v>
      </c>
      <c r="I8" s="11">
        <f>VLOOKUP(B8,Ordering!$A$1:$J$45,6,FALSE)</f>
        <v>1</v>
      </c>
      <c r="J8" s="58">
        <f>VLOOKUP(B8,Ordering!$A$1:$J$45,10,FALSE)</f>
        <v>20</v>
      </c>
      <c r="K8" s="58">
        <f t="shared" si="3"/>
        <v>2.54</v>
      </c>
      <c r="L8" s="59">
        <f t="shared" si="4"/>
        <v>50.8</v>
      </c>
    </row>
    <row r="9" spans="1:22" ht="14.85" customHeight="1" x14ac:dyDescent="0.25">
      <c r="A9" s="11"/>
      <c r="B9" s="11" t="s">
        <v>66</v>
      </c>
      <c r="C9" s="16" t="s">
        <v>36</v>
      </c>
      <c r="D9" s="15">
        <v>9.4499999999999993</v>
      </c>
      <c r="E9" s="12">
        <f t="shared" si="0"/>
        <v>127</v>
      </c>
      <c r="F9" s="13">
        <v>1</v>
      </c>
      <c r="G9" s="12">
        <f t="shared" si="1"/>
        <v>1200.1499999999999</v>
      </c>
      <c r="H9" s="56">
        <f t="shared" si="2"/>
        <v>1200.1499999999999</v>
      </c>
      <c r="I9" s="11">
        <f>VLOOKUP(B9,Ordering!$A$1:$J$45,6,FALSE)</f>
        <v>1</v>
      </c>
      <c r="J9" s="58">
        <f>VLOOKUP(B9,Ordering!$A$1:$J$45,10,FALSE)</f>
        <v>0</v>
      </c>
      <c r="K9" s="58">
        <f t="shared" si="3"/>
        <v>1200.1499999999999</v>
      </c>
      <c r="L9" s="59">
        <f t="shared" si="4"/>
        <v>0</v>
      </c>
    </row>
    <row r="10" spans="1:22" ht="14.85" customHeight="1" x14ac:dyDescent="0.25">
      <c r="A10" s="11"/>
      <c r="B10" s="11" t="s">
        <v>88</v>
      </c>
      <c r="C10" s="16" t="s">
        <v>206</v>
      </c>
      <c r="D10" s="15">
        <v>0.08</v>
      </c>
      <c r="E10" s="12">
        <f t="shared" si="0"/>
        <v>127</v>
      </c>
      <c r="F10" s="13">
        <v>1</v>
      </c>
      <c r="G10" s="12">
        <f t="shared" si="1"/>
        <v>10.16</v>
      </c>
      <c r="H10" s="56">
        <f t="shared" si="2"/>
        <v>10.16</v>
      </c>
      <c r="I10" s="11">
        <f>VLOOKUP(B10,Ordering!$A$1:$J$45,6,FALSE)</f>
        <v>1</v>
      </c>
      <c r="J10" s="58">
        <f>VLOOKUP(B10,Ordering!$A$1:$J$45,10,FALSE)</f>
        <v>0.74</v>
      </c>
      <c r="K10" s="58">
        <f t="shared" si="3"/>
        <v>10.16</v>
      </c>
      <c r="L10" s="59">
        <f t="shared" si="4"/>
        <v>7.5183999999999997</v>
      </c>
    </row>
    <row r="11" spans="1:22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4445</v>
      </c>
      <c r="M11" s="72"/>
      <c r="N11" s="22"/>
    </row>
    <row r="12" spans="1:22" ht="14.85" customHeight="1" x14ac:dyDescent="0.25">
      <c r="M12" s="72"/>
      <c r="N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125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127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6" tint="-0.249977111117893"/>
    <pageSetUpPr fitToPage="1"/>
  </sheetPr>
  <dimension ref="A1:Y27"/>
  <sheetViews>
    <sheetView zoomScale="85" zoomScaleNormal="85" zoomScaleSheetLayoutView="100" workbookViewId="0">
      <selection activeCell="D40" sqref="D4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99</v>
      </c>
      <c r="F1" s="17" t="s">
        <v>190</v>
      </c>
      <c r="G1" s="10">
        <f>D1/B1</f>
        <v>99</v>
      </c>
      <c r="H1" s="17" t="s">
        <v>191</v>
      </c>
      <c r="I1" s="21">
        <v>20</v>
      </c>
      <c r="J1" s="1"/>
      <c r="K1" s="23" t="s">
        <v>192</v>
      </c>
      <c r="U1" s="93" t="s">
        <v>20</v>
      </c>
      <c r="V1" s="94">
        <v>97</v>
      </c>
    </row>
    <row r="2" spans="1:25" ht="14.25" customHeight="1" x14ac:dyDescent="0.25">
      <c r="A2" s="39"/>
      <c r="B2" s="152" t="s">
        <v>236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6" t="s">
        <v>237</v>
      </c>
      <c r="C3" s="137"/>
      <c r="D3" s="137"/>
      <c r="E3" s="137"/>
      <c r="F3" s="137"/>
      <c r="G3" s="137"/>
      <c r="H3" s="157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1"/>
      <c r="B5" s="11" t="s">
        <v>138</v>
      </c>
      <c r="C5" s="16" t="s">
        <v>206</v>
      </c>
      <c r="D5" s="15">
        <v>0.5</v>
      </c>
      <c r="E5" s="12">
        <f>$G$1</f>
        <v>99</v>
      </c>
      <c r="F5" s="13">
        <v>1</v>
      </c>
      <c r="G5" s="12">
        <f>E5*D5</f>
        <v>49.5</v>
      </c>
      <c r="H5" s="56">
        <f>G5*F5</f>
        <v>49.5</v>
      </c>
      <c r="I5" s="11">
        <f>VLOOKUP(B5,Ordering!$A$1:$J$45,6,FALSE)</f>
        <v>0.71</v>
      </c>
      <c r="J5" s="58">
        <f>VLOOKUP(B5,Ordering!$A$1:$J$45,10,FALSE)</f>
        <v>3</v>
      </c>
      <c r="K5" s="58">
        <f>((H5/(I5))/1000)</f>
        <v>6.9718309859154934E-2</v>
      </c>
      <c r="L5" s="59">
        <f>J5*K5</f>
        <v>0.20915492957746479</v>
      </c>
    </row>
    <row r="6" spans="1:25" ht="14.85" customHeight="1" x14ac:dyDescent="0.25">
      <c r="A6" s="11"/>
      <c r="B6" s="11" t="s">
        <v>23</v>
      </c>
      <c r="C6" s="16" t="s">
        <v>206</v>
      </c>
      <c r="D6" s="58">
        <v>19.5</v>
      </c>
      <c r="E6" s="12">
        <f>$G$1</f>
        <v>99</v>
      </c>
      <c r="F6" s="13">
        <v>1</v>
      </c>
      <c r="G6" s="12">
        <f>E6*D6</f>
        <v>1930.5</v>
      </c>
      <c r="H6" s="56">
        <f>G6*F6</f>
        <v>1930.5</v>
      </c>
      <c r="I6" s="11">
        <f>VLOOKUP(B6,Ordering!$A$1:$J$45,6,FALSE)</f>
        <v>1</v>
      </c>
      <c r="J6" s="58">
        <f>VLOOKUP(B6,Ordering!$A$1:$J$45,10,FALSE)</f>
        <v>6.6959999999999997</v>
      </c>
      <c r="K6" s="58">
        <f>((H6/(I6))/1000)</f>
        <v>1.9305000000000001</v>
      </c>
      <c r="L6" s="59">
        <f>J6*K6</f>
        <v>12.926628000000001</v>
      </c>
    </row>
    <row r="7" spans="1:25" ht="14.85" customHeight="1" x14ac:dyDescent="0.25">
      <c r="A7" s="11"/>
      <c r="B7" s="11" t="s">
        <v>88</v>
      </c>
      <c r="C7" s="16" t="s">
        <v>206</v>
      </c>
      <c r="D7" s="15">
        <v>5.2805280528052813E-2</v>
      </c>
      <c r="E7" s="12">
        <f>$G$1</f>
        <v>99</v>
      </c>
      <c r="F7" s="13">
        <v>1</v>
      </c>
      <c r="G7" s="12">
        <f>E7*D7</f>
        <v>5.2277227722772288</v>
      </c>
      <c r="H7" s="56">
        <f>G7*F7</f>
        <v>5.2277227722772288</v>
      </c>
      <c r="I7" s="11">
        <f>VLOOKUP(B7,Ordering!$A$1:$J$45,6,FALSE)</f>
        <v>1</v>
      </c>
      <c r="J7" s="58">
        <f>VLOOKUP(B7,Ordering!$A$1:$J$45,10,FALSE)</f>
        <v>0.74</v>
      </c>
      <c r="K7" s="58">
        <f>((H7/(I7))/1000)</f>
        <v>5.2277227722772289E-3</v>
      </c>
      <c r="L7" s="59">
        <f>J7*K7</f>
        <v>3.8685148514851493E-3</v>
      </c>
    </row>
    <row r="8" spans="1:25" ht="14.85" customHeight="1" x14ac:dyDescent="0.25">
      <c r="A8" s="11"/>
      <c r="B8" s="11" t="s">
        <v>91</v>
      </c>
      <c r="C8" s="16" t="s">
        <v>206</v>
      </c>
      <c r="D8" s="15">
        <v>2.6402640264026399E-2</v>
      </c>
      <c r="E8" s="12">
        <f>$G$1</f>
        <v>99</v>
      </c>
      <c r="F8" s="13">
        <v>1</v>
      </c>
      <c r="G8" s="12">
        <f>E8*D8</f>
        <v>2.6138613861386135</v>
      </c>
      <c r="H8" s="56">
        <f>G8*F8</f>
        <v>2.6138613861386135</v>
      </c>
      <c r="I8" s="11">
        <f>VLOOKUP(B8,Ordering!$A$1:$J$45,6,FALSE)</f>
        <v>1</v>
      </c>
      <c r="J8" s="58">
        <f>VLOOKUP(B8,Ordering!$A$1:$J$45,10,FALSE)</f>
        <v>47</v>
      </c>
      <c r="K8" s="58">
        <f>((H8/(I8))/1000)</f>
        <v>2.6138613861386136E-3</v>
      </c>
      <c r="L8" s="59">
        <f>J8*K8</f>
        <v>0.12285148514851484</v>
      </c>
      <c r="R8" s="35"/>
      <c r="V8" s="63" t="s">
        <v>207</v>
      </c>
      <c r="W8" s="64">
        <v>1</v>
      </c>
      <c r="X8" s="63" t="s">
        <v>205</v>
      </c>
      <c r="Y8" s="65">
        <f>SUM(L5:L8)/Q20</f>
        <v>0.13396467605633802</v>
      </c>
    </row>
    <row r="9" spans="1:25" x14ac:dyDescent="0.25">
      <c r="B9" s="57" t="s">
        <v>191</v>
      </c>
      <c r="C9" s="132" t="s">
        <v>206</v>
      </c>
      <c r="D9" s="127">
        <f>$I$1</f>
        <v>20</v>
      </c>
      <c r="E9" s="133"/>
      <c r="F9" s="133"/>
      <c r="G9" s="134" t="s">
        <v>325</v>
      </c>
      <c r="H9" s="135">
        <f>SUM(H5:H8)</f>
        <v>1987.8415841584158</v>
      </c>
      <c r="J9" s="19"/>
      <c r="K9" s="19"/>
      <c r="L9" s="19"/>
    </row>
    <row r="10" spans="1:25" x14ac:dyDescent="0.25">
      <c r="J10" s="19"/>
      <c r="K10" s="19"/>
      <c r="L10" s="19"/>
    </row>
    <row r="11" spans="1:25" x14ac:dyDescent="0.25">
      <c r="M11" s="72"/>
      <c r="N11" s="22"/>
    </row>
    <row r="12" spans="1:25" ht="14.85" customHeight="1" x14ac:dyDescent="0.25">
      <c r="M12" s="72"/>
      <c r="N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97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99</v>
      </c>
    </row>
    <row r="21" spans="11:17" x14ac:dyDescent="0.25">
      <c r="P21" s="61" t="s">
        <v>205</v>
      </c>
      <c r="Q21" s="62">
        <f>SUM(L5:L8)</f>
        <v>13.262502929577465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>
    <tabColor theme="6" tint="-0.249977111117893"/>
    <pageSetUpPr fitToPage="1"/>
  </sheetPr>
  <dimension ref="A1:Y27"/>
  <sheetViews>
    <sheetView zoomScale="85" zoomScaleNormal="85" zoomScaleSheetLayoutView="100" workbookViewId="0">
      <selection activeCell="D40" sqref="D4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223</v>
      </c>
      <c r="F1" s="17" t="s">
        <v>190</v>
      </c>
      <c r="G1" s="10">
        <f>D1/B1</f>
        <v>223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221</v>
      </c>
    </row>
    <row r="2" spans="1:25" ht="14.25" customHeight="1" x14ac:dyDescent="0.25">
      <c r="A2" s="39"/>
      <c r="B2" s="152" t="s">
        <v>238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6" t="s">
        <v>239</v>
      </c>
      <c r="C3" s="137"/>
      <c r="D3" s="137"/>
      <c r="E3" s="137"/>
      <c r="F3" s="137"/>
      <c r="G3" s="137"/>
      <c r="H3" s="157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1"/>
      <c r="B5" s="11" t="s">
        <v>128</v>
      </c>
      <c r="C5" s="16" t="s">
        <v>206</v>
      </c>
      <c r="D5" s="15">
        <v>0.28843750000000001</v>
      </c>
      <c r="E5" s="12">
        <f t="shared" ref="E5:E10" si="0">$G$1</f>
        <v>223</v>
      </c>
      <c r="F5" s="13">
        <v>1</v>
      </c>
      <c r="G5" s="12">
        <f t="shared" ref="G5:G10" si="1">E5*D5</f>
        <v>64.321562499999999</v>
      </c>
      <c r="H5" s="56">
        <f t="shared" ref="H5:H10" si="2">G5*F5</f>
        <v>64.321562499999999</v>
      </c>
      <c r="I5" s="11">
        <f>VLOOKUP(B5,Ordering!$A$1:$J$45,6,FALSE)</f>
        <v>0.43</v>
      </c>
      <c r="J5" s="58">
        <f>VLOOKUP(B5,Ordering!$A$1:$J$45,10,FALSE)</f>
        <v>3.333333333333333</v>
      </c>
      <c r="K5" s="58">
        <f t="shared" ref="K5:K10" si="3">((H5/(I5))/1000)</f>
        <v>0.14958502906976745</v>
      </c>
      <c r="L5" s="59">
        <f t="shared" ref="L5:L10" si="4">J5*K5</f>
        <v>0.49861676356589146</v>
      </c>
    </row>
    <row r="6" spans="1:25" ht="14.85" customHeight="1" x14ac:dyDescent="0.25">
      <c r="A6" s="11"/>
      <c r="B6" s="11" t="s">
        <v>133</v>
      </c>
      <c r="C6" s="16" t="s">
        <v>206</v>
      </c>
      <c r="D6" s="15">
        <v>0.2290625</v>
      </c>
      <c r="E6" s="12">
        <f t="shared" si="0"/>
        <v>223</v>
      </c>
      <c r="F6" s="13">
        <v>1</v>
      </c>
      <c r="G6" s="12">
        <f t="shared" si="1"/>
        <v>51.080937499999997</v>
      </c>
      <c r="H6" s="56">
        <f t="shared" si="2"/>
        <v>51.080937499999997</v>
      </c>
      <c r="I6" s="11">
        <f>VLOOKUP(B6,Ordering!$A$1:$J$45,6,FALSE)</f>
        <v>0.94</v>
      </c>
      <c r="J6" s="58">
        <f>VLOOKUP(B6,Ordering!$A$1:$J$45,10,FALSE)</f>
        <v>3.6363636363636371</v>
      </c>
      <c r="K6" s="58">
        <f t="shared" si="3"/>
        <v>5.4341422872340422E-2</v>
      </c>
      <c r="L6" s="59">
        <f t="shared" si="4"/>
        <v>0.19760517408123796</v>
      </c>
    </row>
    <row r="7" spans="1:25" ht="23.1" customHeight="1" x14ac:dyDescent="0.35">
      <c r="A7" s="11"/>
      <c r="B7" s="11" t="s">
        <v>23</v>
      </c>
      <c r="C7" s="16" t="s">
        <v>206</v>
      </c>
      <c r="D7" s="15">
        <v>21.875</v>
      </c>
      <c r="E7" s="12">
        <f t="shared" si="0"/>
        <v>223</v>
      </c>
      <c r="F7" s="13">
        <v>1</v>
      </c>
      <c r="G7" s="12">
        <f t="shared" si="1"/>
        <v>4878.125</v>
      </c>
      <c r="H7" s="56">
        <f t="shared" si="2"/>
        <v>4878.125</v>
      </c>
      <c r="I7" s="11">
        <f>VLOOKUP(B7,Ordering!$A$1:$J$45,6,FALSE)</f>
        <v>1</v>
      </c>
      <c r="J7" s="58">
        <f>VLOOKUP(B7,Ordering!$A$1:$J$45,10,FALSE)</f>
        <v>6.6959999999999997</v>
      </c>
      <c r="K7" s="58">
        <f t="shared" si="3"/>
        <v>4.8781249999999998</v>
      </c>
      <c r="L7" s="59">
        <f t="shared" si="4"/>
        <v>32.663924999999999</v>
      </c>
      <c r="R7" s="42"/>
    </row>
    <row r="8" spans="1:25" ht="14.85" customHeight="1" x14ac:dyDescent="0.25">
      <c r="A8" s="11"/>
      <c r="B8" s="11" t="s">
        <v>80</v>
      </c>
      <c r="C8" s="16" t="s">
        <v>206</v>
      </c>
      <c r="D8" s="15">
        <v>3.125E-2</v>
      </c>
      <c r="E8" s="12">
        <f t="shared" si="0"/>
        <v>223</v>
      </c>
      <c r="F8" s="13">
        <v>1</v>
      </c>
      <c r="G8" s="12">
        <f t="shared" si="1"/>
        <v>6.96875</v>
      </c>
      <c r="H8" s="56">
        <f t="shared" si="2"/>
        <v>6.96875</v>
      </c>
      <c r="I8" s="11">
        <f>VLOOKUP(B8,Ordering!$A$1:$J$45,6,FALSE)</f>
        <v>1</v>
      </c>
      <c r="J8" s="58">
        <f>VLOOKUP(B8,Ordering!$A$1:$J$45,10,FALSE)</f>
        <v>8</v>
      </c>
      <c r="K8" s="58">
        <f t="shared" si="3"/>
        <v>6.9687500000000001E-3</v>
      </c>
      <c r="L8" s="59">
        <f t="shared" si="4"/>
        <v>5.5750000000000001E-2</v>
      </c>
      <c r="V8" s="63" t="s">
        <v>207</v>
      </c>
      <c r="W8" s="64">
        <v>1</v>
      </c>
      <c r="X8" s="63" t="s">
        <v>205</v>
      </c>
      <c r="Y8" s="65">
        <f>SUM(L5:L10)/Q20</f>
        <v>0.14993957146926967</v>
      </c>
    </row>
    <row r="9" spans="1:25" ht="14.85" customHeight="1" x14ac:dyDescent="0.25">
      <c r="A9" s="11"/>
      <c r="B9" s="11" t="s">
        <v>66</v>
      </c>
      <c r="C9" s="16" t="s">
        <v>36</v>
      </c>
      <c r="D9" s="15">
        <v>12.5</v>
      </c>
      <c r="E9" s="12">
        <f t="shared" si="0"/>
        <v>223</v>
      </c>
      <c r="F9" s="13">
        <v>1</v>
      </c>
      <c r="G9" s="12">
        <f t="shared" si="1"/>
        <v>2787.5</v>
      </c>
      <c r="H9" s="56">
        <f t="shared" si="2"/>
        <v>2787.5</v>
      </c>
      <c r="I9" s="11">
        <f>VLOOKUP(B9,Ordering!$A$1:$J$45,6,FALSE)</f>
        <v>1</v>
      </c>
      <c r="J9" s="58">
        <f>VLOOKUP(B9,Ordering!$A$1:$J$45,10,FALSE)</f>
        <v>0</v>
      </c>
      <c r="K9" s="58">
        <f t="shared" si="3"/>
        <v>2.7875000000000001</v>
      </c>
      <c r="L9" s="59">
        <f t="shared" si="4"/>
        <v>0</v>
      </c>
    </row>
    <row r="10" spans="1:25" ht="14.85" customHeight="1" x14ac:dyDescent="0.25">
      <c r="A10" s="11"/>
      <c r="B10" s="11" t="s">
        <v>88</v>
      </c>
      <c r="C10" s="16" t="s">
        <v>206</v>
      </c>
      <c r="D10" s="15">
        <v>0.125</v>
      </c>
      <c r="E10" s="12">
        <f t="shared" si="0"/>
        <v>223</v>
      </c>
      <c r="F10" s="13">
        <v>1</v>
      </c>
      <c r="G10" s="12">
        <f t="shared" si="1"/>
        <v>27.875</v>
      </c>
      <c r="H10" s="56">
        <f t="shared" si="2"/>
        <v>27.875</v>
      </c>
      <c r="I10" s="11">
        <f>VLOOKUP(B10,Ordering!$A$1:$J$45,6,FALSE)</f>
        <v>1</v>
      </c>
      <c r="J10" s="58">
        <f>VLOOKUP(B10,Ordering!$A$1:$J$45,10,FALSE)</f>
        <v>0.74</v>
      </c>
      <c r="K10" s="58">
        <f t="shared" si="3"/>
        <v>2.7875E-2</v>
      </c>
      <c r="L10" s="59">
        <f t="shared" si="4"/>
        <v>2.06275E-2</v>
      </c>
    </row>
    <row r="11" spans="1:25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7815.8712500000001</v>
      </c>
      <c r="M11" s="72"/>
      <c r="N11" s="22"/>
    </row>
    <row r="12" spans="1:25" ht="14.85" customHeight="1" x14ac:dyDescent="0.25">
      <c r="M12" s="72"/>
      <c r="N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221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223</v>
      </c>
    </row>
    <row r="21" spans="11:17" x14ac:dyDescent="0.25">
      <c r="P21" s="61" t="s">
        <v>205</v>
      </c>
      <c r="Q21" s="62">
        <f>SUM(L5:L10)</f>
        <v>33.436524437647137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>
    <tabColor theme="6" tint="-0.249977111117893"/>
    <pageSetUpPr fitToPage="1"/>
  </sheetPr>
  <dimension ref="A1:V27"/>
  <sheetViews>
    <sheetView zoomScaleNormal="100" zoomScaleSheetLayoutView="100" workbookViewId="0">
      <selection activeCell="D40" sqref="D4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3" max="15" width="3.85546875" customWidth="1"/>
    <col min="19" max="19" width="8.42578125" bestFit="1" customWidth="1"/>
  </cols>
  <sheetData>
    <row r="1" spans="1:22" ht="25.35" customHeight="1" x14ac:dyDescent="0.25">
      <c r="A1" s="17" t="s">
        <v>188</v>
      </c>
      <c r="B1" s="9">
        <v>1</v>
      </c>
      <c r="D1" s="8">
        <f>Q20</f>
        <v>134</v>
      </c>
      <c r="E1" s="17" t="s">
        <v>189</v>
      </c>
      <c r="F1" s="10">
        <f>Q20</f>
        <v>134</v>
      </c>
      <c r="H1" s="17" t="s">
        <v>224</v>
      </c>
      <c r="I1" s="21">
        <v>20</v>
      </c>
      <c r="J1" s="1"/>
      <c r="U1" s="93" t="s">
        <v>20</v>
      </c>
      <c r="V1" s="94">
        <v>132</v>
      </c>
    </row>
    <row r="2" spans="1:22" ht="14.25" customHeight="1" x14ac:dyDescent="0.25">
      <c r="A2" s="39"/>
      <c r="B2" s="155" t="s">
        <v>231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41"/>
      <c r="B3" s="149" t="s">
        <v>240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42</v>
      </c>
      <c r="C5" s="16" t="s">
        <v>206</v>
      </c>
      <c r="D5" s="15">
        <v>16.7</v>
      </c>
      <c r="E5" s="12">
        <f>$F$1</f>
        <v>134</v>
      </c>
      <c r="F5" s="13">
        <v>1</v>
      </c>
      <c r="G5" s="12">
        <f>E5*D5</f>
        <v>2237.7999999999997</v>
      </c>
      <c r="H5" s="56">
        <f>G5*F5</f>
        <v>2237.7999999999997</v>
      </c>
      <c r="I5" s="11">
        <f>VLOOKUP(B5,Ordering!$A$1:$J$45,6,FALSE)</f>
        <v>1</v>
      </c>
      <c r="J5" s="58">
        <f>VLOOKUP(B5,Ordering!$A$1:$J$45,10,FALSE)</f>
        <v>6.4189189189189184</v>
      </c>
      <c r="K5" s="58">
        <f>H5/I5</f>
        <v>2237.7999999999997</v>
      </c>
      <c r="L5" s="59">
        <f>J5*K5</f>
        <v>14364.256756756753</v>
      </c>
    </row>
    <row r="6" spans="1:22" ht="14.85" customHeight="1" x14ac:dyDescent="0.25">
      <c r="A6" s="11"/>
      <c r="B6" s="11" t="s">
        <v>61</v>
      </c>
      <c r="C6" s="16" t="s">
        <v>36</v>
      </c>
      <c r="D6" s="15">
        <v>0.3</v>
      </c>
      <c r="E6" s="12">
        <f t="shared" ref="E6:E8" si="0">$F$1</f>
        <v>134</v>
      </c>
      <c r="F6" s="13">
        <v>1</v>
      </c>
      <c r="G6" s="12">
        <f>E6*D6</f>
        <v>40.199999999999996</v>
      </c>
      <c r="H6" s="56">
        <f>G6*F6</f>
        <v>40.199999999999996</v>
      </c>
      <c r="I6" s="11">
        <f>VLOOKUP(B6,Ordering!$A$1:$J$45,6,FALSE)</f>
        <v>1</v>
      </c>
      <c r="J6" s="58">
        <f>VLOOKUP(B6,Ordering!$A$1:$J$45,10,FALSE)</f>
        <v>3.25</v>
      </c>
      <c r="K6" s="58">
        <f>H6/I6</f>
        <v>40.199999999999996</v>
      </c>
      <c r="L6" s="59">
        <f>J6*K6</f>
        <v>130.64999999999998</v>
      </c>
    </row>
    <row r="7" spans="1:22" ht="14.85" customHeight="1" x14ac:dyDescent="0.25">
      <c r="A7" s="11"/>
      <c r="B7" s="11" t="s">
        <v>46</v>
      </c>
      <c r="C7" s="16" t="s">
        <v>206</v>
      </c>
      <c r="D7" s="15">
        <v>1</v>
      </c>
      <c r="E7" s="12">
        <f t="shared" si="0"/>
        <v>134</v>
      </c>
      <c r="F7" s="13">
        <v>1</v>
      </c>
      <c r="G7" s="12">
        <f>E7*D7</f>
        <v>134</v>
      </c>
      <c r="H7" s="56">
        <f>G7*F7</f>
        <v>134</v>
      </c>
      <c r="I7" s="11">
        <f>VLOOKUP(B7,Ordering!$A$1:$J$45,6,FALSE)</f>
        <v>1</v>
      </c>
      <c r="J7" s="58">
        <f>VLOOKUP(B7,Ordering!$A$1:$J$45,10,FALSE)</f>
        <v>11.243386243386244</v>
      </c>
      <c r="K7" s="58">
        <f>H7/I7</f>
        <v>134</v>
      </c>
      <c r="L7" s="59">
        <f>J7*K7</f>
        <v>1506.6137566137565</v>
      </c>
      <c r="S7" s="35"/>
    </row>
    <row r="8" spans="1:22" ht="14.85" customHeight="1" x14ac:dyDescent="0.25">
      <c r="A8" s="11"/>
      <c r="B8" s="11" t="s">
        <v>57</v>
      </c>
      <c r="C8" s="16" t="s">
        <v>36</v>
      </c>
      <c r="D8" s="15">
        <v>2</v>
      </c>
      <c r="E8" s="12">
        <f t="shared" si="0"/>
        <v>134</v>
      </c>
      <c r="F8" s="13">
        <v>1</v>
      </c>
      <c r="G8" s="12">
        <f>E8*D8</f>
        <v>268</v>
      </c>
      <c r="H8" s="56">
        <f>G8*F8</f>
        <v>268</v>
      </c>
      <c r="I8" s="77">
        <f>VLOOKUP(B8,Ordering!$A$1:$J$45,6,FALSE)</f>
        <v>1</v>
      </c>
      <c r="J8" s="78">
        <f>VLOOKUP(B8,Ordering!$A$1:$J$45,10,FALSE)</f>
        <v>58.685446009389672</v>
      </c>
      <c r="K8" s="78">
        <f>H8/I8</f>
        <v>268</v>
      </c>
      <c r="L8" s="79">
        <f>J8*K8</f>
        <v>15727.699530516433</v>
      </c>
    </row>
    <row r="9" spans="1:22" x14ac:dyDescent="0.25">
      <c r="B9" s="57" t="s">
        <v>191</v>
      </c>
      <c r="C9" s="132" t="s">
        <v>206</v>
      </c>
      <c r="D9" s="127">
        <f>$I$1</f>
        <v>20</v>
      </c>
      <c r="E9" s="133"/>
      <c r="F9" s="133"/>
      <c r="G9" s="134" t="s">
        <v>325</v>
      </c>
      <c r="H9" s="135">
        <f>SUM(H5:H8)</f>
        <v>2679.9999999999995</v>
      </c>
      <c r="I9" s="81"/>
      <c r="J9" s="82"/>
      <c r="K9" s="82"/>
      <c r="L9" s="83"/>
      <c r="S9" s="35"/>
    </row>
    <row r="10" spans="1:22" x14ac:dyDescent="0.25">
      <c r="I10" s="1"/>
      <c r="J10" s="80"/>
      <c r="K10" s="80"/>
      <c r="L10" s="19"/>
    </row>
    <row r="11" spans="1:22" x14ac:dyDescent="0.25">
      <c r="M11" s="19"/>
    </row>
    <row r="12" spans="1:22" ht="14.85" customHeight="1" x14ac:dyDescent="0.25"/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132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134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8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>
    <tabColor theme="6" tint="-0.249977111117893"/>
    <pageSetUpPr fitToPage="1"/>
  </sheetPr>
  <dimension ref="A1:V27"/>
  <sheetViews>
    <sheetView topLeftCell="B1" zoomScale="83" zoomScaleNormal="83" zoomScaleSheetLayoutView="100" workbookViewId="0">
      <selection activeCell="D40" sqref="D4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6" max="16" width="7.85546875" bestFit="1" customWidth="1"/>
    <col min="18" max="18" width="22.42578125" customWidth="1"/>
    <col min="19" max="19" width="14.85546875" customWidth="1"/>
  </cols>
  <sheetData>
    <row r="1" spans="1:22" ht="25.35" customHeight="1" x14ac:dyDescent="0.25">
      <c r="A1" s="17" t="s">
        <v>222</v>
      </c>
      <c r="B1" s="9">
        <v>20</v>
      </c>
      <c r="D1" s="8">
        <f>Q20</f>
        <v>134</v>
      </c>
      <c r="E1" s="17" t="s">
        <v>223</v>
      </c>
      <c r="F1" s="10">
        <f>Q20</f>
        <v>134</v>
      </c>
      <c r="H1" s="17" t="s">
        <v>191</v>
      </c>
      <c r="I1" s="21">
        <v>20</v>
      </c>
      <c r="J1" s="1"/>
      <c r="K1" s="18" t="s">
        <v>192</v>
      </c>
      <c r="U1" s="93" t="s">
        <v>20</v>
      </c>
      <c r="V1" s="94">
        <v>132</v>
      </c>
    </row>
    <row r="2" spans="1:22" ht="14.25" customHeight="1" x14ac:dyDescent="0.25">
      <c r="A2" s="39"/>
      <c r="B2" s="155" t="s">
        <v>225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41"/>
      <c r="B3" s="149" t="s">
        <v>240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42</v>
      </c>
      <c r="C5" s="16" t="s">
        <v>206</v>
      </c>
      <c r="D5" s="15">
        <v>10.75268817204301</v>
      </c>
      <c r="E5" s="12">
        <f>$F$1</f>
        <v>134</v>
      </c>
      <c r="F5" s="13">
        <v>1</v>
      </c>
      <c r="G5" s="12">
        <f>E5*D5</f>
        <v>1440.8602150537633</v>
      </c>
      <c r="H5" s="56">
        <f>G5*F5</f>
        <v>1440.8602150537633</v>
      </c>
      <c r="I5" s="11">
        <f>VLOOKUP(B5,Ordering!$A$1:$J$45,6,FALSE)</f>
        <v>1</v>
      </c>
      <c r="J5" s="58">
        <f>VLOOKUP(B5,Ordering!$A$1:$J$45,10,FALSE)</f>
        <v>6.4189189189189184</v>
      </c>
      <c r="K5" s="58">
        <f>H5/I5</f>
        <v>1440.8602150537633</v>
      </c>
      <c r="L5" s="59">
        <f>J5*K5</f>
        <v>9248.7648939261835</v>
      </c>
    </row>
    <row r="6" spans="1:22" ht="14.85" customHeight="1" x14ac:dyDescent="0.25">
      <c r="A6" s="11"/>
      <c r="B6" s="11" t="s">
        <v>61</v>
      </c>
      <c r="C6" s="16" t="s">
        <v>36</v>
      </c>
      <c r="D6" s="15">
        <v>7.311827956989247</v>
      </c>
      <c r="E6" s="12">
        <f>$F$1</f>
        <v>134</v>
      </c>
      <c r="F6" s="13">
        <v>1</v>
      </c>
      <c r="G6" s="12">
        <f>E6*D6</f>
        <v>979.78494623655911</v>
      </c>
      <c r="H6" s="56">
        <f>G6*F6</f>
        <v>979.78494623655911</v>
      </c>
      <c r="I6" s="11">
        <f>VLOOKUP(B6,Ordering!$A$1:$J$45,6,FALSE)</f>
        <v>1</v>
      </c>
      <c r="J6" s="58">
        <f>VLOOKUP(B6,Ordering!$A$1:$J$45,10,FALSE)</f>
        <v>3.25</v>
      </c>
      <c r="K6" s="58">
        <f>H6/I6</f>
        <v>979.78494623655911</v>
      </c>
      <c r="L6" s="59">
        <f>J6*K6</f>
        <v>3184.3010752688169</v>
      </c>
    </row>
    <row r="7" spans="1:22" ht="14.85" customHeight="1" x14ac:dyDescent="0.25">
      <c r="A7" s="11"/>
      <c r="B7" s="11" t="s">
        <v>46</v>
      </c>
      <c r="C7" s="16" t="s">
        <v>206</v>
      </c>
      <c r="D7" s="15">
        <v>0.78853046594982079</v>
      </c>
      <c r="E7" s="12">
        <f>$F$1</f>
        <v>134</v>
      </c>
      <c r="F7" s="13">
        <v>1</v>
      </c>
      <c r="G7" s="12">
        <f>E7*D7</f>
        <v>105.66308243727599</v>
      </c>
      <c r="H7" s="56">
        <f>G7*F7</f>
        <v>105.66308243727599</v>
      </c>
      <c r="I7" s="11">
        <f>VLOOKUP(B7,Ordering!$A$1:$J$45,6,FALSE)</f>
        <v>1</v>
      </c>
      <c r="J7" s="58">
        <f>VLOOKUP(B7,Ordering!$A$1:$J$45,10,FALSE)</f>
        <v>11.243386243386244</v>
      </c>
      <c r="K7" s="58">
        <f>H7/I7</f>
        <v>105.66308243727599</v>
      </c>
      <c r="L7" s="59">
        <f>J7*K7</f>
        <v>1188.0108475090556</v>
      </c>
    </row>
    <row r="8" spans="1:22" ht="14.85" customHeight="1" x14ac:dyDescent="0.25">
      <c r="A8" s="11"/>
      <c r="B8" s="11" t="s">
        <v>57</v>
      </c>
      <c r="C8" s="16" t="s">
        <v>36</v>
      </c>
      <c r="D8" s="15">
        <v>1.1469534050179211</v>
      </c>
      <c r="E8" s="12">
        <f>$F$1</f>
        <v>134</v>
      </c>
      <c r="F8" s="13">
        <v>1</v>
      </c>
      <c r="G8" s="12">
        <f>E8*D8</f>
        <v>153.69175627240142</v>
      </c>
      <c r="H8" s="56">
        <f>G8*F8</f>
        <v>153.69175627240142</v>
      </c>
      <c r="I8" s="11">
        <f>VLOOKUP(B8,Ordering!$A$1:$J$45,6,FALSE)</f>
        <v>1</v>
      </c>
      <c r="J8" s="58">
        <f>VLOOKUP(B8,Ordering!$A$1:$J$45,10,FALSE)</f>
        <v>58.685446009389672</v>
      </c>
      <c r="K8" s="58">
        <f>H8/I8</f>
        <v>153.69175627240142</v>
      </c>
      <c r="L8" s="59">
        <f>J8*K8</f>
        <v>9019.4692648122891</v>
      </c>
      <c r="R8" s="35"/>
    </row>
    <row r="9" spans="1:22" x14ac:dyDescent="0.25">
      <c r="B9" s="57" t="s">
        <v>191</v>
      </c>
      <c r="C9" s="132" t="s">
        <v>206</v>
      </c>
      <c r="D9" s="127">
        <f>$I$1</f>
        <v>20</v>
      </c>
      <c r="E9" s="133"/>
      <c r="F9" s="133"/>
      <c r="G9" s="134" t="s">
        <v>325</v>
      </c>
      <c r="H9" s="135">
        <f>SUM(H5:H8)</f>
        <v>2680</v>
      </c>
    </row>
    <row r="12" spans="1:22" ht="14.85" customHeight="1" x14ac:dyDescent="0.25"/>
    <row r="13" spans="1:22" ht="14.85" customHeight="1" x14ac:dyDescent="0.25"/>
    <row r="14" spans="1:22" ht="14.85" customHeight="1" x14ac:dyDescent="0.25"/>
    <row r="15" spans="1:22" ht="14.85" customHeight="1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132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134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3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56">
    <tabColor theme="6" tint="-0.249977111117893"/>
    <pageSetUpPr fitToPage="1"/>
  </sheetPr>
  <dimension ref="A1:Y27"/>
  <sheetViews>
    <sheetView zoomScale="70" zoomScaleNormal="70" workbookViewId="0">
      <selection activeCell="D40" sqref="D40"/>
    </sheetView>
  </sheetViews>
  <sheetFormatPr defaultRowHeight="15" x14ac:dyDescent="0.25"/>
  <cols>
    <col min="1" max="1" width="21.7109375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9" max="9" width="10.28515625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163</v>
      </c>
      <c r="F1" s="17" t="s">
        <v>190</v>
      </c>
      <c r="G1" s="10">
        <f>D1/B1</f>
        <v>163</v>
      </c>
      <c r="H1" s="17" t="s">
        <v>191</v>
      </c>
      <c r="I1" s="21">
        <v>20</v>
      </c>
      <c r="J1" s="1"/>
      <c r="K1" s="23" t="s">
        <v>192</v>
      </c>
      <c r="U1" s="93" t="s">
        <v>20</v>
      </c>
      <c r="V1" s="94">
        <v>161</v>
      </c>
    </row>
    <row r="2" spans="1:25" ht="14.25" customHeight="1" x14ac:dyDescent="0.25">
      <c r="A2" s="39"/>
      <c r="B2" s="152" t="s">
        <v>285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255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/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274</v>
      </c>
      <c r="C5" s="16" t="s">
        <v>206</v>
      </c>
      <c r="D5" s="107">
        <v>8.4676056338028172</v>
      </c>
      <c r="E5" s="108">
        <f>$G$1</f>
        <v>163</v>
      </c>
      <c r="F5" s="109">
        <v>1</v>
      </c>
      <c r="G5" s="108">
        <f>E5*D5</f>
        <v>1380.2197183098592</v>
      </c>
      <c r="H5" s="110">
        <f>G5*F5</f>
        <v>1380.2197183098592</v>
      </c>
      <c r="I5" s="106">
        <f>VLOOKUP(B5,Ordering!$A$1:$J$50,6,FALSE)</f>
        <v>0.84</v>
      </c>
      <c r="J5" s="111">
        <f>VLOOKUP(B5,Ordering!$A$1:$J$50,10,FALSE)</f>
        <v>2.6</v>
      </c>
      <c r="K5" s="107">
        <f>((H5/(I5))/1000)</f>
        <v>1.6431187122736419</v>
      </c>
      <c r="L5" s="112">
        <f>J5*K5</f>
        <v>4.272108651911469</v>
      </c>
    </row>
    <row r="6" spans="1:25" ht="14.85" customHeight="1" x14ac:dyDescent="0.25">
      <c r="A6" s="106"/>
      <c r="B6" s="106" t="s">
        <v>273</v>
      </c>
      <c r="C6" s="16" t="s">
        <v>206</v>
      </c>
      <c r="D6" s="107">
        <v>8.4676056338028172</v>
      </c>
      <c r="E6" s="108">
        <f>$G$1</f>
        <v>163</v>
      </c>
      <c r="F6" s="109">
        <v>1</v>
      </c>
      <c r="G6" s="108">
        <f>E6*D6</f>
        <v>1380.2197183098592</v>
      </c>
      <c r="H6" s="110">
        <f>G6*F6</f>
        <v>1380.2197183098592</v>
      </c>
      <c r="I6" s="106">
        <f>VLOOKUP(B6,Ordering!$A$1:$J$50,6,FALSE)</f>
        <v>0.88</v>
      </c>
      <c r="J6" s="111">
        <f>VLOOKUP(B6,Ordering!$A$1:$J$50,10,FALSE)</f>
        <v>3</v>
      </c>
      <c r="K6" s="107">
        <f>((H6/(I6))/1000)</f>
        <v>1.5684314980793854</v>
      </c>
      <c r="L6" s="112">
        <f>J6*K6</f>
        <v>4.7052944942381565</v>
      </c>
    </row>
    <row r="7" spans="1:25" ht="14.85" customHeight="1" x14ac:dyDescent="0.25">
      <c r="A7" s="106"/>
      <c r="B7" s="106" t="s">
        <v>267</v>
      </c>
      <c r="C7" s="16" t="s">
        <v>36</v>
      </c>
      <c r="D7" s="107">
        <v>0.56450704225352133</v>
      </c>
      <c r="E7" s="108">
        <f>$G$1</f>
        <v>163</v>
      </c>
      <c r="F7" s="109">
        <v>1</v>
      </c>
      <c r="G7" s="108">
        <f>E7*D7</f>
        <v>92.014647887323974</v>
      </c>
      <c r="H7" s="110">
        <f>G7*F7</f>
        <v>92.014647887323974</v>
      </c>
      <c r="I7" s="106">
        <f>VLOOKUP(B7,Ordering!$A$1:$J$50,6,FALSE)</f>
        <v>1</v>
      </c>
      <c r="J7" s="111">
        <f>VLOOKUP(B7,Ordering!$A$1:$J$50,10,FALSE)</f>
        <v>2.1621621621621623</v>
      </c>
      <c r="K7" s="107">
        <f>((H7/(I7))/1000)</f>
        <v>9.2014647887323969E-2</v>
      </c>
      <c r="L7" s="112">
        <f>J7*K7</f>
        <v>0.19895059002664642</v>
      </c>
      <c r="R7" s="35"/>
    </row>
    <row r="8" spans="1:25" ht="14.85" customHeight="1" x14ac:dyDescent="0.25">
      <c r="A8" s="106"/>
      <c r="B8" s="106" t="s">
        <v>42</v>
      </c>
      <c r="C8" s="16" t="s">
        <v>206</v>
      </c>
      <c r="D8" s="107">
        <v>1.9757746478873237</v>
      </c>
      <c r="E8" s="108">
        <f>$G$1</f>
        <v>163</v>
      </c>
      <c r="F8" s="109">
        <v>1</v>
      </c>
      <c r="G8" s="108">
        <f>E8*D8</f>
        <v>322.05126760563377</v>
      </c>
      <c r="H8" s="110">
        <f>G8*F8</f>
        <v>322.05126760563377</v>
      </c>
      <c r="I8" s="106">
        <f>VLOOKUP(B8,Ordering!$A$1:$J$50,6,FALSE)</f>
        <v>1</v>
      </c>
      <c r="J8" s="111">
        <f>VLOOKUP(B8,Ordering!$A$1:$J$50,10,FALSE)</f>
        <v>6.4189189189189184</v>
      </c>
      <c r="K8" s="107">
        <f>((H8/(I8))/1000)</f>
        <v>0.3220512676056338</v>
      </c>
      <c r="L8" s="112">
        <f>J8*K8</f>
        <v>2.0672209744956223</v>
      </c>
      <c r="V8" s="63" t="s">
        <v>207</v>
      </c>
      <c r="W8" s="64">
        <v>1</v>
      </c>
      <c r="X8" s="63" t="s">
        <v>205</v>
      </c>
      <c r="Y8" s="65">
        <f>(SUM(L5:L9)/Q20)*W8</f>
        <v>7.5663937771202422E-2</v>
      </c>
    </row>
    <row r="9" spans="1:25" ht="14.85" customHeight="1" x14ac:dyDescent="0.25">
      <c r="A9" s="124" t="s">
        <v>322</v>
      </c>
      <c r="B9" s="106" t="s">
        <v>320</v>
      </c>
      <c r="C9" s="16" t="s">
        <v>321</v>
      </c>
      <c r="D9" s="107">
        <v>0.56450704225352133</v>
      </c>
      <c r="E9" s="108">
        <f>$G$1</f>
        <v>163</v>
      </c>
      <c r="F9" s="109">
        <v>1</v>
      </c>
      <c r="G9" s="108">
        <f>E9*D9</f>
        <v>92.014647887323974</v>
      </c>
      <c r="H9" s="110">
        <f>G9*F9</f>
        <v>92.014647887323974</v>
      </c>
      <c r="I9" s="106">
        <f>VLOOKUP(B9,Ordering!$A$1:$J$50,6,FALSE)</f>
        <v>0.38</v>
      </c>
      <c r="J9" s="111">
        <f>VLOOKUP(B9,Ordering!$A$1:$J$50,10,FALSE)</f>
        <v>4.5</v>
      </c>
      <c r="K9" s="107">
        <f>((H9/(I9))/1000)</f>
        <v>0.24214381022979992</v>
      </c>
      <c r="L9" s="112">
        <f>J9*K9</f>
        <v>1.0896471460340997</v>
      </c>
    </row>
    <row r="10" spans="1:25" ht="14.85" customHeight="1" x14ac:dyDescent="0.25">
      <c r="A10" s="11"/>
      <c r="B10" s="57" t="s">
        <v>191</v>
      </c>
      <c r="C10" s="132" t="s">
        <v>206</v>
      </c>
      <c r="D10" s="127">
        <f>$I$1</f>
        <v>20</v>
      </c>
      <c r="E10" s="133"/>
      <c r="F10" s="133"/>
      <c r="G10" s="134" t="s">
        <v>325</v>
      </c>
      <c r="H10" s="135">
        <f>SUM(H5:H9)</f>
        <v>3266.52</v>
      </c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161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163</v>
      </c>
    </row>
    <row r="21" spans="11:17" x14ac:dyDescent="0.25">
      <c r="P21" s="61" t="s">
        <v>205</v>
      </c>
      <c r="Q21" s="62">
        <f>SUM(L5:L9)</f>
        <v>12.333221856705995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C14AF-8F33-4416-A9B0-3704A17C4BBC}">
  <sheetPr codeName="Sheet31">
    <tabColor theme="6" tint="-0.249977111117893"/>
    <pageSetUpPr fitToPage="1"/>
  </sheetPr>
  <dimension ref="A1:Y27"/>
  <sheetViews>
    <sheetView topLeftCell="B1" zoomScale="70" zoomScaleNormal="70" workbookViewId="0">
      <selection activeCell="D40" sqref="D40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163</v>
      </c>
      <c r="F1" s="17" t="s">
        <v>190</v>
      </c>
      <c r="G1" s="10">
        <f>D1/B1</f>
        <v>163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161</v>
      </c>
    </row>
    <row r="2" spans="1:25" ht="14.25" customHeight="1" x14ac:dyDescent="0.25">
      <c r="A2" s="39"/>
      <c r="B2" s="152" t="s">
        <v>278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289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42</v>
      </c>
      <c r="C5" s="16" t="s">
        <v>206</v>
      </c>
      <c r="D5" s="107">
        <v>29.005524861878463</v>
      </c>
      <c r="E5" s="108">
        <f>$G$1</f>
        <v>163</v>
      </c>
      <c r="F5" s="109">
        <v>1</v>
      </c>
      <c r="G5" s="108">
        <f>E5*D5</f>
        <v>4727.9005524861896</v>
      </c>
      <c r="H5" s="110">
        <f>G5*F5</f>
        <v>4727.9005524861896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4.7279005524861892</v>
      </c>
      <c r="L5" s="112">
        <f>J5*K5</f>
        <v>30.348010303120805</v>
      </c>
    </row>
    <row r="6" spans="1:25" ht="14.85" customHeight="1" x14ac:dyDescent="0.25">
      <c r="A6" s="106"/>
      <c r="B6" s="106" t="s">
        <v>263</v>
      </c>
      <c r="C6" s="16" t="s">
        <v>206</v>
      </c>
      <c r="D6" s="107">
        <v>1.9337016574585641</v>
      </c>
      <c r="E6" s="108">
        <f>$G$1</f>
        <v>163</v>
      </c>
      <c r="F6" s="109">
        <v>1</v>
      </c>
      <c r="G6" s="108">
        <f>E6*D6</f>
        <v>315.19337016574593</v>
      </c>
      <c r="H6" s="110">
        <f>G6*F6</f>
        <v>315.19337016574593</v>
      </c>
      <c r="I6" s="106">
        <f>VLOOKUP(B6,Ordering!$A$1:$J$45,6,FALSE)</f>
        <v>1</v>
      </c>
      <c r="J6" s="111">
        <f>VLOOKUP(B6,Ordering!$A$1:$J$45,10,FALSE)</f>
        <v>10.5</v>
      </c>
      <c r="K6" s="107">
        <f>((H6/(I6))/1000)</f>
        <v>0.31519337016574595</v>
      </c>
      <c r="L6" s="112">
        <f>J6*K6</f>
        <v>3.3095303867403323</v>
      </c>
    </row>
    <row r="7" spans="1:25" ht="14.85" customHeight="1" x14ac:dyDescent="0.25">
      <c r="A7" s="106"/>
      <c r="B7" s="106" t="s">
        <v>34</v>
      </c>
      <c r="C7" s="16" t="s">
        <v>36</v>
      </c>
      <c r="D7" s="107">
        <v>2.9005524861878462</v>
      </c>
      <c r="E7" s="108">
        <f>$G$1</f>
        <v>163</v>
      </c>
      <c r="F7" s="109">
        <v>1</v>
      </c>
      <c r="G7" s="108">
        <f>E7*D7</f>
        <v>472.79005524861896</v>
      </c>
      <c r="H7" s="110">
        <f>G7*F7</f>
        <v>472.79005524861896</v>
      </c>
      <c r="I7" s="106">
        <f>VLOOKUP(B7,Ordering!$A$1:$J$45,6,FALSE)</f>
        <v>1</v>
      </c>
      <c r="J7" s="111">
        <f>VLOOKUP(B7,Ordering!$A$1:$J$45,10,FALSE)</f>
        <v>5</v>
      </c>
      <c r="K7" s="107">
        <f>((H7/(I7))/1000)</f>
        <v>0.47279005524861895</v>
      </c>
      <c r="L7" s="112">
        <f>J7*K7</f>
        <v>2.3639502762430946</v>
      </c>
      <c r="R7" s="35"/>
    </row>
    <row r="8" spans="1:25" ht="14.85" customHeight="1" x14ac:dyDescent="0.25">
      <c r="A8" s="106"/>
      <c r="B8" s="106" t="s">
        <v>46</v>
      </c>
      <c r="C8" s="16" t="s">
        <v>206</v>
      </c>
      <c r="D8" s="107">
        <v>0.96685082872928163</v>
      </c>
      <c r="E8" s="108">
        <f>$G$1</f>
        <v>163</v>
      </c>
      <c r="F8" s="109">
        <v>1</v>
      </c>
      <c r="G8" s="108">
        <f>E8*D8</f>
        <v>157.59668508287291</v>
      </c>
      <c r="H8" s="110">
        <f>G8*F8</f>
        <v>157.59668508287291</v>
      </c>
      <c r="I8" s="106">
        <f>VLOOKUP(B8,Ordering!$A$1:$J$45,6,FALSE)</f>
        <v>1</v>
      </c>
      <c r="J8" s="111">
        <f>VLOOKUP(B8,Ordering!$A$1:$J$45,10,FALSE)</f>
        <v>11.243386243386244</v>
      </c>
      <c r="K8" s="107">
        <f>((H8/(I8))/1000)</f>
        <v>0.15759668508287292</v>
      </c>
      <c r="L8" s="112">
        <f>J8*K8</f>
        <v>1.7719204010640475</v>
      </c>
      <c r="V8" s="63" t="s">
        <v>207</v>
      </c>
      <c r="W8" s="64">
        <v>1</v>
      </c>
      <c r="X8" s="63" t="s">
        <v>205</v>
      </c>
      <c r="Y8" s="65">
        <f>(SUM(L5:L9)/Q20)*W8</f>
        <v>0.23200451335313216</v>
      </c>
    </row>
    <row r="9" spans="1:25" ht="14.85" customHeight="1" x14ac:dyDescent="0.25">
      <c r="A9" s="106"/>
      <c r="B9" s="106" t="s">
        <v>88</v>
      </c>
      <c r="C9" s="16" t="s">
        <v>206</v>
      </c>
      <c r="D9" s="107">
        <v>0.19337016574585639</v>
      </c>
      <c r="E9" s="108">
        <f>$G$1</f>
        <v>163</v>
      </c>
      <c r="F9" s="109">
        <v>1</v>
      </c>
      <c r="G9" s="108">
        <f>E9*D9</f>
        <v>31.519337016574593</v>
      </c>
      <c r="H9" s="110">
        <f>G9*F9</f>
        <v>31.519337016574593</v>
      </c>
      <c r="I9" s="106">
        <f>VLOOKUP(B9,Ordering!$A$1:$J$45,6,FALSE)</f>
        <v>1</v>
      </c>
      <c r="J9" s="111">
        <f>VLOOKUP(B9,Ordering!$A$1:$J$45,10,FALSE)</f>
        <v>0.74</v>
      </c>
      <c r="K9" s="107">
        <f>((H9/(I9))/1000)</f>
        <v>3.151933701657459E-2</v>
      </c>
      <c r="L9" s="112">
        <f>J9*K9</f>
        <v>2.3324309392265197E-2</v>
      </c>
    </row>
    <row r="10" spans="1:25" ht="14.85" customHeight="1" x14ac:dyDescent="0.25">
      <c r="A10" s="11"/>
      <c r="B10" s="57" t="s">
        <v>191</v>
      </c>
      <c r="C10" s="132" t="s">
        <v>206</v>
      </c>
      <c r="D10" s="127">
        <f>$I$1</f>
        <v>35</v>
      </c>
      <c r="E10" s="133"/>
      <c r="F10" s="133"/>
      <c r="G10" s="134" t="s">
        <v>325</v>
      </c>
      <c r="H10" s="135">
        <f>SUM(H5:H9)</f>
        <v>5705.0000000000018</v>
      </c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161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163</v>
      </c>
    </row>
    <row r="21" spans="11:17" x14ac:dyDescent="0.25">
      <c r="P21" s="61" t="s">
        <v>205</v>
      </c>
      <c r="Q21" s="62">
        <f>SUM(L5:L9)</f>
        <v>37.81673567656054</v>
      </c>
    </row>
    <row r="27" spans="11:17" x14ac:dyDescent="0.25">
      <c r="K27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5" tint="-0.249977111117893"/>
    <pageSetUpPr fitToPage="1"/>
  </sheetPr>
  <dimension ref="A1:W27"/>
  <sheetViews>
    <sheetView topLeftCell="B1" zoomScale="84" zoomScaleNormal="84" zoomScaleSheetLayoutView="100" workbookViewId="0">
      <selection activeCell="B11" sqref="B11:H11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5.140625" customWidth="1"/>
    <col min="19" max="19" width="8.42578125" bestFit="1" customWidth="1"/>
  </cols>
  <sheetData>
    <row r="1" spans="1:23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112</v>
      </c>
      <c r="F1" s="17" t="s">
        <v>190</v>
      </c>
      <c r="G1" s="10">
        <f>D1/B1</f>
        <v>112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110</v>
      </c>
    </row>
    <row r="2" spans="1:23" ht="14.25" customHeight="1" x14ac:dyDescent="0.25">
      <c r="A2" s="41"/>
      <c r="B2" s="152" t="s">
        <v>241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3" ht="14.25" customHeight="1" x14ac:dyDescent="0.25">
      <c r="A3" s="41"/>
      <c r="B3" s="156" t="s">
        <v>242</v>
      </c>
      <c r="C3" s="137"/>
      <c r="D3" s="137"/>
      <c r="E3" s="137"/>
      <c r="F3" s="137"/>
      <c r="G3" s="137"/>
      <c r="H3" s="157"/>
      <c r="I3" s="31"/>
      <c r="J3" s="31"/>
      <c r="K3" s="34"/>
    </row>
    <row r="4" spans="1:23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3" ht="14.85" customHeight="1" x14ac:dyDescent="0.25">
      <c r="A5" s="11"/>
      <c r="B5" s="11" t="s">
        <v>149</v>
      </c>
      <c r="C5" s="16" t="s">
        <v>206</v>
      </c>
      <c r="D5" s="15">
        <v>33.700000000000003</v>
      </c>
      <c r="E5" s="12">
        <f t="shared" ref="E5:E10" si="0">$G$1</f>
        <v>112</v>
      </c>
      <c r="F5" s="13">
        <v>1</v>
      </c>
      <c r="G5" s="12">
        <f t="shared" ref="G5:G10" si="1">E5*D5</f>
        <v>3774.4000000000005</v>
      </c>
      <c r="H5" s="56">
        <f t="shared" ref="H5:H10" si="2">G5*F5</f>
        <v>3774.4000000000005</v>
      </c>
      <c r="I5" s="11">
        <f>VLOOKUP(B5,Ordering!$A$1:$J$45,6,FALSE)</f>
        <v>0.98</v>
      </c>
      <c r="J5" s="58">
        <f>VLOOKUP(B5,Ordering!$A$1:$J$45,10,FALSE)</f>
        <v>3.5</v>
      </c>
      <c r="K5" s="58">
        <f t="shared" ref="K5:K10" si="3">H5/I5</f>
        <v>3851.428571428572</v>
      </c>
      <c r="L5" s="76">
        <f t="shared" ref="L5:L10" si="4">J5*K5</f>
        <v>13480.000000000002</v>
      </c>
    </row>
    <row r="6" spans="1:23" ht="14.85" customHeight="1" x14ac:dyDescent="0.25">
      <c r="A6" s="11"/>
      <c r="B6" s="11" t="s">
        <v>146</v>
      </c>
      <c r="C6" s="16" t="s">
        <v>206</v>
      </c>
      <c r="D6" s="15">
        <v>0.24</v>
      </c>
      <c r="E6" s="12">
        <f t="shared" si="0"/>
        <v>112</v>
      </c>
      <c r="F6" s="13">
        <v>1</v>
      </c>
      <c r="G6" s="12">
        <f t="shared" si="1"/>
        <v>26.88</v>
      </c>
      <c r="H6" s="56">
        <f t="shared" si="2"/>
        <v>26.88</v>
      </c>
      <c r="I6" s="11">
        <f>VLOOKUP(B6,Ordering!$A$1:$J$45,6,FALSE)</f>
        <v>0.96</v>
      </c>
      <c r="J6" s="58">
        <f>VLOOKUP(B6,Ordering!$A$1:$J$45,10,FALSE)</f>
        <v>4</v>
      </c>
      <c r="K6" s="58">
        <f t="shared" si="3"/>
        <v>28</v>
      </c>
      <c r="L6" s="76">
        <f t="shared" si="4"/>
        <v>112</v>
      </c>
    </row>
    <row r="7" spans="1:23" ht="14.85" customHeight="1" x14ac:dyDescent="0.25">
      <c r="A7" s="11"/>
      <c r="B7" s="11" t="s">
        <v>133</v>
      </c>
      <c r="C7" s="16" t="s">
        <v>206</v>
      </c>
      <c r="D7" s="15">
        <v>0.2</v>
      </c>
      <c r="E7" s="12">
        <f t="shared" si="0"/>
        <v>112</v>
      </c>
      <c r="F7" s="13">
        <v>1</v>
      </c>
      <c r="G7" s="12">
        <f t="shared" si="1"/>
        <v>22.400000000000002</v>
      </c>
      <c r="H7" s="56">
        <f t="shared" si="2"/>
        <v>22.400000000000002</v>
      </c>
      <c r="I7" s="11">
        <f>VLOOKUP(B7,Ordering!$A$1:$J$45,6,FALSE)</f>
        <v>0.94</v>
      </c>
      <c r="J7" s="58">
        <f>VLOOKUP(B7,Ordering!$A$1:$J$45,10,FALSE)</f>
        <v>3.6363636363636371</v>
      </c>
      <c r="K7" s="58">
        <f t="shared" si="3"/>
        <v>23.829787234042556</v>
      </c>
      <c r="L7" s="76">
        <f t="shared" si="4"/>
        <v>86.653771760154768</v>
      </c>
      <c r="R7" s="35"/>
    </row>
    <row r="8" spans="1:23" ht="14.85" customHeight="1" x14ac:dyDescent="0.25">
      <c r="A8" s="11"/>
      <c r="B8" s="11" t="s">
        <v>98</v>
      </c>
      <c r="C8" s="16" t="s">
        <v>206</v>
      </c>
      <c r="D8" s="24">
        <v>3.0000000000000001E-3</v>
      </c>
      <c r="E8" s="12">
        <f t="shared" si="0"/>
        <v>112</v>
      </c>
      <c r="F8" s="13">
        <v>1</v>
      </c>
      <c r="G8" s="12">
        <f t="shared" si="1"/>
        <v>0.33600000000000002</v>
      </c>
      <c r="H8" s="56">
        <f t="shared" si="2"/>
        <v>0.33600000000000002</v>
      </c>
      <c r="I8" s="11">
        <f>VLOOKUP(B8,Ordering!$A$1:$J$45,6,FALSE)</f>
        <v>1</v>
      </c>
      <c r="J8" s="58">
        <f>VLOOKUP(B8,Ordering!$A$1:$J$45,10,FALSE)</f>
        <v>35</v>
      </c>
      <c r="K8" s="58">
        <f t="shared" si="3"/>
        <v>0.33600000000000002</v>
      </c>
      <c r="L8" s="76">
        <f t="shared" si="4"/>
        <v>11.760000000000002</v>
      </c>
    </row>
    <row r="9" spans="1:23" ht="14.85" customHeight="1" x14ac:dyDescent="0.25">
      <c r="A9" s="11"/>
      <c r="B9" s="11" t="s">
        <v>88</v>
      </c>
      <c r="C9" s="16" t="s">
        <v>206</v>
      </c>
      <c r="D9" s="15">
        <v>0.12</v>
      </c>
      <c r="E9" s="12">
        <f t="shared" si="0"/>
        <v>112</v>
      </c>
      <c r="F9" s="13">
        <v>1</v>
      </c>
      <c r="G9" s="12">
        <f t="shared" si="1"/>
        <v>13.44</v>
      </c>
      <c r="H9" s="56">
        <f t="shared" si="2"/>
        <v>13.44</v>
      </c>
      <c r="I9" s="11">
        <f>VLOOKUP(B9,Ordering!$A$1:$J$45,6,FALSE)</f>
        <v>1</v>
      </c>
      <c r="J9" s="58">
        <f>VLOOKUP(B9,Ordering!$A$1:$J$45,10,FALSE)</f>
        <v>0.74</v>
      </c>
      <c r="K9" s="58">
        <f t="shared" si="3"/>
        <v>13.44</v>
      </c>
      <c r="L9" s="76">
        <f t="shared" si="4"/>
        <v>9.9455999999999989</v>
      </c>
    </row>
    <row r="10" spans="1:23" ht="14.85" customHeight="1" x14ac:dyDescent="0.25">
      <c r="A10" s="11"/>
      <c r="B10" s="11" t="s">
        <v>66</v>
      </c>
      <c r="C10" s="16" t="s">
        <v>36</v>
      </c>
      <c r="D10" s="15">
        <v>0.75</v>
      </c>
      <c r="E10" s="12">
        <f t="shared" si="0"/>
        <v>112</v>
      </c>
      <c r="F10" s="13">
        <v>1</v>
      </c>
      <c r="G10" s="12">
        <f t="shared" si="1"/>
        <v>84</v>
      </c>
      <c r="H10" s="56">
        <f t="shared" si="2"/>
        <v>84</v>
      </c>
      <c r="I10" s="11">
        <f>VLOOKUP(B10,Ordering!$A$1:$J$45,6,FALSE)</f>
        <v>1</v>
      </c>
      <c r="J10" s="58">
        <f>VLOOKUP(B10,Ordering!$A$1:$J$45,10,FALSE)</f>
        <v>0</v>
      </c>
      <c r="K10" s="58">
        <f t="shared" si="3"/>
        <v>84</v>
      </c>
      <c r="L10" s="76">
        <f t="shared" si="4"/>
        <v>0</v>
      </c>
    </row>
    <row r="11" spans="1:23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3921.4560000000006</v>
      </c>
      <c r="M11" s="72"/>
      <c r="N11" s="22"/>
      <c r="W11" s="35"/>
    </row>
    <row r="12" spans="1:23" ht="14.85" customHeight="1" x14ac:dyDescent="0.25">
      <c r="M12" s="72"/>
      <c r="N12" s="22"/>
      <c r="O12" s="22"/>
    </row>
    <row r="13" spans="1:23" ht="14.85" customHeight="1" x14ac:dyDescent="0.25"/>
    <row r="14" spans="1:23" ht="14.85" customHeight="1" x14ac:dyDescent="0.25"/>
    <row r="15" spans="1:23" x14ac:dyDescent="0.25">
      <c r="P15" s="136"/>
      <c r="Q15" s="137"/>
    </row>
    <row r="16" spans="1:23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110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112</v>
      </c>
    </row>
    <row r="27" spans="11:17" x14ac:dyDescent="0.25">
      <c r="K27" s="20"/>
    </row>
  </sheetData>
  <mergeCells count="4">
    <mergeCell ref="B3:H3"/>
    <mergeCell ref="B2:H2"/>
    <mergeCell ref="P15:Q15"/>
    <mergeCell ref="P16:Q16"/>
  </mergeCells>
  <printOptions horizontalCentered="1"/>
  <pageMargins left="0.4" right="0.4" top="1" bottom="0.5" header="0.3" footer="0.3"/>
  <pageSetup paperSize="9" scale="44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theme="5" tint="-0.249977111117893"/>
    <pageSetUpPr fitToPage="1"/>
  </sheetPr>
  <dimension ref="A1:V27"/>
  <sheetViews>
    <sheetView zoomScale="85" zoomScaleNormal="85" zoomScaleSheetLayoutView="100" workbookViewId="0">
      <selection activeCell="B11" sqref="B11:H11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3" width="11.42578125" bestFit="1" customWidth="1"/>
    <col min="19" max="19" width="8.42578125" bestFit="1" customWidth="1"/>
  </cols>
  <sheetData>
    <row r="1" spans="1:22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112</v>
      </c>
      <c r="F1" s="17" t="s">
        <v>190</v>
      </c>
      <c r="G1" s="10">
        <f>D1/B1</f>
        <v>112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110</v>
      </c>
    </row>
    <row r="2" spans="1:22" ht="14.25" customHeight="1" x14ac:dyDescent="0.25">
      <c r="A2" s="37"/>
      <c r="B2" s="150" t="s">
        <v>243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38"/>
      <c r="B3" s="149" t="s">
        <v>244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23</v>
      </c>
      <c r="C5" s="16" t="s">
        <v>206</v>
      </c>
      <c r="D5" s="15">
        <v>20</v>
      </c>
      <c r="E5" s="12">
        <f t="shared" ref="E5:E10" si="0">$G$1</f>
        <v>112</v>
      </c>
      <c r="F5" s="13">
        <v>1</v>
      </c>
      <c r="G5" s="12">
        <f t="shared" ref="G5:G10" si="1">E5*D5</f>
        <v>2240</v>
      </c>
      <c r="H5" s="56">
        <f t="shared" ref="H5:H10" si="2">G5*F5</f>
        <v>2240</v>
      </c>
      <c r="I5" s="11">
        <f>VLOOKUP(B5,Ordering!$A$1:$J$45,6,FALSE)</f>
        <v>1</v>
      </c>
      <c r="J5" s="58">
        <f>VLOOKUP(B5,Ordering!$A$1:$J$45,10,FALSE)</f>
        <v>6.6959999999999997</v>
      </c>
      <c r="K5" s="58">
        <f t="shared" ref="K5:K10" si="3">H5/I5</f>
        <v>2240</v>
      </c>
      <c r="L5" s="59">
        <f t="shared" ref="L5:L10" si="4">J5*K5</f>
        <v>14999.039999999999</v>
      </c>
    </row>
    <row r="6" spans="1:22" ht="14.85" customHeight="1" x14ac:dyDescent="0.25">
      <c r="A6" s="11"/>
      <c r="B6" s="11" t="s">
        <v>142</v>
      </c>
      <c r="C6" s="16" t="s">
        <v>206</v>
      </c>
      <c r="D6" s="15">
        <v>5.4</v>
      </c>
      <c r="E6" s="12">
        <f t="shared" si="0"/>
        <v>112</v>
      </c>
      <c r="F6" s="13">
        <v>1</v>
      </c>
      <c r="G6" s="12">
        <f t="shared" si="1"/>
        <v>604.80000000000007</v>
      </c>
      <c r="H6" s="56">
        <f t="shared" si="2"/>
        <v>604.80000000000007</v>
      </c>
      <c r="I6" s="11">
        <f>VLOOKUP(B6,Ordering!$A$1:$J$45,6,FALSE)</f>
        <v>0.8</v>
      </c>
      <c r="J6" s="58">
        <f>VLOOKUP(B6,Ordering!$A$1:$J$45,10,FALSE)</f>
        <v>3</v>
      </c>
      <c r="K6" s="58">
        <f t="shared" si="3"/>
        <v>756</v>
      </c>
      <c r="L6" s="59">
        <f t="shared" si="4"/>
        <v>2268</v>
      </c>
    </row>
    <row r="7" spans="1:22" ht="14.85" customHeight="1" x14ac:dyDescent="0.25">
      <c r="A7" s="11"/>
      <c r="B7" s="11" t="s">
        <v>80</v>
      </c>
      <c r="C7" s="16" t="s">
        <v>206</v>
      </c>
      <c r="D7" s="15">
        <v>0.05</v>
      </c>
      <c r="E7" s="12">
        <f t="shared" si="0"/>
        <v>112</v>
      </c>
      <c r="F7" s="13">
        <v>1</v>
      </c>
      <c r="G7" s="12">
        <f t="shared" si="1"/>
        <v>5.6000000000000005</v>
      </c>
      <c r="H7" s="56">
        <f t="shared" si="2"/>
        <v>5.6000000000000005</v>
      </c>
      <c r="I7" s="11">
        <f>VLOOKUP(B7,Ordering!$A$1:$J$45,6,FALSE)</f>
        <v>1</v>
      </c>
      <c r="J7" s="58">
        <f>VLOOKUP(B7,Ordering!$A$1:$J$45,10,FALSE)</f>
        <v>8</v>
      </c>
      <c r="K7" s="58">
        <f t="shared" si="3"/>
        <v>5.6000000000000005</v>
      </c>
      <c r="L7" s="59">
        <f t="shared" si="4"/>
        <v>44.800000000000004</v>
      </c>
      <c r="R7" s="35"/>
    </row>
    <row r="8" spans="1:22" ht="14.85" customHeight="1" x14ac:dyDescent="0.25">
      <c r="A8" s="11"/>
      <c r="B8" s="11" t="s">
        <v>120</v>
      </c>
      <c r="C8" s="16" t="s">
        <v>206</v>
      </c>
      <c r="D8" s="15">
        <v>0.02</v>
      </c>
      <c r="E8" s="12">
        <f t="shared" si="0"/>
        <v>112</v>
      </c>
      <c r="F8" s="13">
        <v>1</v>
      </c>
      <c r="G8" s="12">
        <f t="shared" si="1"/>
        <v>2.2400000000000002</v>
      </c>
      <c r="H8" s="56">
        <f t="shared" si="2"/>
        <v>2.2400000000000002</v>
      </c>
      <c r="I8" s="11">
        <f>VLOOKUP(B8,Ordering!$A$1:$J$45,6,FALSE)</f>
        <v>1</v>
      </c>
      <c r="J8" s="58">
        <f>VLOOKUP(B8,Ordering!$A$1:$J$45,10,FALSE)</f>
        <v>20</v>
      </c>
      <c r="K8" s="58">
        <f t="shared" si="3"/>
        <v>2.2400000000000002</v>
      </c>
      <c r="L8" s="59">
        <f t="shared" si="4"/>
        <v>44.800000000000004</v>
      </c>
    </row>
    <row r="9" spans="1:22" ht="14.85" customHeight="1" x14ac:dyDescent="0.25">
      <c r="A9" s="11"/>
      <c r="B9" s="11" t="s">
        <v>66</v>
      </c>
      <c r="C9" s="16" t="s">
        <v>36</v>
      </c>
      <c r="D9" s="15">
        <v>9.4499999999999993</v>
      </c>
      <c r="E9" s="12">
        <f t="shared" si="0"/>
        <v>112</v>
      </c>
      <c r="F9" s="13">
        <v>1</v>
      </c>
      <c r="G9" s="12">
        <f t="shared" si="1"/>
        <v>1058.3999999999999</v>
      </c>
      <c r="H9" s="56">
        <f t="shared" si="2"/>
        <v>1058.3999999999999</v>
      </c>
      <c r="I9" s="11">
        <f>VLOOKUP(B9,Ordering!$A$1:$J$45,6,FALSE)</f>
        <v>1</v>
      </c>
      <c r="J9" s="58">
        <f>VLOOKUP(B9,Ordering!$A$1:$J$45,10,FALSE)</f>
        <v>0</v>
      </c>
      <c r="K9" s="58">
        <f t="shared" si="3"/>
        <v>1058.3999999999999</v>
      </c>
      <c r="L9" s="59">
        <f t="shared" si="4"/>
        <v>0</v>
      </c>
    </row>
    <row r="10" spans="1:22" ht="14.85" customHeight="1" x14ac:dyDescent="0.25">
      <c r="A10" s="11"/>
      <c r="B10" s="11" t="s">
        <v>88</v>
      </c>
      <c r="C10" s="16" t="s">
        <v>206</v>
      </c>
      <c r="D10" s="15">
        <v>0.08</v>
      </c>
      <c r="E10" s="12">
        <f t="shared" si="0"/>
        <v>112</v>
      </c>
      <c r="F10" s="13">
        <v>1</v>
      </c>
      <c r="G10" s="12">
        <f t="shared" si="1"/>
        <v>8.9600000000000009</v>
      </c>
      <c r="H10" s="56">
        <f t="shared" si="2"/>
        <v>8.9600000000000009</v>
      </c>
      <c r="I10" s="11">
        <f>VLOOKUP(B10,Ordering!$A$1:$J$45,6,FALSE)</f>
        <v>1</v>
      </c>
      <c r="J10" s="58">
        <f>VLOOKUP(B10,Ordering!$A$1:$J$45,10,FALSE)</f>
        <v>0.74</v>
      </c>
      <c r="K10" s="58">
        <f t="shared" si="3"/>
        <v>8.9600000000000009</v>
      </c>
      <c r="L10" s="59">
        <f t="shared" si="4"/>
        <v>6.6304000000000007</v>
      </c>
    </row>
    <row r="11" spans="1:22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3920</v>
      </c>
      <c r="M11" s="72"/>
      <c r="N11" s="22"/>
    </row>
    <row r="12" spans="1:22" ht="14.85" customHeight="1" x14ac:dyDescent="0.25">
      <c r="M12" s="72"/>
      <c r="N12" s="22"/>
      <c r="R12" s="35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110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112</v>
      </c>
    </row>
    <row r="27" spans="11:17" x14ac:dyDescent="0.25">
      <c r="K27" s="20"/>
    </row>
  </sheetData>
  <mergeCells count="4">
    <mergeCell ref="B3:H3"/>
    <mergeCell ref="B2:H2"/>
    <mergeCell ref="P15:Q15"/>
    <mergeCell ref="P16:Q16"/>
  </mergeCells>
  <printOptions horizontalCentered="1"/>
  <pageMargins left="0.4" right="0.4" top="1" bottom="0.5" header="0.3" footer="0.3"/>
  <pageSetup paperSize="9" scale="42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>
    <tabColor theme="5" tint="-0.249977111117893"/>
    <pageSetUpPr fitToPage="1"/>
  </sheetPr>
  <dimension ref="A1:V27"/>
  <sheetViews>
    <sheetView zoomScale="70" zoomScaleNormal="70" zoomScaleSheetLayoutView="100" workbookViewId="0">
      <selection activeCell="B11" sqref="B11:H11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6.28515625" customWidth="1"/>
    <col min="8" max="8" width="29.85546875" bestFit="1" customWidth="1"/>
    <col min="10" max="10" width="22.140625" bestFit="1" customWidth="1"/>
    <col min="11" max="11" width="13.7109375" customWidth="1"/>
    <col min="13" max="15" width="4.140625" customWidth="1"/>
    <col min="16" max="16" width="13.85546875" customWidth="1"/>
    <col min="18" max="18" width="22.42578125" customWidth="1"/>
    <col min="19" max="19" width="14.85546875" customWidth="1"/>
  </cols>
  <sheetData>
    <row r="1" spans="1:22" ht="25.35" customHeight="1" x14ac:dyDescent="0.25">
      <c r="A1" s="17" t="s">
        <v>222</v>
      </c>
      <c r="B1" s="9">
        <v>20</v>
      </c>
      <c r="D1" s="8">
        <f>Q20</f>
        <v>99</v>
      </c>
      <c r="E1" s="17" t="s">
        <v>223</v>
      </c>
      <c r="F1" s="10">
        <f>Q20</f>
        <v>99</v>
      </c>
      <c r="H1" s="17" t="s">
        <v>191</v>
      </c>
      <c r="I1" s="21">
        <v>20</v>
      </c>
      <c r="J1" s="1"/>
      <c r="K1" s="18" t="s">
        <v>192</v>
      </c>
      <c r="U1" s="93" t="s">
        <v>20</v>
      </c>
      <c r="V1" s="94">
        <v>97</v>
      </c>
    </row>
    <row r="2" spans="1:22" ht="14.25" customHeight="1" x14ac:dyDescent="0.25">
      <c r="A2" s="39"/>
      <c r="B2" s="155" t="s">
        <v>225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41"/>
      <c r="B3" s="149" t="s">
        <v>245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42</v>
      </c>
      <c r="C5" s="16" t="s">
        <v>206</v>
      </c>
      <c r="D5" s="15">
        <v>10.75268817204301</v>
      </c>
      <c r="E5" s="12">
        <f>$F$1</f>
        <v>99</v>
      </c>
      <c r="F5" s="13">
        <v>1</v>
      </c>
      <c r="G5" s="12">
        <f>E5*D5</f>
        <v>1064.516129032258</v>
      </c>
      <c r="H5" s="56">
        <f>G5*F5</f>
        <v>1064.516129032258</v>
      </c>
      <c r="I5" s="11">
        <f>VLOOKUP(B5,Ordering!$A$1:$J$45,6,FALSE)</f>
        <v>1</v>
      </c>
      <c r="J5" s="58">
        <f>VLOOKUP(B5,Ordering!$A$1:$J$45,10,FALSE)</f>
        <v>6.4189189189189184</v>
      </c>
      <c r="K5" s="58">
        <f>H5/I5</f>
        <v>1064.516129032258</v>
      </c>
      <c r="L5" s="59">
        <f>J5*K5</f>
        <v>6833.0427201394941</v>
      </c>
    </row>
    <row r="6" spans="1:22" ht="14.85" customHeight="1" x14ac:dyDescent="0.25">
      <c r="A6" s="11"/>
      <c r="B6" s="11" t="s">
        <v>61</v>
      </c>
      <c r="C6" s="16" t="s">
        <v>36</v>
      </c>
      <c r="D6" s="15">
        <v>7.311827956989247</v>
      </c>
      <c r="E6" s="12">
        <f>$F$1</f>
        <v>99</v>
      </c>
      <c r="F6" s="13">
        <v>1</v>
      </c>
      <c r="G6" s="12">
        <f>E6*D6</f>
        <v>723.87096774193549</v>
      </c>
      <c r="H6" s="56">
        <f>G6*F6</f>
        <v>723.87096774193549</v>
      </c>
      <c r="I6" s="11">
        <f>VLOOKUP(B6,Ordering!$A$1:$J$45,6,FALSE)</f>
        <v>1</v>
      </c>
      <c r="J6" s="58">
        <f>VLOOKUP(B6,Ordering!$A$1:$J$45,10,FALSE)</f>
        <v>3.25</v>
      </c>
      <c r="K6" s="58">
        <f>H6/I6</f>
        <v>723.87096774193549</v>
      </c>
      <c r="L6" s="59">
        <f>J6*K6</f>
        <v>2352.5806451612902</v>
      </c>
    </row>
    <row r="7" spans="1:22" ht="14.85" customHeight="1" x14ac:dyDescent="0.25">
      <c r="A7" s="11"/>
      <c r="B7" s="11" t="s">
        <v>46</v>
      </c>
      <c r="C7" s="16" t="s">
        <v>206</v>
      </c>
      <c r="D7" s="15">
        <v>0.78853046594982079</v>
      </c>
      <c r="E7" s="12">
        <f>$F$1</f>
        <v>99</v>
      </c>
      <c r="F7" s="13">
        <v>1</v>
      </c>
      <c r="G7" s="12">
        <f>E7*D7</f>
        <v>78.064516129032256</v>
      </c>
      <c r="H7" s="56">
        <f>G7*F7</f>
        <v>78.064516129032256</v>
      </c>
      <c r="I7" s="11">
        <f>VLOOKUP(B7,Ordering!$A$1:$J$45,6,FALSE)</f>
        <v>1</v>
      </c>
      <c r="J7" s="58">
        <f>VLOOKUP(B7,Ordering!$A$1:$J$45,10,FALSE)</f>
        <v>11.243386243386244</v>
      </c>
      <c r="K7" s="58">
        <f>H7/I7</f>
        <v>78.064516129032256</v>
      </c>
      <c r="L7" s="59">
        <f>J7*K7</f>
        <v>877.70950674176481</v>
      </c>
    </row>
    <row r="8" spans="1:22" ht="14.85" customHeight="1" x14ac:dyDescent="0.25">
      <c r="A8" s="11"/>
      <c r="B8" s="11" t="s">
        <v>57</v>
      </c>
      <c r="C8" s="16" t="s">
        <v>36</v>
      </c>
      <c r="D8" s="15">
        <v>1.1469534050179211</v>
      </c>
      <c r="E8" s="12">
        <f>$F$1</f>
        <v>99</v>
      </c>
      <c r="F8" s="13">
        <v>1</v>
      </c>
      <c r="G8" s="12">
        <f>E8*D8</f>
        <v>113.54838709677419</v>
      </c>
      <c r="H8" s="56">
        <f>G8*F8</f>
        <v>113.54838709677419</v>
      </c>
      <c r="I8" s="11">
        <f>VLOOKUP(B8,Ordering!$A$1:$J$45,6,FALSE)</f>
        <v>1</v>
      </c>
      <c r="J8" s="58">
        <f>VLOOKUP(B8,Ordering!$A$1:$J$45,10,FALSE)</f>
        <v>58.685446009389672</v>
      </c>
      <c r="K8" s="58">
        <f>H8/I8</f>
        <v>113.54838709677419</v>
      </c>
      <c r="L8" s="59">
        <f>J8*K8</f>
        <v>6663.6377404210207</v>
      </c>
      <c r="R8" s="35"/>
    </row>
    <row r="9" spans="1:22" x14ac:dyDescent="0.25">
      <c r="B9" s="57" t="s">
        <v>191</v>
      </c>
      <c r="C9" s="132" t="s">
        <v>206</v>
      </c>
      <c r="D9" s="127">
        <f>$I$1</f>
        <v>20</v>
      </c>
      <c r="E9" s="133"/>
      <c r="F9" s="133"/>
      <c r="G9" s="134" t="s">
        <v>325</v>
      </c>
      <c r="H9" s="135">
        <f>SUM(H5:H8)</f>
        <v>1980</v>
      </c>
    </row>
    <row r="12" spans="1:22" ht="14.85" customHeight="1" x14ac:dyDescent="0.25"/>
    <row r="13" spans="1:22" ht="14.85" customHeight="1" x14ac:dyDescent="0.25"/>
    <row r="14" spans="1:22" ht="14.85" customHeight="1" x14ac:dyDescent="0.25"/>
    <row r="15" spans="1:22" ht="14.85" customHeight="1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97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99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5">
    <tabColor theme="5" tint="-0.249977111117893"/>
    <pageSetUpPr fitToPage="1"/>
  </sheetPr>
  <dimension ref="A1:Y27"/>
  <sheetViews>
    <sheetView zoomScale="85" zoomScaleNormal="85" workbookViewId="0">
      <selection activeCell="B11" sqref="B11:H11"/>
    </sheetView>
  </sheetViews>
  <sheetFormatPr defaultRowHeight="15" x14ac:dyDescent="0.25"/>
  <cols>
    <col min="1" max="1" width="17.7109375" bestFit="1" customWidth="1"/>
    <col min="2" max="2" width="38.8554687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174</v>
      </c>
      <c r="F1" s="17" t="s">
        <v>190</v>
      </c>
      <c r="G1" s="10">
        <f>D1/B1</f>
        <v>174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172</v>
      </c>
    </row>
    <row r="2" spans="1:25" ht="14.25" customHeight="1" x14ac:dyDescent="0.25">
      <c r="A2" s="39"/>
      <c r="B2" s="152" t="s">
        <v>279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275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42</v>
      </c>
      <c r="C5" s="16" t="s">
        <v>206</v>
      </c>
      <c r="D5" s="107">
        <v>22.975929978118163</v>
      </c>
      <c r="E5" s="108">
        <f>$G$1</f>
        <v>174</v>
      </c>
      <c r="F5" s="109">
        <v>1</v>
      </c>
      <c r="G5" s="108">
        <f>E5*D5</f>
        <v>3997.8118161925604</v>
      </c>
      <c r="H5" s="110">
        <f>G5*F5</f>
        <v>3997.8118161925604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3.9978118161925602</v>
      </c>
      <c r="L5" s="112">
        <f>J5*K5</f>
        <v>25.661629901236026</v>
      </c>
    </row>
    <row r="6" spans="1:25" ht="14.85" customHeight="1" x14ac:dyDescent="0.25">
      <c r="A6" s="106"/>
      <c r="B6" s="113" t="s">
        <v>266</v>
      </c>
      <c r="C6" s="16" t="s">
        <v>206</v>
      </c>
      <c r="D6" s="107">
        <v>9.1903719912472646</v>
      </c>
      <c r="E6" s="108">
        <f>$G$1</f>
        <v>174</v>
      </c>
      <c r="F6" s="109">
        <v>1</v>
      </c>
      <c r="G6" s="108">
        <f>E6*D6</f>
        <v>1599.1247264770241</v>
      </c>
      <c r="H6" s="110">
        <f>G6*F6</f>
        <v>1599.1247264770241</v>
      </c>
      <c r="I6" s="106">
        <f>VLOOKUP(B6,Ordering!$A$1:$J$45,6,FALSE)</f>
        <v>1</v>
      </c>
      <c r="J6" s="111">
        <f>VLOOKUP(B6,Ordering!$A$1:$J$45,10,FALSE)</f>
        <v>17.480211081794195</v>
      </c>
      <c r="K6" s="107">
        <f>((H6/(I6))/1000)</f>
        <v>1.5991247264770241</v>
      </c>
      <c r="L6" s="112">
        <f>J6*K6</f>
        <v>27.953037764934788</v>
      </c>
    </row>
    <row r="7" spans="1:25" ht="14.85" customHeight="1" x14ac:dyDescent="0.25">
      <c r="A7" s="106"/>
      <c r="B7" s="106" t="s">
        <v>265</v>
      </c>
      <c r="C7" s="16" t="s">
        <v>206</v>
      </c>
      <c r="D7" s="107">
        <v>1.5317286652078774</v>
      </c>
      <c r="E7" s="108">
        <f>$G$1</f>
        <v>174</v>
      </c>
      <c r="F7" s="109">
        <v>1</v>
      </c>
      <c r="G7" s="108">
        <f>E7*D7</f>
        <v>266.5207877461707</v>
      </c>
      <c r="H7" s="110">
        <f>G7*F7</f>
        <v>266.5207877461707</v>
      </c>
      <c r="I7" s="106">
        <f>VLOOKUP(B7,Ordering!$A$1:$J$45,6,FALSE)</f>
        <v>1</v>
      </c>
      <c r="J7" s="111">
        <f>VLOOKUP(B7,Ordering!$A$1:$J$45,10,FALSE)</f>
        <v>17</v>
      </c>
      <c r="K7" s="107">
        <f>((H7/(I7))/1000)</f>
        <v>0.26652078774617072</v>
      </c>
      <c r="L7" s="112">
        <f>J7*K7</f>
        <v>4.5308533916849019</v>
      </c>
      <c r="R7" s="35"/>
    </row>
    <row r="8" spans="1:25" ht="14.85" customHeight="1" x14ac:dyDescent="0.25">
      <c r="A8" s="106"/>
      <c r="B8" s="113" t="s">
        <v>264</v>
      </c>
      <c r="C8" s="16" t="s">
        <v>206</v>
      </c>
      <c r="D8" s="107">
        <v>0.53610503282275712</v>
      </c>
      <c r="E8" s="108">
        <f>$G$1</f>
        <v>174</v>
      </c>
      <c r="F8" s="109">
        <v>1</v>
      </c>
      <c r="G8" s="108">
        <f>E8*D8</f>
        <v>93.282275711159741</v>
      </c>
      <c r="H8" s="110">
        <f>G8*F8</f>
        <v>93.282275711159741</v>
      </c>
      <c r="I8" s="106">
        <f>VLOOKUP(B8,Ordering!$A$1:$J$45,6,FALSE)</f>
        <v>1</v>
      </c>
      <c r="J8" s="111">
        <f>VLOOKUP(B8,Ordering!$A$1:$J$45,10,FALSE)</f>
        <v>96.916299559471369</v>
      </c>
      <c r="K8" s="107">
        <f>((H8/(I8))/1000)</f>
        <v>9.328227571115974E-2</v>
      </c>
      <c r="L8" s="112">
        <f>J8*K8</f>
        <v>9.0405729764119567</v>
      </c>
      <c r="V8" s="63" t="s">
        <v>207</v>
      </c>
      <c r="W8" s="64">
        <v>1</v>
      </c>
      <c r="X8" s="63" t="s">
        <v>205</v>
      </c>
      <c r="Y8" s="65">
        <f>(SUM(L5:L9)/Q20)*W8</f>
        <v>0.3877829000897407</v>
      </c>
    </row>
    <row r="9" spans="1:25" ht="14.85" customHeight="1" x14ac:dyDescent="0.25">
      <c r="A9" s="106"/>
      <c r="B9" s="106" t="s">
        <v>313</v>
      </c>
      <c r="C9" s="16" t="s">
        <v>206</v>
      </c>
      <c r="D9" s="107">
        <v>0.76586433260393871</v>
      </c>
      <c r="E9" s="108">
        <f>$G$1</f>
        <v>174</v>
      </c>
      <c r="F9" s="109">
        <v>1</v>
      </c>
      <c r="G9" s="108">
        <f>E9*D9</f>
        <v>133.26039387308535</v>
      </c>
      <c r="H9" s="110">
        <f>G9*F9</f>
        <v>133.26039387308535</v>
      </c>
      <c r="I9" s="106">
        <f>VLOOKUP(B9,Ordering!$A$1:$J$45,6,FALSE)</f>
        <v>1</v>
      </c>
      <c r="J9" s="111">
        <f>VLOOKUP(B9,Ordering!$A$1:$J$45,10,FALSE)</f>
        <v>2.1621621621621623</v>
      </c>
      <c r="K9" s="107">
        <f>((H9/(I9))/1000)</f>
        <v>0.13326039387308536</v>
      </c>
      <c r="L9" s="112">
        <f>J9*K9</f>
        <v>0.28813058134721159</v>
      </c>
    </row>
    <row r="10" spans="1:25" ht="14.85" customHeight="1" x14ac:dyDescent="0.25">
      <c r="A10" s="11"/>
      <c r="B10" s="57" t="s">
        <v>191</v>
      </c>
      <c r="C10" s="132" t="s">
        <v>206</v>
      </c>
      <c r="D10" s="127">
        <f>$I$1</f>
        <v>35</v>
      </c>
      <c r="E10" s="133"/>
      <c r="F10" s="133"/>
      <c r="G10" s="134" t="s">
        <v>325</v>
      </c>
      <c r="H10" s="135">
        <f>SUM(H5:H9)</f>
        <v>6090</v>
      </c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172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174</v>
      </c>
    </row>
    <row r="21" spans="11:17" x14ac:dyDescent="0.25">
      <c r="P21" s="61" t="s">
        <v>205</v>
      </c>
      <c r="Q21" s="62">
        <f>SUM(L5:L9)</f>
        <v>67.474224615614887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311E3-6EFA-4E98-93AD-E005A424C1B6}">
  <sheetPr codeName="Sheet35">
    <tabColor theme="5" tint="-0.249977111117893"/>
    <pageSetUpPr fitToPage="1"/>
  </sheetPr>
  <dimension ref="A1:Y27"/>
  <sheetViews>
    <sheetView zoomScale="85" zoomScaleNormal="85" workbookViewId="0">
      <selection activeCell="B11" sqref="B11:H11"/>
    </sheetView>
  </sheetViews>
  <sheetFormatPr defaultRowHeight="15" x14ac:dyDescent="0.25"/>
  <cols>
    <col min="1" max="1" width="17.7109375" bestFit="1" customWidth="1"/>
    <col min="2" max="2" width="38.8554687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174</v>
      </c>
      <c r="F1" s="17" t="s">
        <v>190</v>
      </c>
      <c r="G1" s="10">
        <f>D1/B1</f>
        <v>174</v>
      </c>
      <c r="H1" s="17" t="s">
        <v>191</v>
      </c>
      <c r="I1" s="21">
        <v>20</v>
      </c>
      <c r="J1" s="1"/>
      <c r="K1" s="23" t="s">
        <v>192</v>
      </c>
      <c r="U1" s="93" t="s">
        <v>20</v>
      </c>
      <c r="V1" s="94">
        <v>172</v>
      </c>
    </row>
    <row r="2" spans="1:25" ht="14.25" customHeight="1" x14ac:dyDescent="0.25">
      <c r="A2" s="39"/>
      <c r="B2" s="152" t="s">
        <v>284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275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42</v>
      </c>
      <c r="C5" s="16" t="s">
        <v>206</v>
      </c>
      <c r="D5" s="107">
        <v>13.12910284463895</v>
      </c>
      <c r="E5" s="108">
        <f>$G$1</f>
        <v>174</v>
      </c>
      <c r="F5" s="109">
        <v>1</v>
      </c>
      <c r="G5" s="108">
        <f>E5*D5</f>
        <v>2284.4638949671776</v>
      </c>
      <c r="H5" s="110">
        <f>G5*F5</f>
        <v>2284.4638949671776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2.2844638949671774</v>
      </c>
      <c r="L5" s="112">
        <f>J5*K5</f>
        <v>14.663788514992016</v>
      </c>
    </row>
    <row r="6" spans="1:25" ht="14.85" customHeight="1" x14ac:dyDescent="0.25">
      <c r="A6" s="106"/>
      <c r="B6" s="113" t="s">
        <v>266</v>
      </c>
      <c r="C6" s="16" t="s">
        <v>206</v>
      </c>
      <c r="D6" s="107">
        <v>5.2516411378555796</v>
      </c>
      <c r="E6" s="108">
        <f>$G$1</f>
        <v>174</v>
      </c>
      <c r="F6" s="109">
        <v>1</v>
      </c>
      <c r="G6" s="108">
        <f>E6*D6</f>
        <v>913.7855579868708</v>
      </c>
      <c r="H6" s="110">
        <f>G6*F6</f>
        <v>913.7855579868708</v>
      </c>
      <c r="I6" s="106">
        <f>VLOOKUP(B6,Ordering!$A$1:$J$45,6,FALSE)</f>
        <v>1</v>
      </c>
      <c r="J6" s="111">
        <f>VLOOKUP(B6,Ordering!$A$1:$J$45,10,FALSE)</f>
        <v>17.480211081794195</v>
      </c>
      <c r="K6" s="107">
        <f>((H6/(I6))/1000)</f>
        <v>0.91378555798687078</v>
      </c>
      <c r="L6" s="112">
        <f>J6*K6</f>
        <v>15.973164437105591</v>
      </c>
    </row>
    <row r="7" spans="1:25" ht="14.85" customHeight="1" x14ac:dyDescent="0.25">
      <c r="A7" s="106"/>
      <c r="B7" s="106" t="s">
        <v>265</v>
      </c>
      <c r="C7" s="16" t="s">
        <v>206</v>
      </c>
      <c r="D7" s="107">
        <v>0.87527352297592997</v>
      </c>
      <c r="E7" s="108">
        <f>$G$1</f>
        <v>174</v>
      </c>
      <c r="F7" s="109">
        <v>1</v>
      </c>
      <c r="G7" s="108">
        <f>E7*D7</f>
        <v>152.29759299781182</v>
      </c>
      <c r="H7" s="110">
        <f>G7*F7</f>
        <v>152.29759299781182</v>
      </c>
      <c r="I7" s="106">
        <f>VLOOKUP(B7,Ordering!$A$1:$J$45,6,FALSE)</f>
        <v>1</v>
      </c>
      <c r="J7" s="111">
        <f>VLOOKUP(B7,Ordering!$A$1:$J$45,10,FALSE)</f>
        <v>17</v>
      </c>
      <c r="K7" s="107">
        <f>((H7/(I7))/1000)</f>
        <v>0.15229759299781181</v>
      </c>
      <c r="L7" s="112">
        <f>J7*K7</f>
        <v>2.5890590809628007</v>
      </c>
      <c r="R7" s="35"/>
    </row>
    <row r="8" spans="1:25" ht="14.85" customHeight="1" x14ac:dyDescent="0.25">
      <c r="A8" s="106"/>
      <c r="B8" s="113" t="s">
        <v>264</v>
      </c>
      <c r="C8" s="16" t="s">
        <v>206</v>
      </c>
      <c r="D8" s="107">
        <v>0.30634573304157547</v>
      </c>
      <c r="E8" s="108">
        <f>$G$1</f>
        <v>174</v>
      </c>
      <c r="F8" s="109">
        <v>1</v>
      </c>
      <c r="G8" s="108">
        <f>E8*D8</f>
        <v>53.304157549234134</v>
      </c>
      <c r="H8" s="110">
        <f>G8*F8</f>
        <v>53.304157549234134</v>
      </c>
      <c r="I8" s="106">
        <f>VLOOKUP(B8,Ordering!$A$1:$J$45,6,FALSE)</f>
        <v>1</v>
      </c>
      <c r="J8" s="111">
        <f>VLOOKUP(B8,Ordering!$A$1:$J$45,10,FALSE)</f>
        <v>96.916299559471369</v>
      </c>
      <c r="K8" s="107">
        <f>((H8/(I8))/1000)</f>
        <v>5.3304157549234135E-2</v>
      </c>
      <c r="L8" s="112">
        <f>J8*K8</f>
        <v>5.1660417008068329</v>
      </c>
      <c r="V8" s="63" t="s">
        <v>207</v>
      </c>
      <c r="W8" s="64">
        <v>1</v>
      </c>
      <c r="X8" s="63" t="s">
        <v>205</v>
      </c>
      <c r="Y8" s="65">
        <f>(SUM(L5:L9)/Q20)*W8</f>
        <v>0.221590228622709</v>
      </c>
    </row>
    <row r="9" spans="1:25" ht="14.85" customHeight="1" x14ac:dyDescent="0.25">
      <c r="A9" s="106"/>
      <c r="B9" s="106" t="s">
        <v>313</v>
      </c>
      <c r="C9" s="16" t="s">
        <v>206</v>
      </c>
      <c r="D9" s="107">
        <v>0.43763676148796499</v>
      </c>
      <c r="E9" s="108">
        <f>$G$1</f>
        <v>174</v>
      </c>
      <c r="F9" s="109">
        <v>1</v>
      </c>
      <c r="G9" s="108">
        <f>E9*D9</f>
        <v>76.148796498905909</v>
      </c>
      <c r="H9" s="110">
        <f>G9*F9</f>
        <v>76.148796498905909</v>
      </c>
      <c r="I9" s="106">
        <f>VLOOKUP(B9,Ordering!$A$1:$J$45,6,FALSE)</f>
        <v>1</v>
      </c>
      <c r="J9" s="111">
        <f>VLOOKUP(B9,Ordering!$A$1:$J$45,10,FALSE)</f>
        <v>2.1621621621621623</v>
      </c>
      <c r="K9" s="107">
        <f>((H9/(I9))/1000)</f>
        <v>7.6148796498905907E-2</v>
      </c>
      <c r="L9" s="112">
        <f>J9*K9</f>
        <v>0.1646460464841209</v>
      </c>
    </row>
    <row r="10" spans="1:25" ht="14.85" customHeight="1" x14ac:dyDescent="0.25">
      <c r="A10" s="11"/>
      <c r="B10" s="57" t="s">
        <v>191</v>
      </c>
      <c r="C10" s="132" t="s">
        <v>206</v>
      </c>
      <c r="D10" s="127">
        <f>$I$1</f>
        <v>20</v>
      </c>
      <c r="E10" s="133"/>
      <c r="F10" s="133"/>
      <c r="G10" s="134" t="s">
        <v>325</v>
      </c>
      <c r="H10" s="135">
        <f>SUM(H5:H9)</f>
        <v>3480.0000000000005</v>
      </c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172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174</v>
      </c>
    </row>
    <row r="21" spans="11:17" x14ac:dyDescent="0.25">
      <c r="P21" s="61" t="s">
        <v>205</v>
      </c>
      <c r="Q21" s="62">
        <f>SUM(L5:L9)</f>
        <v>38.556699780351366</v>
      </c>
    </row>
    <row r="27" spans="11:17" x14ac:dyDescent="0.25">
      <c r="K27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1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">
    <tabColor theme="4" tint="-0.249977111117893"/>
    <pageSetUpPr fitToPage="1"/>
  </sheetPr>
  <dimension ref="A1:Y27"/>
  <sheetViews>
    <sheetView zoomScaleNormal="100" zoomScaleSheetLayoutView="100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2.7109375" bestFit="1" customWidth="1"/>
    <col min="13" max="15" width="3.285156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112</v>
      </c>
      <c r="F1" s="17" t="s">
        <v>190</v>
      </c>
      <c r="G1" s="10">
        <f>D1/B1</f>
        <v>112</v>
      </c>
      <c r="H1" s="17" t="s">
        <v>191</v>
      </c>
      <c r="I1" s="21">
        <v>10</v>
      </c>
      <c r="J1" s="1"/>
      <c r="K1" s="23" t="s">
        <v>192</v>
      </c>
      <c r="U1" s="93" t="s">
        <v>20</v>
      </c>
      <c r="V1" s="94">
        <v>110</v>
      </c>
    </row>
    <row r="2" spans="1:25" ht="14.25" customHeight="1" x14ac:dyDescent="0.25">
      <c r="A2" s="39"/>
      <c r="B2" s="155" t="s">
        <v>246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5" ht="14.25" customHeight="1" x14ac:dyDescent="0.25">
      <c r="A3" s="41"/>
      <c r="B3" s="149" t="s">
        <v>247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1"/>
      <c r="B5" s="11" t="s">
        <v>326</v>
      </c>
      <c r="C5" s="16" t="s">
        <v>206</v>
      </c>
      <c r="D5" s="15">
        <v>0.26345933562428409</v>
      </c>
      <c r="E5" s="12">
        <f>$G$1</f>
        <v>112</v>
      </c>
      <c r="F5" s="13">
        <v>1</v>
      </c>
      <c r="G5" s="12">
        <f>E5*D5</f>
        <v>29.507445589919818</v>
      </c>
      <c r="H5" s="56">
        <f>G5*F5</f>
        <v>29.507445589919818</v>
      </c>
      <c r="I5" s="11">
        <f>VLOOKUP(B5,Ordering!$A$1:$J$45,6,FALSE)</f>
        <v>1</v>
      </c>
      <c r="J5" s="58">
        <f>VLOOKUP(B5,Ordering!$A$1:$J$45,10,FALSE)</f>
        <v>5</v>
      </c>
      <c r="K5" s="58">
        <f>((H5/(I5))/1000)</f>
        <v>2.9507445589919818E-2</v>
      </c>
      <c r="L5" s="59">
        <f>J5*K5</f>
        <v>0.14753722794959909</v>
      </c>
    </row>
    <row r="6" spans="1:25" ht="14.85" customHeight="1" x14ac:dyDescent="0.25">
      <c r="A6" s="11"/>
      <c r="B6" s="11" t="s">
        <v>147</v>
      </c>
      <c r="C6" s="16" t="s">
        <v>206</v>
      </c>
      <c r="D6" s="15">
        <v>9.7365406643757169</v>
      </c>
      <c r="E6" s="12">
        <f>$G$1</f>
        <v>112</v>
      </c>
      <c r="F6" s="13">
        <v>1</v>
      </c>
      <c r="G6" s="12">
        <f>E6*D6</f>
        <v>1090.4925544100802</v>
      </c>
      <c r="H6" s="56">
        <f>G6*F6</f>
        <v>1090.4925544100802</v>
      </c>
      <c r="I6" s="11">
        <f>VLOOKUP(B6,Ordering!$A$1:$J$45,6,FALSE)</f>
        <v>0.9</v>
      </c>
      <c r="J6" s="58">
        <f>VLOOKUP(B6,Ordering!$A$1:$J$45,10,FALSE)</f>
        <v>3</v>
      </c>
      <c r="K6" s="58">
        <f>((H6/(I6))/1000)</f>
        <v>1.211658393788978</v>
      </c>
      <c r="L6" s="59">
        <f>J6*K6</f>
        <v>3.6349751813669338</v>
      </c>
    </row>
    <row r="7" spans="1:25" x14ac:dyDescent="0.25">
      <c r="B7" s="57" t="s">
        <v>191</v>
      </c>
      <c r="C7" s="132" t="s">
        <v>206</v>
      </c>
      <c r="D7" s="127">
        <f>$I$1</f>
        <v>10</v>
      </c>
      <c r="E7" s="133"/>
      <c r="F7" s="133"/>
      <c r="G7" s="134" t="s">
        <v>325</v>
      </c>
      <c r="H7" s="135">
        <f>SUM(H2:H6)</f>
        <v>1120</v>
      </c>
      <c r="J7" s="19"/>
      <c r="K7" s="19"/>
      <c r="L7" s="19"/>
    </row>
    <row r="8" spans="1:25" x14ac:dyDescent="0.25">
      <c r="J8" s="19"/>
      <c r="K8" s="19"/>
      <c r="L8" s="19"/>
      <c r="R8" s="35"/>
      <c r="V8" s="63" t="s">
        <v>207</v>
      </c>
      <c r="W8" s="64">
        <v>1</v>
      </c>
      <c r="X8" s="63" t="s">
        <v>205</v>
      </c>
      <c r="Y8" s="65">
        <f>SUM(L5:L6)/Q20</f>
        <v>3.3772432226040469E-2</v>
      </c>
    </row>
    <row r="9" spans="1:25" x14ac:dyDescent="0.25">
      <c r="J9" s="19"/>
      <c r="K9" s="19"/>
      <c r="L9" s="19"/>
    </row>
    <row r="10" spans="1:25" x14ac:dyDescent="0.25">
      <c r="J10" s="19"/>
      <c r="K10" s="19"/>
      <c r="L10" s="19"/>
    </row>
    <row r="11" spans="1:25" x14ac:dyDescent="0.25">
      <c r="M11" s="72"/>
    </row>
    <row r="12" spans="1:25" ht="14.85" customHeight="1" x14ac:dyDescent="0.25">
      <c r="M12" s="7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 t="s">
        <v>125</v>
      </c>
      <c r="Q15" s="137"/>
    </row>
    <row r="16" spans="1:25" x14ac:dyDescent="0.25">
      <c r="P16" s="140" t="s">
        <v>227</v>
      </c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110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112</v>
      </c>
    </row>
    <row r="21" spans="11:17" x14ac:dyDescent="0.25">
      <c r="P21" s="61" t="s">
        <v>205</v>
      </c>
      <c r="Q21" s="62">
        <f>SUM(L5:L6)</f>
        <v>3.7825124093165328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4" orientation="landscape" verticalDpi="12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6">
    <tabColor theme="4" tint="-0.249977111117893"/>
    <pageSetUpPr fitToPage="1"/>
  </sheetPr>
  <dimension ref="A1:V27"/>
  <sheetViews>
    <sheetView topLeftCell="B1" zoomScale="85" zoomScaleNormal="85" zoomScaleSheetLayoutView="100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7" max="17" width="8.42578125" bestFit="1" customWidth="1"/>
  </cols>
  <sheetData>
    <row r="1" spans="1:22" ht="26.25" customHeight="1" x14ac:dyDescent="0.25">
      <c r="A1" s="17" t="s">
        <v>188</v>
      </c>
      <c r="B1" s="9">
        <v>1</v>
      </c>
      <c r="C1" s="17" t="s">
        <v>189</v>
      </c>
      <c r="D1" s="10">
        <f>Q20</f>
        <v>367</v>
      </c>
      <c r="F1" s="17" t="s">
        <v>190</v>
      </c>
      <c r="G1" s="10">
        <f>D1/B1</f>
        <v>367</v>
      </c>
      <c r="H1" s="17" t="s">
        <v>191</v>
      </c>
      <c r="I1" s="21">
        <v>20</v>
      </c>
      <c r="J1" s="1"/>
      <c r="K1" s="23" t="s">
        <v>192</v>
      </c>
      <c r="N1" t="s">
        <v>248</v>
      </c>
      <c r="U1" s="93" t="s">
        <v>20</v>
      </c>
      <c r="V1" s="94">
        <v>365</v>
      </c>
    </row>
    <row r="2" spans="1:22" ht="14.25" customHeight="1" x14ac:dyDescent="0.25">
      <c r="A2" s="40"/>
      <c r="B2" s="150" t="s">
        <v>249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41"/>
      <c r="B3" s="149" t="s">
        <v>250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34</v>
      </c>
      <c r="C5" s="16" t="s">
        <v>36</v>
      </c>
      <c r="D5" s="15">
        <v>1.215066828675577</v>
      </c>
      <c r="E5" s="12">
        <f t="shared" ref="E5:E10" si="0">$G$1</f>
        <v>367</v>
      </c>
      <c r="F5" s="13">
        <v>1</v>
      </c>
      <c r="G5" s="12">
        <f t="shared" ref="G5:G10" si="1">E5*D5</f>
        <v>445.9295261239368</v>
      </c>
      <c r="H5" s="56">
        <f t="shared" ref="H5:H10" si="2">G5*F5</f>
        <v>445.9295261239368</v>
      </c>
      <c r="I5" s="11">
        <f>VLOOKUP(B5,Ordering!$A$1:$J$45,6,FALSE)</f>
        <v>1</v>
      </c>
      <c r="J5" s="58">
        <f>VLOOKUP(B5,Ordering!$A$1:$J$45,10,FALSE)</f>
        <v>5</v>
      </c>
      <c r="K5" s="58">
        <f t="shared" ref="K5:K10" si="3">H5/I5</f>
        <v>445.9295261239368</v>
      </c>
      <c r="L5" s="59">
        <f t="shared" ref="L5:L10" si="4">J5*K5</f>
        <v>2229.6476306196842</v>
      </c>
    </row>
    <row r="6" spans="1:22" ht="14.85" customHeight="1" x14ac:dyDescent="0.25">
      <c r="A6" s="11"/>
      <c r="B6" s="11" t="s">
        <v>80</v>
      </c>
      <c r="C6" s="16" t="s">
        <v>206</v>
      </c>
      <c r="D6" s="15">
        <v>2.430133657351154E-2</v>
      </c>
      <c r="E6" s="12">
        <f t="shared" si="0"/>
        <v>367</v>
      </c>
      <c r="F6" s="13">
        <v>1</v>
      </c>
      <c r="G6" s="12">
        <f t="shared" si="1"/>
        <v>8.9185905224787358</v>
      </c>
      <c r="H6" s="56">
        <f t="shared" si="2"/>
        <v>8.9185905224787358</v>
      </c>
      <c r="I6" s="11">
        <f>VLOOKUP(B6,Ordering!$A$1:$J$45,6,FALSE)</f>
        <v>1</v>
      </c>
      <c r="J6" s="58">
        <f>VLOOKUP(B6,Ordering!$A$1:$J$45,10,FALSE)</f>
        <v>8</v>
      </c>
      <c r="K6" s="58">
        <f t="shared" si="3"/>
        <v>8.9185905224787358</v>
      </c>
      <c r="L6" s="59">
        <f t="shared" si="4"/>
        <v>71.348724179829887</v>
      </c>
    </row>
    <row r="7" spans="1:22" ht="14.85" customHeight="1" x14ac:dyDescent="0.25">
      <c r="A7" s="11"/>
      <c r="B7" s="11" t="s">
        <v>88</v>
      </c>
      <c r="C7" s="16" t="s">
        <v>206</v>
      </c>
      <c r="D7" s="15">
        <v>8.910490076954232E-2</v>
      </c>
      <c r="E7" s="12">
        <f t="shared" si="0"/>
        <v>367</v>
      </c>
      <c r="F7" s="13">
        <v>1</v>
      </c>
      <c r="G7" s="12">
        <f t="shared" si="1"/>
        <v>32.701498582422033</v>
      </c>
      <c r="H7" s="56">
        <f t="shared" si="2"/>
        <v>32.701498582422033</v>
      </c>
      <c r="I7" s="11">
        <f>VLOOKUP(B7,Ordering!$A$1:$J$45,6,FALSE)</f>
        <v>1</v>
      </c>
      <c r="J7" s="58">
        <f>VLOOKUP(B7,Ordering!$A$1:$J$45,10,FALSE)</f>
        <v>0.74</v>
      </c>
      <c r="K7" s="58">
        <f t="shared" si="3"/>
        <v>32.701498582422033</v>
      </c>
      <c r="L7" s="59">
        <f t="shared" si="4"/>
        <v>24.199108950992304</v>
      </c>
      <c r="P7" s="35"/>
    </row>
    <row r="8" spans="1:22" ht="14.85" customHeight="1" x14ac:dyDescent="0.25">
      <c r="A8" s="11"/>
      <c r="B8" s="11" t="s">
        <v>66</v>
      </c>
      <c r="C8" s="16" t="s">
        <v>36</v>
      </c>
      <c r="D8" s="15">
        <v>10.54678007290401</v>
      </c>
      <c r="E8" s="12">
        <f t="shared" si="0"/>
        <v>367</v>
      </c>
      <c r="F8" s="13">
        <v>1</v>
      </c>
      <c r="G8" s="12">
        <f t="shared" si="1"/>
        <v>3870.6682867557715</v>
      </c>
      <c r="H8" s="56">
        <f t="shared" si="2"/>
        <v>3870.6682867557715</v>
      </c>
      <c r="I8" s="11">
        <f>VLOOKUP(B8,Ordering!$A$1:$J$45,6,FALSE)</f>
        <v>1</v>
      </c>
      <c r="J8" s="58">
        <f>VLOOKUP(B8,Ordering!$A$1:$J$45,10,FALSE)</f>
        <v>0</v>
      </c>
      <c r="K8" s="58">
        <f t="shared" si="3"/>
        <v>3870.6682867557715</v>
      </c>
      <c r="L8" s="59">
        <f t="shared" si="4"/>
        <v>0</v>
      </c>
    </row>
    <row r="9" spans="1:22" ht="14.85" customHeight="1" x14ac:dyDescent="0.25">
      <c r="A9" s="11"/>
      <c r="B9" s="11" t="s">
        <v>76</v>
      </c>
      <c r="C9" s="16" t="s">
        <v>206</v>
      </c>
      <c r="D9" s="15">
        <v>2.430133657351154E-2</v>
      </c>
      <c r="E9" s="12">
        <f t="shared" si="0"/>
        <v>367</v>
      </c>
      <c r="F9" s="13">
        <v>1</v>
      </c>
      <c r="G9" s="12">
        <f t="shared" si="1"/>
        <v>8.9185905224787358</v>
      </c>
      <c r="H9" s="56">
        <f t="shared" si="2"/>
        <v>8.9185905224787358</v>
      </c>
      <c r="I9" s="11">
        <f>VLOOKUP(B9,Ordering!$A$1:$J$45,6,FALSE)</f>
        <v>1</v>
      </c>
      <c r="J9" s="58">
        <f>VLOOKUP(B9,Ordering!$A$1:$J$45,10,FALSE)</f>
        <v>31</v>
      </c>
      <c r="K9" s="58">
        <f t="shared" si="3"/>
        <v>8.9185905224787358</v>
      </c>
      <c r="L9" s="59">
        <f t="shared" si="4"/>
        <v>276.47630619684082</v>
      </c>
    </row>
    <row r="10" spans="1:22" ht="14.85" customHeight="1" x14ac:dyDescent="0.25">
      <c r="A10" s="11"/>
      <c r="B10" s="11" t="s">
        <v>51</v>
      </c>
      <c r="C10" s="16" t="s">
        <v>206</v>
      </c>
      <c r="D10" s="15">
        <v>8.1004455245038471</v>
      </c>
      <c r="E10" s="12">
        <f t="shared" si="0"/>
        <v>367</v>
      </c>
      <c r="F10" s="13">
        <v>1</v>
      </c>
      <c r="G10" s="12">
        <f t="shared" si="1"/>
        <v>2972.863507492912</v>
      </c>
      <c r="H10" s="56">
        <f t="shared" si="2"/>
        <v>2972.863507492912</v>
      </c>
      <c r="I10" s="11">
        <f>VLOOKUP(B10,Ordering!$A$1:$J$45,6,FALSE)</f>
        <v>1</v>
      </c>
      <c r="J10" s="58">
        <f>VLOOKUP(B10,Ordering!$A$1:$J$45,10,FALSE)</f>
        <v>10</v>
      </c>
      <c r="K10" s="58">
        <f t="shared" si="3"/>
        <v>2972.863507492912</v>
      </c>
      <c r="L10" s="59">
        <f t="shared" si="4"/>
        <v>29728.63507492912</v>
      </c>
    </row>
    <row r="11" spans="1:22" x14ac:dyDescent="0.25">
      <c r="B11" s="57" t="s">
        <v>191</v>
      </c>
      <c r="C11" s="132" t="s">
        <v>206</v>
      </c>
      <c r="D11" s="127">
        <f>$I$1</f>
        <v>20</v>
      </c>
      <c r="E11" s="133"/>
      <c r="F11" s="133"/>
      <c r="G11" s="134" t="s">
        <v>325</v>
      </c>
      <c r="H11" s="135">
        <f>SUM(H5:H10)</f>
        <v>7340</v>
      </c>
    </row>
    <row r="12" spans="1:22" ht="14.85" customHeight="1" x14ac:dyDescent="0.25">
      <c r="M12" s="22"/>
    </row>
    <row r="13" spans="1:22" ht="14.85" customHeight="1" x14ac:dyDescent="0.25"/>
    <row r="14" spans="1:22" ht="14.85" customHeight="1" x14ac:dyDescent="0.25">
      <c r="L14" s="72"/>
      <c r="M14" s="74"/>
    </row>
    <row r="15" spans="1:22" x14ac:dyDescent="0.25">
      <c r="L15" s="72"/>
      <c r="M15" s="75"/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365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367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6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7">
    <tabColor theme="4" tint="-0.249977111117893"/>
    <pageSetUpPr fitToPage="1"/>
  </sheetPr>
  <dimension ref="A1:V27"/>
  <sheetViews>
    <sheetView zoomScale="85" zoomScaleNormal="85" zoomScaleSheetLayoutView="100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5703125" customWidth="1"/>
    <col min="19" max="19" width="8.42578125" bestFit="1" customWidth="1"/>
  </cols>
  <sheetData>
    <row r="1" spans="1:22" ht="26.25" customHeight="1" x14ac:dyDescent="0.25">
      <c r="A1" s="17" t="s">
        <v>188</v>
      </c>
      <c r="B1" s="9">
        <v>1</v>
      </c>
      <c r="C1" s="17" t="s">
        <v>189</v>
      </c>
      <c r="D1" s="10">
        <f>Q20</f>
        <v>257</v>
      </c>
      <c r="F1" s="17" t="s">
        <v>190</v>
      </c>
      <c r="G1" s="10">
        <f>D1/B1</f>
        <v>257</v>
      </c>
      <c r="H1" s="17" t="s">
        <v>191</v>
      </c>
      <c r="I1" s="21">
        <v>20</v>
      </c>
      <c r="J1" s="1"/>
      <c r="K1" s="23" t="s">
        <v>192</v>
      </c>
      <c r="U1" s="93" t="s">
        <v>20</v>
      </c>
      <c r="V1" s="94">
        <v>255</v>
      </c>
    </row>
    <row r="2" spans="1:22" ht="14.25" customHeight="1" x14ac:dyDescent="0.25">
      <c r="A2" s="39"/>
      <c r="B2" s="152" t="s">
        <v>213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2" ht="14.25" customHeight="1" x14ac:dyDescent="0.25">
      <c r="A3" s="41"/>
      <c r="B3" s="156" t="s">
        <v>251</v>
      </c>
      <c r="C3" s="137"/>
      <c r="D3" s="137"/>
      <c r="E3" s="137"/>
      <c r="F3" s="137"/>
      <c r="G3" s="137"/>
      <c r="H3" s="15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149</v>
      </c>
      <c r="C5" s="16" t="s">
        <v>206</v>
      </c>
      <c r="D5" s="15">
        <v>19.3</v>
      </c>
      <c r="E5" s="12">
        <f t="shared" ref="E5:E10" si="0">$G$1</f>
        <v>257</v>
      </c>
      <c r="F5" s="13">
        <v>1</v>
      </c>
      <c r="G5" s="12">
        <f t="shared" ref="G5:G10" si="1">E5*D5</f>
        <v>4960.1000000000004</v>
      </c>
      <c r="H5" s="56">
        <f t="shared" ref="H5:H10" si="2">G5*F5</f>
        <v>4960.1000000000004</v>
      </c>
      <c r="I5" s="11">
        <f>VLOOKUP(B5,Ordering!$A$1:$J$45,6,FALSE)</f>
        <v>0.98</v>
      </c>
      <c r="J5" s="58">
        <f>VLOOKUP(B5,Ordering!$A$1:$J$45,10,FALSE)</f>
        <v>3.5</v>
      </c>
      <c r="K5" s="58">
        <f t="shared" ref="K5:K10" si="3">H5/I5</f>
        <v>5061.3265306122457</v>
      </c>
      <c r="L5" s="59">
        <f t="shared" ref="L5:L10" si="4">J5*K5</f>
        <v>17714.642857142859</v>
      </c>
    </row>
    <row r="6" spans="1:22" ht="14.85" customHeight="1" x14ac:dyDescent="0.25">
      <c r="A6" s="11"/>
      <c r="B6" s="11" t="s">
        <v>146</v>
      </c>
      <c r="C6" s="16" t="s">
        <v>206</v>
      </c>
      <c r="D6" s="15">
        <v>0.11</v>
      </c>
      <c r="E6" s="12">
        <f t="shared" si="0"/>
        <v>257</v>
      </c>
      <c r="F6" s="13">
        <v>1</v>
      </c>
      <c r="G6" s="12">
        <f t="shared" si="1"/>
        <v>28.27</v>
      </c>
      <c r="H6" s="56">
        <f t="shared" si="2"/>
        <v>28.27</v>
      </c>
      <c r="I6" s="11">
        <f>VLOOKUP(B6,Ordering!$A$1:$J$45,6,FALSE)</f>
        <v>0.96</v>
      </c>
      <c r="J6" s="58">
        <f>VLOOKUP(B6,Ordering!$A$1:$J$45,10,FALSE)</f>
        <v>4</v>
      </c>
      <c r="K6" s="58">
        <f t="shared" si="3"/>
        <v>29.447916666666668</v>
      </c>
      <c r="L6" s="59">
        <f t="shared" si="4"/>
        <v>117.79166666666667</v>
      </c>
    </row>
    <row r="7" spans="1:22" ht="14.85" customHeight="1" x14ac:dyDescent="0.25">
      <c r="A7" s="11"/>
      <c r="B7" s="11" t="s">
        <v>133</v>
      </c>
      <c r="C7" s="16" t="s">
        <v>206</v>
      </c>
      <c r="D7" s="15">
        <v>0.12</v>
      </c>
      <c r="E7" s="12">
        <f t="shared" si="0"/>
        <v>257</v>
      </c>
      <c r="F7" s="13">
        <v>1</v>
      </c>
      <c r="G7" s="12">
        <f t="shared" si="1"/>
        <v>30.84</v>
      </c>
      <c r="H7" s="56">
        <f t="shared" si="2"/>
        <v>30.84</v>
      </c>
      <c r="I7" s="11">
        <f>VLOOKUP(B7,Ordering!$A$1:$J$45,6,FALSE)</f>
        <v>0.94</v>
      </c>
      <c r="J7" s="58">
        <f>VLOOKUP(B7,Ordering!$A$1:$J$45,10,FALSE)</f>
        <v>3.6363636363636371</v>
      </c>
      <c r="K7" s="58">
        <f t="shared" si="3"/>
        <v>32.808510638297875</v>
      </c>
      <c r="L7" s="59">
        <f t="shared" si="4"/>
        <v>119.30367504835593</v>
      </c>
      <c r="R7" s="35"/>
    </row>
    <row r="8" spans="1:22" ht="14.85" customHeight="1" x14ac:dyDescent="0.25">
      <c r="A8" s="11"/>
      <c r="B8" s="11" t="s">
        <v>98</v>
      </c>
      <c r="C8" s="16" t="s">
        <v>206</v>
      </c>
      <c r="D8" s="71">
        <v>6.9999999999999999E-4</v>
      </c>
      <c r="E8" s="12">
        <f t="shared" si="0"/>
        <v>257</v>
      </c>
      <c r="F8" s="13">
        <v>1</v>
      </c>
      <c r="G8" s="128">
        <f t="shared" si="1"/>
        <v>0.1799</v>
      </c>
      <c r="H8" s="129">
        <f t="shared" si="2"/>
        <v>0.1799</v>
      </c>
      <c r="I8" s="11">
        <f>VLOOKUP(B8,Ordering!$A$1:$J$45,6,FALSE)</f>
        <v>1</v>
      </c>
      <c r="J8" s="58">
        <f>VLOOKUP(B8,Ordering!$A$1:$J$45,10,FALSE)</f>
        <v>35</v>
      </c>
      <c r="K8" s="58">
        <f t="shared" si="3"/>
        <v>0.1799</v>
      </c>
      <c r="L8" s="59">
        <f t="shared" si="4"/>
        <v>6.2965</v>
      </c>
    </row>
    <row r="9" spans="1:22" ht="14.85" customHeight="1" x14ac:dyDescent="0.25">
      <c r="A9" s="11"/>
      <c r="B9" s="11" t="s">
        <v>88</v>
      </c>
      <c r="C9" s="16" t="s">
        <v>206</v>
      </c>
      <c r="D9" s="15">
        <v>6.6000000000000003E-2</v>
      </c>
      <c r="E9" s="12">
        <f t="shared" si="0"/>
        <v>257</v>
      </c>
      <c r="F9" s="13">
        <v>1</v>
      </c>
      <c r="G9" s="12">
        <f t="shared" si="1"/>
        <v>16.962</v>
      </c>
      <c r="H9" s="56">
        <f t="shared" si="2"/>
        <v>16.962</v>
      </c>
      <c r="I9" s="11">
        <f>VLOOKUP(B9,Ordering!$A$1:$J$45,6,FALSE)</f>
        <v>1</v>
      </c>
      <c r="J9" s="58">
        <f>VLOOKUP(B9,Ordering!$A$1:$J$45,10,FALSE)</f>
        <v>0.74</v>
      </c>
      <c r="K9" s="58">
        <f t="shared" si="3"/>
        <v>16.962</v>
      </c>
      <c r="L9" s="59">
        <f t="shared" si="4"/>
        <v>12.551879999999999</v>
      </c>
    </row>
    <row r="10" spans="1:22" ht="14.85" customHeight="1" x14ac:dyDescent="0.25">
      <c r="A10" s="11"/>
      <c r="B10" s="11" t="s">
        <v>66</v>
      </c>
      <c r="C10" s="16" t="s">
        <v>36</v>
      </c>
      <c r="D10" s="15">
        <v>0.40899999999999997</v>
      </c>
      <c r="E10" s="12">
        <f t="shared" si="0"/>
        <v>257</v>
      </c>
      <c r="F10" s="13">
        <v>1</v>
      </c>
      <c r="G10" s="12">
        <f t="shared" si="1"/>
        <v>105.113</v>
      </c>
      <c r="H10" s="56">
        <f t="shared" si="2"/>
        <v>105.113</v>
      </c>
      <c r="I10" s="11">
        <f>VLOOKUP(B10,Ordering!$A$1:$J$45,6,FALSE)</f>
        <v>1</v>
      </c>
      <c r="J10" s="58">
        <f>VLOOKUP(B10,Ordering!$A$1:$J$45,10,FALSE)</f>
        <v>0</v>
      </c>
      <c r="K10" s="58">
        <f t="shared" si="3"/>
        <v>105.113</v>
      </c>
      <c r="L10" s="59">
        <f t="shared" si="4"/>
        <v>0</v>
      </c>
    </row>
    <row r="11" spans="1:22" x14ac:dyDescent="0.25">
      <c r="B11" s="57" t="s">
        <v>191</v>
      </c>
      <c r="C11" s="132" t="s">
        <v>206</v>
      </c>
      <c r="D11" s="127">
        <f>$I$1</f>
        <v>20</v>
      </c>
      <c r="E11" s="133"/>
      <c r="F11" s="133"/>
      <c r="G11" s="134" t="s">
        <v>325</v>
      </c>
      <c r="H11" s="135">
        <f>SUM(H5:H10)</f>
        <v>5141.4649000000018</v>
      </c>
      <c r="M11" s="72"/>
      <c r="N11" s="22"/>
    </row>
    <row r="12" spans="1:22" ht="14.85" customHeight="1" x14ac:dyDescent="0.25">
      <c r="M12" s="72"/>
      <c r="N12" s="22"/>
      <c r="O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255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257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9" orientation="landscape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>
    <tabColor theme="4" tint="-0.249977111117893"/>
    <pageSetUpPr fitToPage="1"/>
  </sheetPr>
  <dimension ref="A1:V27"/>
  <sheetViews>
    <sheetView topLeftCell="B1" zoomScale="85" zoomScaleNormal="85" zoomScaleSheetLayoutView="100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3.42578125" customWidth="1"/>
    <col min="19" max="19" width="8.42578125" bestFit="1" customWidth="1"/>
  </cols>
  <sheetData>
    <row r="1" spans="1:22" ht="26.25" customHeight="1" x14ac:dyDescent="0.25">
      <c r="A1" s="17" t="s">
        <v>188</v>
      </c>
      <c r="B1" s="9">
        <v>1</v>
      </c>
      <c r="C1" s="17" t="s">
        <v>189</v>
      </c>
      <c r="D1" s="10">
        <f>Q20</f>
        <v>81</v>
      </c>
      <c r="F1" s="17" t="s">
        <v>190</v>
      </c>
      <c r="G1" s="10">
        <f>D1/B1</f>
        <v>81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79</v>
      </c>
    </row>
    <row r="2" spans="1:22" ht="14.25" customHeight="1" x14ac:dyDescent="0.25">
      <c r="A2" s="41"/>
      <c r="B2" s="152" t="s">
        <v>218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2" ht="14.25" customHeight="1" x14ac:dyDescent="0.25">
      <c r="A3" s="41"/>
      <c r="B3" s="156" t="s">
        <v>252</v>
      </c>
      <c r="C3" s="137"/>
      <c r="D3" s="137"/>
      <c r="E3" s="137"/>
      <c r="F3" s="137"/>
      <c r="G3" s="137"/>
      <c r="H3" s="15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149</v>
      </c>
      <c r="C5" s="16" t="s">
        <v>206</v>
      </c>
      <c r="D5" s="15">
        <v>33.700000000000003</v>
      </c>
      <c r="E5" s="12">
        <f t="shared" ref="E5:E10" si="0">$G$1</f>
        <v>81</v>
      </c>
      <c r="F5" s="13">
        <v>1</v>
      </c>
      <c r="G5" s="12">
        <f t="shared" ref="G5:G10" si="1">E5*D5</f>
        <v>2729.7000000000003</v>
      </c>
      <c r="H5" s="56">
        <f t="shared" ref="H5:H10" si="2">G5*F5</f>
        <v>2729.7000000000003</v>
      </c>
      <c r="I5" s="11">
        <f>VLOOKUP(B5,Ordering!$A$1:$J$45,6,FALSE)</f>
        <v>0.98</v>
      </c>
      <c r="J5" s="58">
        <f>VLOOKUP(B5,Ordering!$A$1:$J$45,10,FALSE)</f>
        <v>3.5</v>
      </c>
      <c r="K5" s="58">
        <f t="shared" ref="K5:K10" si="3">H5/I5</f>
        <v>2785.4081632653065</v>
      </c>
      <c r="L5" s="59">
        <f t="shared" ref="L5:L10" si="4">J5*K5</f>
        <v>9748.9285714285725</v>
      </c>
    </row>
    <row r="6" spans="1:22" ht="14.85" customHeight="1" x14ac:dyDescent="0.25">
      <c r="A6" s="11"/>
      <c r="B6" s="11" t="s">
        <v>146</v>
      </c>
      <c r="C6" s="16" t="s">
        <v>206</v>
      </c>
      <c r="D6" s="15">
        <v>0.24</v>
      </c>
      <c r="E6" s="12">
        <f t="shared" si="0"/>
        <v>81</v>
      </c>
      <c r="F6" s="13">
        <v>1</v>
      </c>
      <c r="G6" s="12">
        <f t="shared" si="1"/>
        <v>19.439999999999998</v>
      </c>
      <c r="H6" s="56">
        <f t="shared" si="2"/>
        <v>19.439999999999998</v>
      </c>
      <c r="I6" s="11">
        <f>VLOOKUP(B6,Ordering!$A$1:$J$45,6,FALSE)</f>
        <v>0.96</v>
      </c>
      <c r="J6" s="58">
        <f>VLOOKUP(B6,Ordering!$A$1:$J$45,10,FALSE)</f>
        <v>4</v>
      </c>
      <c r="K6" s="58">
        <f t="shared" si="3"/>
        <v>20.25</v>
      </c>
      <c r="L6" s="59">
        <f t="shared" si="4"/>
        <v>81</v>
      </c>
    </row>
    <row r="7" spans="1:22" ht="14.85" customHeight="1" x14ac:dyDescent="0.25">
      <c r="A7" s="11"/>
      <c r="B7" s="11" t="s">
        <v>133</v>
      </c>
      <c r="C7" s="16" t="s">
        <v>206</v>
      </c>
      <c r="D7" s="15">
        <v>0.2</v>
      </c>
      <c r="E7" s="12">
        <f t="shared" si="0"/>
        <v>81</v>
      </c>
      <c r="F7" s="13">
        <v>1</v>
      </c>
      <c r="G7" s="12">
        <f t="shared" si="1"/>
        <v>16.2</v>
      </c>
      <c r="H7" s="56">
        <f t="shared" si="2"/>
        <v>16.2</v>
      </c>
      <c r="I7" s="11">
        <f>VLOOKUP(B7,Ordering!$A$1:$J$45,6,FALSE)</f>
        <v>0.94</v>
      </c>
      <c r="J7" s="58">
        <f>VLOOKUP(B7,Ordering!$A$1:$J$45,10,FALSE)</f>
        <v>3.6363636363636371</v>
      </c>
      <c r="K7" s="58">
        <f t="shared" si="3"/>
        <v>17.23404255319149</v>
      </c>
      <c r="L7" s="59">
        <f t="shared" si="4"/>
        <v>62.669245647969063</v>
      </c>
      <c r="R7" s="35"/>
    </row>
    <row r="8" spans="1:22" ht="14.85" customHeight="1" x14ac:dyDescent="0.25">
      <c r="A8" s="11"/>
      <c r="B8" s="11" t="s">
        <v>98</v>
      </c>
      <c r="C8" s="16" t="s">
        <v>206</v>
      </c>
      <c r="D8" s="24">
        <v>3.0000000000000001E-3</v>
      </c>
      <c r="E8" s="12">
        <f t="shared" si="0"/>
        <v>81</v>
      </c>
      <c r="F8" s="13">
        <v>1</v>
      </c>
      <c r="G8" s="128">
        <f t="shared" si="1"/>
        <v>0.24299999999999999</v>
      </c>
      <c r="H8" s="129">
        <f t="shared" si="2"/>
        <v>0.24299999999999999</v>
      </c>
      <c r="I8" s="11">
        <f>VLOOKUP(B8,Ordering!$A$1:$J$45,6,FALSE)</f>
        <v>1</v>
      </c>
      <c r="J8" s="58">
        <f>VLOOKUP(B8,Ordering!$A$1:$J$45,10,FALSE)</f>
        <v>35</v>
      </c>
      <c r="K8" s="58">
        <f t="shared" si="3"/>
        <v>0.24299999999999999</v>
      </c>
      <c r="L8" s="59">
        <f t="shared" si="4"/>
        <v>8.504999999999999</v>
      </c>
    </row>
    <row r="9" spans="1:22" ht="14.85" customHeight="1" x14ac:dyDescent="0.25">
      <c r="A9" s="11"/>
      <c r="B9" s="11" t="s">
        <v>88</v>
      </c>
      <c r="C9" s="16" t="s">
        <v>206</v>
      </c>
      <c r="D9" s="15">
        <v>0.12</v>
      </c>
      <c r="E9" s="12">
        <f t="shared" si="0"/>
        <v>81</v>
      </c>
      <c r="F9" s="13">
        <v>1</v>
      </c>
      <c r="G9" s="12">
        <f t="shared" si="1"/>
        <v>9.7199999999999989</v>
      </c>
      <c r="H9" s="56">
        <f t="shared" si="2"/>
        <v>9.7199999999999989</v>
      </c>
      <c r="I9" s="11">
        <f>VLOOKUP(B9,Ordering!$A$1:$J$45,6,FALSE)</f>
        <v>1</v>
      </c>
      <c r="J9" s="58">
        <f>VLOOKUP(B9,Ordering!$A$1:$J$45,10,FALSE)</f>
        <v>0.74</v>
      </c>
      <c r="K9" s="58">
        <f t="shared" si="3"/>
        <v>9.7199999999999989</v>
      </c>
      <c r="L9" s="59">
        <f t="shared" si="4"/>
        <v>7.1927999999999992</v>
      </c>
    </row>
    <row r="10" spans="1:22" ht="14.85" customHeight="1" x14ac:dyDescent="0.25">
      <c r="A10" s="11"/>
      <c r="B10" s="11" t="s">
        <v>66</v>
      </c>
      <c r="C10" s="16" t="s">
        <v>36</v>
      </c>
      <c r="D10" s="15">
        <v>0.75</v>
      </c>
      <c r="E10" s="12">
        <f t="shared" si="0"/>
        <v>81</v>
      </c>
      <c r="F10" s="13">
        <v>1</v>
      </c>
      <c r="G10" s="12">
        <f t="shared" si="1"/>
        <v>60.75</v>
      </c>
      <c r="H10" s="56">
        <f t="shared" si="2"/>
        <v>60.75</v>
      </c>
      <c r="I10" s="11">
        <f>VLOOKUP(B10,Ordering!$A$1:$J$45,6,FALSE)</f>
        <v>1</v>
      </c>
      <c r="J10" s="58">
        <f>VLOOKUP(B10,Ordering!$A$1:$J$45,10,FALSE)</f>
        <v>0</v>
      </c>
      <c r="K10" s="58">
        <f t="shared" si="3"/>
        <v>60.75</v>
      </c>
      <c r="L10" s="59">
        <f t="shared" si="4"/>
        <v>0</v>
      </c>
    </row>
    <row r="11" spans="1:22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2836.0529999999999</v>
      </c>
      <c r="M11" s="72"/>
      <c r="N11" s="22"/>
    </row>
    <row r="12" spans="1:22" ht="14.85" customHeight="1" x14ac:dyDescent="0.25">
      <c r="M12" s="72"/>
      <c r="N12" s="22"/>
      <c r="O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79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81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8"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theme="4" tint="-0.249977111117893"/>
    <pageSetUpPr fitToPage="1"/>
  </sheetPr>
  <dimension ref="A1:V27"/>
  <sheetViews>
    <sheetView topLeftCell="B1" zoomScale="85" zoomScaleNormal="85" zoomScaleSheetLayoutView="100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85546875" customWidth="1"/>
    <col min="19" max="19" width="8.42578125" bestFit="1" customWidth="1"/>
  </cols>
  <sheetData>
    <row r="1" spans="1:22" ht="26.25" customHeight="1" x14ac:dyDescent="0.25">
      <c r="A1" s="17" t="s">
        <v>188</v>
      </c>
      <c r="B1" s="9">
        <v>1</v>
      </c>
      <c r="C1" s="17" t="s">
        <v>189</v>
      </c>
      <c r="D1" s="10">
        <f>Q20</f>
        <v>132</v>
      </c>
      <c r="F1" s="17" t="s">
        <v>190</v>
      </c>
      <c r="G1" s="10">
        <f>D1/B1</f>
        <v>132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130</v>
      </c>
    </row>
    <row r="2" spans="1:22" ht="14.25" customHeight="1" x14ac:dyDescent="0.25">
      <c r="A2" s="37"/>
      <c r="B2" s="150" t="s">
        <v>228</v>
      </c>
      <c r="C2" s="151"/>
      <c r="D2" s="151"/>
      <c r="E2" s="151"/>
      <c r="F2" s="151"/>
      <c r="G2" s="151"/>
      <c r="H2" s="151"/>
      <c r="I2" s="32"/>
      <c r="J2" s="32"/>
      <c r="K2" s="33"/>
    </row>
    <row r="3" spans="1:22" ht="14.25" customHeight="1" x14ac:dyDescent="0.25">
      <c r="A3" s="38"/>
      <c r="B3" s="149" t="s">
        <v>253</v>
      </c>
      <c r="C3" s="137"/>
      <c r="D3" s="137"/>
      <c r="E3" s="137"/>
      <c r="F3" s="137"/>
      <c r="G3" s="137"/>
      <c r="H3" s="137"/>
      <c r="I3" s="31"/>
      <c r="J3" s="31"/>
      <c r="K3" s="34"/>
    </row>
    <row r="4" spans="1:22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2" ht="14.85" customHeight="1" x14ac:dyDescent="0.25">
      <c r="A5" s="11"/>
      <c r="B5" s="11" t="s">
        <v>23</v>
      </c>
      <c r="C5" s="16" t="s">
        <v>206</v>
      </c>
      <c r="D5" s="15">
        <v>20</v>
      </c>
      <c r="E5" s="12">
        <f t="shared" ref="E5:E10" si="0">$G$1</f>
        <v>132</v>
      </c>
      <c r="F5" s="13">
        <v>1</v>
      </c>
      <c r="G5" s="12">
        <f t="shared" ref="G5:G10" si="1">E5*D5</f>
        <v>2640</v>
      </c>
      <c r="H5" s="56">
        <f t="shared" ref="H5:H10" si="2">G5*F5</f>
        <v>2640</v>
      </c>
      <c r="I5" s="11">
        <f>VLOOKUP(B5,Ordering!$A$1:$J$45,6,FALSE)</f>
        <v>1</v>
      </c>
      <c r="J5" s="58">
        <f>VLOOKUP(B5,Ordering!$A$1:$J$45,10,FALSE)</f>
        <v>6.6959999999999997</v>
      </c>
      <c r="K5" s="58">
        <f t="shared" ref="K5:K10" si="3">H5/I5</f>
        <v>2640</v>
      </c>
      <c r="L5" s="59">
        <f t="shared" ref="L5:L10" si="4">J5*K5</f>
        <v>17677.439999999999</v>
      </c>
    </row>
    <row r="6" spans="1:22" ht="14.85" customHeight="1" x14ac:dyDescent="0.25">
      <c r="A6" s="11"/>
      <c r="B6" s="11" t="s">
        <v>142</v>
      </c>
      <c r="C6" s="16" t="s">
        <v>206</v>
      </c>
      <c r="D6" s="15">
        <v>5.4</v>
      </c>
      <c r="E6" s="12">
        <f t="shared" si="0"/>
        <v>132</v>
      </c>
      <c r="F6" s="13">
        <v>1</v>
      </c>
      <c r="G6" s="12">
        <f t="shared" si="1"/>
        <v>712.80000000000007</v>
      </c>
      <c r="H6" s="56">
        <f t="shared" si="2"/>
        <v>712.80000000000007</v>
      </c>
      <c r="I6" s="11">
        <f>VLOOKUP(B6,Ordering!$A$1:$J$45,6,FALSE)</f>
        <v>0.8</v>
      </c>
      <c r="J6" s="58">
        <f>VLOOKUP(B6,Ordering!$A$1:$J$45,10,FALSE)</f>
        <v>3</v>
      </c>
      <c r="K6" s="58">
        <f t="shared" si="3"/>
        <v>891</v>
      </c>
      <c r="L6" s="59">
        <f t="shared" si="4"/>
        <v>2673</v>
      </c>
    </row>
    <row r="7" spans="1:22" ht="14.85" customHeight="1" x14ac:dyDescent="0.25">
      <c r="A7" s="11"/>
      <c r="B7" s="11" t="s">
        <v>80</v>
      </c>
      <c r="C7" s="16" t="s">
        <v>206</v>
      </c>
      <c r="D7" s="15">
        <v>0.05</v>
      </c>
      <c r="E7" s="12">
        <f t="shared" si="0"/>
        <v>132</v>
      </c>
      <c r="F7" s="13">
        <v>1</v>
      </c>
      <c r="G7" s="12">
        <f t="shared" si="1"/>
        <v>6.6000000000000005</v>
      </c>
      <c r="H7" s="56">
        <f t="shared" si="2"/>
        <v>6.6000000000000005</v>
      </c>
      <c r="I7" s="11">
        <f>VLOOKUP(B7,Ordering!$A$1:$J$45,6,FALSE)</f>
        <v>1</v>
      </c>
      <c r="J7" s="58">
        <f>VLOOKUP(B7,Ordering!$A$1:$J$45,10,FALSE)</f>
        <v>8</v>
      </c>
      <c r="K7" s="58">
        <f t="shared" si="3"/>
        <v>6.6000000000000005</v>
      </c>
      <c r="L7" s="59">
        <f t="shared" si="4"/>
        <v>52.800000000000004</v>
      </c>
      <c r="R7" s="35"/>
    </row>
    <row r="8" spans="1:22" ht="14.85" customHeight="1" x14ac:dyDescent="0.25">
      <c r="A8" s="11"/>
      <c r="B8" s="11" t="s">
        <v>120</v>
      </c>
      <c r="C8" s="16" t="s">
        <v>206</v>
      </c>
      <c r="D8" s="15">
        <v>0.02</v>
      </c>
      <c r="E8" s="12">
        <f t="shared" si="0"/>
        <v>132</v>
      </c>
      <c r="F8" s="13">
        <v>1</v>
      </c>
      <c r="G8" s="12">
        <f t="shared" si="1"/>
        <v>2.64</v>
      </c>
      <c r="H8" s="56">
        <f t="shared" si="2"/>
        <v>2.64</v>
      </c>
      <c r="I8" s="11">
        <f>VLOOKUP(B8,Ordering!$A$1:$J$45,6,FALSE)</f>
        <v>1</v>
      </c>
      <c r="J8" s="58">
        <f>VLOOKUP(B8,Ordering!$A$1:$J$45,10,FALSE)</f>
        <v>20</v>
      </c>
      <c r="K8" s="58">
        <f t="shared" si="3"/>
        <v>2.64</v>
      </c>
      <c r="L8" s="59">
        <f t="shared" si="4"/>
        <v>52.800000000000004</v>
      </c>
    </row>
    <row r="9" spans="1:22" ht="14.85" customHeight="1" x14ac:dyDescent="0.25">
      <c r="A9" s="11"/>
      <c r="B9" s="11" t="s">
        <v>66</v>
      </c>
      <c r="C9" s="16" t="s">
        <v>36</v>
      </c>
      <c r="D9" s="15">
        <v>9.4499999999999993</v>
      </c>
      <c r="E9" s="12">
        <f t="shared" si="0"/>
        <v>132</v>
      </c>
      <c r="F9" s="13">
        <v>1</v>
      </c>
      <c r="G9" s="12">
        <f t="shared" si="1"/>
        <v>1247.3999999999999</v>
      </c>
      <c r="H9" s="56">
        <f t="shared" si="2"/>
        <v>1247.3999999999999</v>
      </c>
      <c r="I9" s="11">
        <f>VLOOKUP(B9,Ordering!$A$1:$J$45,6,FALSE)</f>
        <v>1</v>
      </c>
      <c r="J9" s="58">
        <f>VLOOKUP(B9,Ordering!$A$1:$J$45,10,FALSE)</f>
        <v>0</v>
      </c>
      <c r="K9" s="58">
        <f t="shared" si="3"/>
        <v>1247.3999999999999</v>
      </c>
      <c r="L9" s="59">
        <f t="shared" si="4"/>
        <v>0</v>
      </c>
    </row>
    <row r="10" spans="1:22" ht="14.85" customHeight="1" x14ac:dyDescent="0.25">
      <c r="A10" s="11"/>
      <c r="B10" s="11" t="s">
        <v>88</v>
      </c>
      <c r="C10" s="16" t="s">
        <v>206</v>
      </c>
      <c r="D10" s="15">
        <v>0.08</v>
      </c>
      <c r="E10" s="12">
        <f t="shared" si="0"/>
        <v>132</v>
      </c>
      <c r="F10" s="13">
        <v>1</v>
      </c>
      <c r="G10" s="12">
        <f t="shared" si="1"/>
        <v>10.56</v>
      </c>
      <c r="H10" s="56">
        <f t="shared" si="2"/>
        <v>10.56</v>
      </c>
      <c r="I10" s="11">
        <f>VLOOKUP(B10,Ordering!$A$1:$J$45,6,FALSE)</f>
        <v>1</v>
      </c>
      <c r="J10" s="58">
        <f>VLOOKUP(B10,Ordering!$A$1:$J$45,10,FALSE)</f>
        <v>0.74</v>
      </c>
      <c r="K10" s="58">
        <f t="shared" si="3"/>
        <v>10.56</v>
      </c>
      <c r="L10" s="59">
        <f t="shared" si="4"/>
        <v>7.8144</v>
      </c>
    </row>
    <row r="11" spans="1:22" x14ac:dyDescent="0.25">
      <c r="B11" s="57" t="s">
        <v>191</v>
      </c>
      <c r="C11" s="132" t="s">
        <v>206</v>
      </c>
      <c r="D11" s="127">
        <f>$I$1</f>
        <v>35</v>
      </c>
      <c r="E11" s="133"/>
      <c r="F11" s="133"/>
      <c r="G11" s="134" t="s">
        <v>325</v>
      </c>
      <c r="H11" s="135">
        <f>SUM(H5:H10)</f>
        <v>4620</v>
      </c>
      <c r="M11" s="72"/>
      <c r="N11" s="22"/>
    </row>
    <row r="12" spans="1:22" ht="14.85" customHeight="1" x14ac:dyDescent="0.25">
      <c r="M12" s="72"/>
      <c r="N12" s="22"/>
    </row>
    <row r="13" spans="1:22" ht="14.85" customHeight="1" x14ac:dyDescent="0.25"/>
    <row r="14" spans="1:22" ht="14.85" customHeight="1" x14ac:dyDescent="0.25"/>
    <row r="15" spans="1:22" x14ac:dyDescent="0.25">
      <c r="P15" s="136"/>
      <c r="Q15" s="137"/>
    </row>
    <row r="16" spans="1:22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130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132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8" orientation="landscape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57">
    <tabColor theme="4" tint="-0.249977111117893"/>
    <pageSetUpPr fitToPage="1"/>
  </sheetPr>
  <dimension ref="A1:Y27"/>
  <sheetViews>
    <sheetView zoomScale="85" zoomScaleNormal="85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200</v>
      </c>
      <c r="F1" s="17" t="s">
        <v>190</v>
      </c>
      <c r="G1" s="10">
        <f>D1/B1</f>
        <v>200</v>
      </c>
      <c r="H1" s="17" t="s">
        <v>191</v>
      </c>
      <c r="I1" s="21">
        <v>35</v>
      </c>
      <c r="J1" s="1"/>
      <c r="K1" s="23" t="s">
        <v>192</v>
      </c>
      <c r="U1" s="93" t="s">
        <v>20</v>
      </c>
      <c r="V1" s="94">
        <v>198</v>
      </c>
    </row>
    <row r="2" spans="1:25" ht="14.25" customHeight="1" x14ac:dyDescent="0.25">
      <c r="A2" s="39"/>
      <c r="B2" s="152" t="s">
        <v>278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290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42</v>
      </c>
      <c r="C5" s="16" t="s">
        <v>206</v>
      </c>
      <c r="D5" s="107">
        <v>29.005524861878463</v>
      </c>
      <c r="E5" s="108">
        <f>$G$1</f>
        <v>200</v>
      </c>
      <c r="F5" s="109">
        <v>1</v>
      </c>
      <c r="G5" s="108">
        <f>E5*D5</f>
        <v>5801.1049723756923</v>
      </c>
      <c r="H5" s="110">
        <f>G5*F5</f>
        <v>5801.1049723756923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5.8011049723756924</v>
      </c>
      <c r="L5" s="112">
        <f>J5*K5</f>
        <v>37.236822457816942</v>
      </c>
    </row>
    <row r="6" spans="1:25" ht="14.85" customHeight="1" x14ac:dyDescent="0.25">
      <c r="A6" s="106"/>
      <c r="B6" s="106" t="s">
        <v>263</v>
      </c>
      <c r="C6" s="16" t="s">
        <v>206</v>
      </c>
      <c r="D6" s="107">
        <v>1.9337016574585641</v>
      </c>
      <c r="E6" s="108">
        <f>$G$1</f>
        <v>200</v>
      </c>
      <c r="F6" s="109">
        <v>1</v>
      </c>
      <c r="G6" s="108">
        <f>E6*D6</f>
        <v>386.74033149171282</v>
      </c>
      <c r="H6" s="110">
        <f>G6*F6</f>
        <v>386.74033149171282</v>
      </c>
      <c r="I6" s="106">
        <f>VLOOKUP(B6,Ordering!$A$1:$J$45,6,FALSE)</f>
        <v>1</v>
      </c>
      <c r="J6" s="111">
        <f>VLOOKUP(B6,Ordering!$A$1:$J$45,10,FALSE)</f>
        <v>10.5</v>
      </c>
      <c r="K6" s="107">
        <f>((H6/(I6))/1000)</f>
        <v>0.38674033149171283</v>
      </c>
      <c r="L6" s="112">
        <f>J6*K6</f>
        <v>4.0607734806629843</v>
      </c>
    </row>
    <row r="7" spans="1:25" ht="14.85" customHeight="1" x14ac:dyDescent="0.25">
      <c r="A7" s="106"/>
      <c r="B7" s="106" t="s">
        <v>34</v>
      </c>
      <c r="C7" s="16" t="s">
        <v>36</v>
      </c>
      <c r="D7" s="107">
        <v>2.9005524861878462</v>
      </c>
      <c r="E7" s="108">
        <f>$G$1</f>
        <v>200</v>
      </c>
      <c r="F7" s="109">
        <v>1</v>
      </c>
      <c r="G7" s="108">
        <f>E7*D7</f>
        <v>580.11049723756923</v>
      </c>
      <c r="H7" s="110">
        <f>G7*F7</f>
        <v>580.11049723756923</v>
      </c>
      <c r="I7" s="106">
        <f>VLOOKUP(B7,Ordering!$A$1:$J$45,6,FALSE)</f>
        <v>1</v>
      </c>
      <c r="J7" s="111">
        <f>VLOOKUP(B7,Ordering!$A$1:$J$45,10,FALSE)</f>
        <v>5</v>
      </c>
      <c r="K7" s="107">
        <f>((H7/(I7))/1000)</f>
        <v>0.58011049723756924</v>
      </c>
      <c r="L7" s="112">
        <f>J7*K7</f>
        <v>2.9005524861878462</v>
      </c>
      <c r="R7" s="35"/>
    </row>
    <row r="8" spans="1:25" ht="14.85" customHeight="1" x14ac:dyDescent="0.25">
      <c r="A8" s="106"/>
      <c r="B8" s="106" t="s">
        <v>46</v>
      </c>
      <c r="C8" s="16" t="s">
        <v>206</v>
      </c>
      <c r="D8" s="107">
        <v>0.96685082872928163</v>
      </c>
      <c r="E8" s="108">
        <f>$G$1</f>
        <v>200</v>
      </c>
      <c r="F8" s="109">
        <v>1</v>
      </c>
      <c r="G8" s="108">
        <f>E8*D8</f>
        <v>193.37016574585633</v>
      </c>
      <c r="H8" s="110">
        <f>G8*F8</f>
        <v>193.37016574585633</v>
      </c>
      <c r="I8" s="106">
        <f>VLOOKUP(B8,Ordering!$A$1:$J$45,6,FALSE)</f>
        <v>1</v>
      </c>
      <c r="J8" s="111">
        <f>VLOOKUP(B8,Ordering!$A$1:$J$45,10,FALSE)</f>
        <v>11.243386243386244</v>
      </c>
      <c r="K8" s="107">
        <f>((H8/(I8))/1000)</f>
        <v>0.19337016574585633</v>
      </c>
      <c r="L8" s="112">
        <f>J8*K8</f>
        <v>2.1741354614282788</v>
      </c>
      <c r="V8" s="63" t="s">
        <v>207</v>
      </c>
      <c r="W8" s="64">
        <v>1</v>
      </c>
      <c r="X8" s="63" t="s">
        <v>205</v>
      </c>
      <c r="Y8" s="65">
        <f>(SUM(L5:L9)/Q20)*W8</f>
        <v>0.23200451335313221</v>
      </c>
    </row>
    <row r="9" spans="1:25" ht="14.85" customHeight="1" x14ac:dyDescent="0.25">
      <c r="A9" s="106"/>
      <c r="B9" s="106" t="s">
        <v>88</v>
      </c>
      <c r="C9" s="16" t="s">
        <v>206</v>
      </c>
      <c r="D9" s="107">
        <v>0.19337016574585639</v>
      </c>
      <c r="E9" s="108">
        <f>$G$1</f>
        <v>200</v>
      </c>
      <c r="F9" s="109">
        <v>1</v>
      </c>
      <c r="G9" s="108">
        <f>E9*D9</f>
        <v>38.674033149171279</v>
      </c>
      <c r="H9" s="110">
        <f>G9*F9</f>
        <v>38.674033149171279</v>
      </c>
      <c r="I9" s="106">
        <f>VLOOKUP(B9,Ordering!$A$1:$J$45,6,FALSE)</f>
        <v>1</v>
      </c>
      <c r="J9" s="111">
        <f>VLOOKUP(B9,Ordering!$A$1:$J$45,10,FALSE)</f>
        <v>0.74</v>
      </c>
      <c r="K9" s="107">
        <f>((H9/(I9))/1000)</f>
        <v>3.8674033149171276E-2</v>
      </c>
      <c r="L9" s="112">
        <f>J9*K9</f>
        <v>2.8618784530386743E-2</v>
      </c>
    </row>
    <row r="10" spans="1:25" ht="14.85" customHeight="1" x14ac:dyDescent="0.25">
      <c r="A10" s="11"/>
      <c r="B10" s="57" t="s">
        <v>191</v>
      </c>
      <c r="C10" s="132" t="s">
        <v>206</v>
      </c>
      <c r="D10" s="127">
        <f>$I$1</f>
        <v>35</v>
      </c>
      <c r="E10" s="133"/>
      <c r="F10" s="133"/>
      <c r="G10" s="134" t="s">
        <v>325</v>
      </c>
      <c r="H10" s="135">
        <f>SUM(H5:H9)</f>
        <v>7000.0000000000009</v>
      </c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198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200</v>
      </c>
    </row>
    <row r="21" spans="11:17" x14ac:dyDescent="0.25">
      <c r="P21" s="61" t="s">
        <v>205</v>
      </c>
      <c r="Q21" s="62">
        <f>SUM(L5:L9)</f>
        <v>46.400902670626444</v>
      </c>
    </row>
    <row r="27" spans="11:17" x14ac:dyDescent="0.25">
      <c r="K27" s="20"/>
    </row>
  </sheetData>
  <mergeCells count="4">
    <mergeCell ref="P15:Q15"/>
    <mergeCell ref="B3:H3"/>
    <mergeCell ref="B2:H2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DA689-26D7-45BA-8922-2E044BF03A50}">
  <sheetPr codeName="Sheet34">
    <tabColor theme="4" tint="-0.249977111117893"/>
    <pageSetUpPr fitToPage="1"/>
  </sheetPr>
  <dimension ref="A1:Y27"/>
  <sheetViews>
    <sheetView zoomScale="85" zoomScaleNormal="85" workbookViewId="0">
      <selection activeCell="B7" sqref="B7:H7"/>
    </sheetView>
  </sheetViews>
  <sheetFormatPr defaultRowHeight="15" x14ac:dyDescent="0.25"/>
  <cols>
    <col min="1" max="1" width="17.7109375" bestFit="1" customWidth="1"/>
    <col min="2" max="2" width="36.28515625" bestFit="1" customWidth="1"/>
    <col min="3" max="3" width="17.42578125" customWidth="1"/>
    <col min="4" max="4" width="14.42578125" bestFit="1" customWidth="1"/>
    <col min="5" max="5" width="14.28515625" bestFit="1" customWidth="1"/>
    <col min="6" max="6" width="11.42578125" bestFit="1" customWidth="1"/>
    <col min="7" max="7" width="13.7109375" customWidth="1"/>
    <col min="8" max="8" width="29.85546875" bestFit="1" customWidth="1"/>
    <col min="10" max="10" width="22.140625" bestFit="1" customWidth="1"/>
    <col min="11" max="11" width="13.7109375" customWidth="1"/>
    <col min="12" max="12" width="11.42578125" bestFit="1" customWidth="1"/>
    <col min="13" max="15" width="2.42578125" customWidth="1"/>
    <col min="19" max="19" width="8.42578125" bestFit="1" customWidth="1"/>
  </cols>
  <sheetData>
    <row r="1" spans="1:25" ht="26.25" customHeight="1" x14ac:dyDescent="0.25">
      <c r="A1" s="17" t="s">
        <v>188</v>
      </c>
      <c r="B1" s="9">
        <v>1</v>
      </c>
      <c r="C1" s="17" t="s">
        <v>189</v>
      </c>
      <c r="D1" s="10">
        <f>Q20</f>
        <v>200</v>
      </c>
      <c r="F1" s="17" t="s">
        <v>190</v>
      </c>
      <c r="G1" s="10">
        <f>D1/B1</f>
        <v>200</v>
      </c>
      <c r="H1" s="17" t="s">
        <v>191</v>
      </c>
      <c r="I1" s="21">
        <v>20</v>
      </c>
      <c r="J1" s="1"/>
      <c r="K1" s="23" t="s">
        <v>192</v>
      </c>
      <c r="U1" s="93" t="s">
        <v>20</v>
      </c>
      <c r="V1" s="94">
        <v>198</v>
      </c>
    </row>
    <row r="2" spans="1:25" ht="14.25" customHeight="1" x14ac:dyDescent="0.25">
      <c r="A2" s="39"/>
      <c r="B2" s="152" t="s">
        <v>291</v>
      </c>
      <c r="C2" s="151"/>
      <c r="D2" s="151"/>
      <c r="E2" s="151"/>
      <c r="F2" s="151"/>
      <c r="G2" s="151"/>
      <c r="H2" s="153"/>
      <c r="I2" s="32"/>
      <c r="J2" s="32"/>
      <c r="K2" s="33"/>
    </row>
    <row r="3" spans="1:25" ht="14.25" customHeight="1" x14ac:dyDescent="0.25">
      <c r="A3" s="41"/>
      <c r="B3" s="150" t="s">
        <v>290</v>
      </c>
      <c r="C3" s="151"/>
      <c r="D3" s="151"/>
      <c r="E3" s="151"/>
      <c r="F3" s="151"/>
      <c r="G3" s="151"/>
      <c r="H3" s="151"/>
      <c r="I3" s="31"/>
      <c r="J3" s="31"/>
      <c r="K3" s="34"/>
    </row>
    <row r="4" spans="1:25" ht="39.6" customHeight="1" x14ac:dyDescent="0.25">
      <c r="A4" s="17" t="s">
        <v>1</v>
      </c>
      <c r="B4" s="17" t="s">
        <v>195</v>
      </c>
      <c r="C4" s="17" t="s">
        <v>196</v>
      </c>
      <c r="D4" s="17" t="s">
        <v>197</v>
      </c>
      <c r="E4" s="14" t="s">
        <v>198</v>
      </c>
      <c r="F4" s="14" t="s">
        <v>199</v>
      </c>
      <c r="G4" s="17" t="s">
        <v>200</v>
      </c>
      <c r="H4" s="55" t="s">
        <v>201</v>
      </c>
      <c r="I4" s="57" t="s">
        <v>202</v>
      </c>
      <c r="J4" s="57" t="s">
        <v>203</v>
      </c>
      <c r="K4" s="57" t="s">
        <v>204</v>
      </c>
      <c r="L4" s="57" t="s">
        <v>205</v>
      </c>
    </row>
    <row r="5" spans="1:25" ht="14.85" customHeight="1" x14ac:dyDescent="0.25">
      <c r="A5" s="106"/>
      <c r="B5" s="106" t="s">
        <v>42</v>
      </c>
      <c r="C5" s="16" t="s">
        <v>206</v>
      </c>
      <c r="D5" s="107">
        <v>16.574585635359121</v>
      </c>
      <c r="E5" s="108">
        <f>$G$1</f>
        <v>200</v>
      </c>
      <c r="F5" s="109">
        <v>1</v>
      </c>
      <c r="G5" s="108">
        <f>E5*D5</f>
        <v>3314.9171270718243</v>
      </c>
      <c r="H5" s="110">
        <f>G5*F5</f>
        <v>3314.9171270718243</v>
      </c>
      <c r="I5" s="106">
        <f>VLOOKUP(B5,Ordering!$A$1:$J$45,6,FALSE)</f>
        <v>1</v>
      </c>
      <c r="J5" s="111">
        <f>VLOOKUP(B5,Ordering!$A$1:$J$45,10,FALSE)</f>
        <v>6.4189189189189184</v>
      </c>
      <c r="K5" s="107">
        <f>((H5/(I5))/1000)</f>
        <v>3.3149171270718245</v>
      </c>
      <c r="L5" s="112">
        <f>J5*K5</f>
        <v>21.278184261609681</v>
      </c>
    </row>
    <row r="6" spans="1:25" ht="14.85" customHeight="1" x14ac:dyDescent="0.25">
      <c r="A6" s="106"/>
      <c r="B6" s="106" t="s">
        <v>263</v>
      </c>
      <c r="C6" s="16" t="s">
        <v>206</v>
      </c>
      <c r="D6" s="107">
        <v>1.104972375690608</v>
      </c>
      <c r="E6" s="108">
        <f>$G$1</f>
        <v>200</v>
      </c>
      <c r="F6" s="109">
        <v>1</v>
      </c>
      <c r="G6" s="108">
        <f>E6*D6</f>
        <v>220.9944751381216</v>
      </c>
      <c r="H6" s="110">
        <f>G6*F6</f>
        <v>220.9944751381216</v>
      </c>
      <c r="I6" s="106">
        <f>VLOOKUP(B6,Ordering!$A$1:$J$45,6,FALSE)</f>
        <v>1</v>
      </c>
      <c r="J6" s="111">
        <f>VLOOKUP(B6,Ordering!$A$1:$J$45,10,FALSE)</f>
        <v>10.5</v>
      </c>
      <c r="K6" s="107">
        <f>((H6/(I6))/1000)</f>
        <v>0.22099447513812159</v>
      </c>
      <c r="L6" s="112">
        <f>J6*K6</f>
        <v>2.3204419889502765</v>
      </c>
    </row>
    <row r="7" spans="1:25" ht="14.85" customHeight="1" x14ac:dyDescent="0.25">
      <c r="A7" s="106"/>
      <c r="B7" s="106" t="s">
        <v>34</v>
      </c>
      <c r="C7" s="16" t="s">
        <v>36</v>
      </c>
      <c r="D7" s="107">
        <v>1.657458563535912</v>
      </c>
      <c r="E7" s="108">
        <f>$G$1</f>
        <v>200</v>
      </c>
      <c r="F7" s="109">
        <v>1</v>
      </c>
      <c r="G7" s="108">
        <f>E7*D7</f>
        <v>331.49171270718239</v>
      </c>
      <c r="H7" s="110">
        <f>G7*F7</f>
        <v>331.49171270718239</v>
      </c>
      <c r="I7" s="106">
        <f>VLOOKUP(B7,Ordering!$A$1:$J$45,6,FALSE)</f>
        <v>1</v>
      </c>
      <c r="J7" s="111">
        <f>VLOOKUP(B7,Ordering!$A$1:$J$45,10,FALSE)</f>
        <v>5</v>
      </c>
      <c r="K7" s="107">
        <f>((H7/(I7))/1000)</f>
        <v>0.33149171270718236</v>
      </c>
      <c r="L7" s="112">
        <f>J7*K7</f>
        <v>1.6574585635359118</v>
      </c>
      <c r="R7" s="35"/>
    </row>
    <row r="8" spans="1:25" ht="14.85" customHeight="1" x14ac:dyDescent="0.25">
      <c r="A8" s="106"/>
      <c r="B8" s="106" t="s">
        <v>46</v>
      </c>
      <c r="C8" s="16" t="s">
        <v>206</v>
      </c>
      <c r="D8" s="107">
        <v>0.55248618784530379</v>
      </c>
      <c r="E8" s="108">
        <f>$G$1</f>
        <v>200</v>
      </c>
      <c r="F8" s="109">
        <v>1</v>
      </c>
      <c r="G8" s="108">
        <f>E8*D8</f>
        <v>110.49723756906076</v>
      </c>
      <c r="H8" s="110">
        <f>G8*F8</f>
        <v>110.49723756906076</v>
      </c>
      <c r="I8" s="106">
        <f>VLOOKUP(B8,Ordering!$A$1:$J$45,6,FALSE)</f>
        <v>1</v>
      </c>
      <c r="J8" s="111">
        <f>VLOOKUP(B8,Ordering!$A$1:$J$45,10,FALSE)</f>
        <v>11.243386243386244</v>
      </c>
      <c r="K8" s="107">
        <f>((H8/(I8))/1000)</f>
        <v>0.11049723756906076</v>
      </c>
      <c r="L8" s="112">
        <f>J8*K8</f>
        <v>1.2423631208161594</v>
      </c>
      <c r="V8" s="63" t="s">
        <v>207</v>
      </c>
      <c r="W8" s="64">
        <v>1</v>
      </c>
      <c r="X8" s="63" t="s">
        <v>205</v>
      </c>
      <c r="Y8" s="65">
        <f>(SUM(L5:L9)/Q20)*W8</f>
        <v>0.13257400763036123</v>
      </c>
    </row>
    <row r="9" spans="1:25" ht="14.85" customHeight="1" x14ac:dyDescent="0.25">
      <c r="A9" s="106"/>
      <c r="B9" s="106" t="s">
        <v>88</v>
      </c>
      <c r="C9" s="16" t="s">
        <v>206</v>
      </c>
      <c r="D9" s="107">
        <v>0.1104972375690608</v>
      </c>
      <c r="E9" s="108">
        <f>$G$1</f>
        <v>200</v>
      </c>
      <c r="F9" s="109">
        <v>1</v>
      </c>
      <c r="G9" s="108">
        <f>E9*D9</f>
        <v>22.099447513812159</v>
      </c>
      <c r="H9" s="110">
        <f>G9*F9</f>
        <v>22.099447513812159</v>
      </c>
      <c r="I9" s="106">
        <f>VLOOKUP(B9,Ordering!$A$1:$J$45,6,FALSE)</f>
        <v>1</v>
      </c>
      <c r="J9" s="111">
        <f>VLOOKUP(B9,Ordering!$A$1:$J$45,10,FALSE)</f>
        <v>0.74</v>
      </c>
      <c r="K9" s="107">
        <f>((H9/(I9))/1000)</f>
        <v>2.2099447513812157E-2</v>
      </c>
      <c r="L9" s="112">
        <f>J9*K9</f>
        <v>1.6353591160220997E-2</v>
      </c>
    </row>
    <row r="10" spans="1:25" ht="14.85" customHeight="1" x14ac:dyDescent="0.25">
      <c r="A10" s="11"/>
      <c r="B10" s="57" t="s">
        <v>191</v>
      </c>
      <c r="C10" s="132" t="s">
        <v>206</v>
      </c>
      <c r="D10" s="127">
        <f>$I$1</f>
        <v>20</v>
      </c>
      <c r="E10" s="133"/>
      <c r="F10" s="133"/>
      <c r="G10" s="134" t="s">
        <v>325</v>
      </c>
      <c r="H10" s="135">
        <f>SUM(H5:H9)</f>
        <v>4000.0000000000014</v>
      </c>
      <c r="I10" s="106"/>
      <c r="J10" s="111"/>
      <c r="K10" s="15"/>
      <c r="L10" s="73"/>
    </row>
    <row r="11" spans="1:25" x14ac:dyDescent="0.25">
      <c r="I11" s="106"/>
      <c r="J11" s="111"/>
      <c r="M11" s="72"/>
      <c r="N11" s="22"/>
    </row>
    <row r="12" spans="1:25" ht="14.85" customHeight="1" x14ac:dyDescent="0.25">
      <c r="M12" s="72"/>
      <c r="N12" s="22"/>
      <c r="O12" s="22"/>
    </row>
    <row r="13" spans="1:25" ht="14.85" customHeight="1" x14ac:dyDescent="0.25"/>
    <row r="14" spans="1:25" ht="14.85" customHeight="1" x14ac:dyDescent="0.25"/>
    <row r="15" spans="1:25" x14ac:dyDescent="0.25">
      <c r="P15" s="136"/>
      <c r="Q15" s="137"/>
    </row>
    <row r="16" spans="1:25" x14ac:dyDescent="0.25">
      <c r="P16" s="140"/>
      <c r="Q16" s="141"/>
    </row>
    <row r="17" spans="11:17" ht="14.85" customHeight="1" thickBot="1" x14ac:dyDescent="0.3">
      <c r="P17" s="2" t="s">
        <v>208</v>
      </c>
      <c r="Q17" s="3" t="s">
        <v>209</v>
      </c>
    </row>
    <row r="18" spans="11:17" ht="14.85" customHeight="1" thickBot="1" x14ac:dyDescent="0.3">
      <c r="P18" s="4" t="s">
        <v>210</v>
      </c>
      <c r="Q18" s="5">
        <f>V1</f>
        <v>198</v>
      </c>
    </row>
    <row r="19" spans="11:17" ht="14.85" customHeight="1" thickBot="1" x14ac:dyDescent="0.3">
      <c r="P19" s="4" t="s">
        <v>211</v>
      </c>
      <c r="Q19" s="6">
        <v>2</v>
      </c>
    </row>
    <row r="20" spans="11:17" x14ac:dyDescent="0.25">
      <c r="P20" s="7" t="s">
        <v>212</v>
      </c>
      <c r="Q20" s="8">
        <f>Q18+Q19</f>
        <v>200</v>
      </c>
    </row>
    <row r="21" spans="11:17" x14ac:dyDescent="0.25">
      <c r="P21" s="61" t="s">
        <v>205</v>
      </c>
      <c r="Q21" s="62">
        <f>SUM(L5:L9)</f>
        <v>26.514801526072247</v>
      </c>
    </row>
    <row r="27" spans="11:17" x14ac:dyDescent="0.25">
      <c r="K27" s="20"/>
    </row>
  </sheetData>
  <mergeCells count="4">
    <mergeCell ref="B2:H2"/>
    <mergeCell ref="B3:H3"/>
    <mergeCell ref="P15:Q15"/>
    <mergeCell ref="P16:Q16"/>
  </mergeCells>
  <printOptions horizontalCentered="1"/>
  <pageMargins left="0.4" right="0.4" top="1" bottom="0.5" header="0.3" footer="0.3"/>
  <pageSetup paperSize="9" scale="4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Ordering</vt:lpstr>
      <vt:lpstr>Tahina Small</vt:lpstr>
      <vt:lpstr>Red sauce</vt:lpstr>
      <vt:lpstr>Cucumber yogurt sauce</vt:lpstr>
      <vt:lpstr>Herbal Sauce</vt:lpstr>
      <vt:lpstr>Red sauce Big</vt:lpstr>
      <vt:lpstr>Tahina Big</vt:lpstr>
      <vt:lpstr>Coctail Sauce Weight</vt:lpstr>
      <vt:lpstr>Lemon Herb Sauce Packed</vt:lpstr>
      <vt:lpstr>Lemon Herb Sauce unpacked</vt:lpstr>
      <vt:lpstr>Cucumber yogurt sauce (2)</vt:lpstr>
      <vt:lpstr>Red sauce Big (2)</vt:lpstr>
      <vt:lpstr>House Sauce Packed</vt:lpstr>
      <vt:lpstr>House Sauce unpacked</vt:lpstr>
      <vt:lpstr>Honey Mustard Sauce Packed</vt:lpstr>
      <vt:lpstr>Honey Mustard Sauce unpacked</vt:lpstr>
      <vt:lpstr>Tahina Big (2)</vt:lpstr>
      <vt:lpstr>Red sauce Big (3)</vt:lpstr>
      <vt:lpstr>Coctail Sauce Dip In  (3)</vt:lpstr>
      <vt:lpstr>Coctail Sauce Weight (2)</vt:lpstr>
      <vt:lpstr>Mixed Pickle</vt:lpstr>
      <vt:lpstr>Smoked Sauce Packed</vt:lpstr>
      <vt:lpstr>Smoked Sauce unpacked</vt:lpstr>
      <vt:lpstr>Cucumber yogurt sauce (3)</vt:lpstr>
      <vt:lpstr>Shabat Sauce</vt:lpstr>
      <vt:lpstr>Biryani Yoghrt sauce</vt:lpstr>
      <vt:lpstr>Coctail Sauce Dip In  (4)</vt:lpstr>
      <vt:lpstr>Coctail Sauce Weight (5)</vt:lpstr>
      <vt:lpstr>Coleslaw Salad</vt:lpstr>
      <vt:lpstr>Garlic Aioli (2)</vt:lpstr>
      <vt:lpstr>Red sauce Big (4)</vt:lpstr>
      <vt:lpstr>Cucumber yogurt sauce (4)</vt:lpstr>
      <vt:lpstr>Coctail Sauce Weight (4)</vt:lpstr>
      <vt:lpstr>BBQ Sauce Packed</vt:lpstr>
      <vt:lpstr>BBQ Sauce unpacked</vt:lpstr>
      <vt:lpstr>Sumak Onion</vt:lpstr>
      <vt:lpstr>Tahina Small (2)</vt:lpstr>
      <vt:lpstr>Red sauce (2)</vt:lpstr>
      <vt:lpstr>Red sauce Big (5)</vt:lpstr>
      <vt:lpstr>Cucumber yogurt sauce (5)</vt:lpstr>
      <vt:lpstr>Garlic Aioli</vt:lpstr>
      <vt:lpstr>Garlic Aioli unpacked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2026-08-16T15:20:34Z</cp:lastPrinted>
  <dcterms:created xsi:type="dcterms:W3CDTF">2026-01-12T00:14:28Z</dcterms:created>
  <dcterms:modified xsi:type="dcterms:W3CDTF">2026-08-16T15:20:47Z</dcterms:modified>
</cp:coreProperties>
</file>