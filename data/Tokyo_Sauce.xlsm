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octafoodsa-my.sharepoint.com/personal/alshareef_ka_octafoodksa_com/Documents/Octa File/SOPs &amp; Operation/Tokyo Project/Tokyo Files/July/July W3/"/>
    </mc:Choice>
  </mc:AlternateContent>
  <xr:revisionPtr revIDLastSave="7166" documentId="8_{E51C3E55-E561-45FD-BC82-2236644A3293}" xr6:coauthVersionLast="47" xr6:coauthVersionMax="47" xr10:uidLastSave="{F27945EC-F690-4267-8561-60EDB593EC86}"/>
  <bookViews>
    <workbookView xWindow="6880" yWindow="1460" windowWidth="31080" windowHeight="18890" tabRatio="843" firstSheet="1" activeTab="1" xr2:uid="{00000000-000D-0000-FFFF-FFFF00000000}"/>
  </bookViews>
  <sheets>
    <sheet name="List of Meals" sheetId="1" r:id="rId1"/>
    <sheet name="Ordering" sheetId="16" r:id="rId2"/>
    <sheet name="Tahina Small" sheetId="6" r:id="rId3"/>
    <sheet name="Red sauce" sheetId="15" r:id="rId4"/>
    <sheet name="Cucumber yogurt sauce" sheetId="13" r:id="rId5"/>
    <sheet name="Herbal Sauce" sheetId="10" r:id="rId6"/>
    <sheet name="Red sauce Big" sheetId="19" r:id="rId7"/>
    <sheet name="Tahina Big" sheetId="7" r:id="rId8"/>
    <sheet name="Coctail Sauce Weight" sheetId="11" r:id="rId9"/>
    <sheet name="Coctail Sauce Dip In  (2)" sheetId="17" r:id="rId10"/>
    <sheet name="Coctail Sauce Weight (3)" sheetId="33" r:id="rId11"/>
    <sheet name="Cucumber Pickle" sheetId="4" r:id="rId12"/>
    <sheet name="Cucumber yogurt sauce (2)" sheetId="18" r:id="rId13"/>
    <sheet name="Red sauce Big (2)" sheetId="14" r:id="rId14"/>
    <sheet name="Tahina Big (2)" sheetId="21" r:id="rId15"/>
    <sheet name="Red sauce Big (3)" sheetId="20" r:id="rId16"/>
    <sheet name="Coctail Sauce Dip In  (3)" sheetId="22" r:id="rId17"/>
    <sheet name="Coctail Sauce Weight (2)" sheetId="31" r:id="rId18"/>
    <sheet name="Mixed Pickle" sheetId="5" r:id="rId19"/>
    <sheet name="Cucumber yogurt sauce (3)" sheetId="23" r:id="rId20"/>
    <sheet name="Shabat Sauce" sheetId="8" r:id="rId21"/>
    <sheet name="Biryani Yoghrt sauce" sheetId="9" r:id="rId22"/>
    <sheet name="Coctail Sauce Dip In  (4)" sheetId="24" r:id="rId23"/>
    <sheet name="Coctail Sauce Weight (5)" sheetId="35" r:id="rId24"/>
    <sheet name="Red sauce Big (4)" sheetId="25" r:id="rId25"/>
    <sheet name="Cucumber yogurt sauce (4)" sheetId="26" r:id="rId26"/>
    <sheet name="Coctail Sauce Weight (4)" sheetId="34" r:id="rId27"/>
    <sheet name="Sumak Onion" sheetId="3" r:id="rId28"/>
    <sheet name="Tahina Small (2)" sheetId="27" r:id="rId29"/>
    <sheet name="Red sauce (2)" sheetId="28" r:id="rId30"/>
    <sheet name="Red sauce Big (5)" sheetId="29" r:id="rId31"/>
    <sheet name="Cucumber yogurt sauce (5)" sheetId="30" r:id="rId32"/>
  </sheets>
  <definedNames>
    <definedName name="_xlnm._FilterDatabase" localSheetId="1" hidden="1">Ordering!$A$1:$O$35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20" i="16" l="1"/>
  <c r="Q18" i="15"/>
  <c r="Q18" i="13"/>
  <c r="Q18" i="10"/>
  <c r="Q18" i="19"/>
  <c r="Q18" i="7"/>
  <c r="Q18" i="11"/>
  <c r="Q20" i="11" s="1"/>
  <c r="Q18" i="17"/>
  <c r="Q19" i="33" s="1"/>
  <c r="Q21" i="33" s="1"/>
  <c r="Q18" i="33"/>
  <c r="Q18" i="4"/>
  <c r="Q18" i="18"/>
  <c r="Q18" i="14"/>
  <c r="Q18" i="21"/>
  <c r="Q18" i="20"/>
  <c r="Q18" i="22"/>
  <c r="Q18" i="31"/>
  <c r="Q20" i="31" s="1"/>
  <c r="Q18" i="5"/>
  <c r="Q18" i="23"/>
  <c r="Q18" i="8"/>
  <c r="Q18" i="9"/>
  <c r="Q18" i="24"/>
  <c r="Q18" i="35"/>
  <c r="Q20" i="35" s="1"/>
  <c r="Q18" i="25"/>
  <c r="Q20" i="25" s="1"/>
  <c r="G11" i="25" s="1"/>
  <c r="Q18" i="26"/>
  <c r="Q18" i="34"/>
  <c r="Q20" i="34" s="1"/>
  <c r="F1" i="34" s="1"/>
  <c r="Q18" i="3"/>
  <c r="Q18" i="27"/>
  <c r="Q18" i="28"/>
  <c r="Q18" i="29"/>
  <c r="Q18" i="30"/>
  <c r="Q18" i="6"/>
  <c r="AC31" i="16"/>
  <c r="AC30" i="16"/>
  <c r="AC29" i="16"/>
  <c r="AC28" i="16"/>
  <c r="AC32" i="16"/>
  <c r="AC27" i="16"/>
  <c r="AC26" i="16"/>
  <c r="AC25" i="16"/>
  <c r="AC24" i="16"/>
  <c r="AC23" i="16"/>
  <c r="AC22" i="16"/>
  <c r="AC21" i="16"/>
  <c r="AC19" i="16"/>
  <c r="AC18" i="16"/>
  <c r="AC17" i="16"/>
  <c r="AC16" i="16"/>
  <c r="AC15" i="16"/>
  <c r="AC14" i="16"/>
  <c r="AC13" i="16"/>
  <c r="AC12" i="16"/>
  <c r="AC11" i="16"/>
  <c r="AC10" i="16"/>
  <c r="AC9" i="16"/>
  <c r="AC8" i="16"/>
  <c r="AC7" i="16"/>
  <c r="AC6" i="16"/>
  <c r="AC5" i="16"/>
  <c r="AC4" i="16"/>
  <c r="AC3" i="16"/>
  <c r="I8" i="22"/>
  <c r="I7" i="22"/>
  <c r="I6" i="22"/>
  <c r="I5" i="22"/>
  <c r="H9" i="33"/>
  <c r="I8" i="34"/>
  <c r="I7" i="34"/>
  <c r="I6" i="34"/>
  <c r="I5" i="34"/>
  <c r="I10" i="26"/>
  <c r="J9" i="26"/>
  <c r="I9" i="26"/>
  <c r="I8" i="26"/>
  <c r="I7" i="26"/>
  <c r="I6" i="26"/>
  <c r="I5" i="26"/>
  <c r="J10" i="25"/>
  <c r="I10" i="25"/>
  <c r="I9" i="25"/>
  <c r="I8" i="25"/>
  <c r="J7" i="25"/>
  <c r="I7" i="25"/>
  <c r="I6" i="25"/>
  <c r="I5" i="25"/>
  <c r="I10" i="18"/>
  <c r="J9" i="18"/>
  <c r="I9" i="18"/>
  <c r="I8" i="18"/>
  <c r="I7" i="18"/>
  <c r="I6" i="18"/>
  <c r="I5" i="18"/>
  <c r="I5" i="17"/>
  <c r="I6" i="17"/>
  <c r="I7" i="17"/>
  <c r="I8" i="17"/>
  <c r="Q20" i="17" l="1"/>
  <c r="L35" i="16"/>
  <c r="O35" i="16" s="1"/>
  <c r="L33" i="16"/>
  <c r="O33" i="16" s="1"/>
  <c r="L29" i="16"/>
  <c r="O29" i="16" s="1"/>
  <c r="L31" i="16"/>
  <c r="O31" i="16" s="1"/>
  <c r="L30" i="16"/>
  <c r="O30" i="16" s="1"/>
  <c r="L32" i="16"/>
  <c r="O32" i="16" s="1"/>
  <c r="K30" i="16"/>
  <c r="N30" i="16" s="1"/>
  <c r="K35" i="16"/>
  <c r="N35" i="16" s="1"/>
  <c r="L34" i="16"/>
  <c r="O34" i="16" s="1"/>
  <c r="K34" i="16"/>
  <c r="N34" i="16" s="1"/>
  <c r="K33" i="16"/>
  <c r="N33" i="16" s="1"/>
  <c r="K32" i="16"/>
  <c r="N32" i="16" s="1"/>
  <c r="K31" i="16"/>
  <c r="N31" i="16" s="1"/>
  <c r="K29" i="16"/>
  <c r="N29" i="16" s="1"/>
  <c r="K27" i="16"/>
  <c r="N27" i="16" s="1"/>
  <c r="L27" i="16"/>
  <c r="O27" i="16" s="1"/>
  <c r="K24" i="16"/>
  <c r="N24" i="16" s="1"/>
  <c r="L24" i="16"/>
  <c r="O24" i="16" s="1"/>
  <c r="K25" i="16"/>
  <c r="N25" i="16" s="1"/>
  <c r="L25" i="16"/>
  <c r="O25" i="16" s="1"/>
  <c r="L23" i="16"/>
  <c r="O23" i="16" s="1"/>
  <c r="K23" i="16"/>
  <c r="N23" i="16" s="1"/>
  <c r="L21" i="16"/>
  <c r="O21" i="16" s="1"/>
  <c r="K21" i="16"/>
  <c r="N21" i="16" s="1"/>
  <c r="K15" i="16"/>
  <c r="N15" i="16" s="1"/>
  <c r="L15" i="16"/>
  <c r="O15" i="16" s="1"/>
  <c r="K16" i="16"/>
  <c r="N16" i="16" s="1"/>
  <c r="L16" i="16"/>
  <c r="O16" i="16" s="1"/>
  <c r="K17" i="16"/>
  <c r="N17" i="16" s="1"/>
  <c r="L17" i="16"/>
  <c r="O17" i="16" s="1"/>
  <c r="K18" i="16"/>
  <c r="N18" i="16" s="1"/>
  <c r="L18" i="16"/>
  <c r="O18" i="16" s="1"/>
  <c r="K19" i="16"/>
  <c r="N19" i="16" s="1"/>
  <c r="L19" i="16"/>
  <c r="O19" i="16" s="1"/>
  <c r="L14" i="16"/>
  <c r="O14" i="16" s="1"/>
  <c r="K14" i="16"/>
  <c r="N14" i="16" s="1"/>
  <c r="L12" i="16"/>
  <c r="O12" i="16" s="1"/>
  <c r="K12" i="16"/>
  <c r="N12" i="16" s="1"/>
  <c r="K8" i="16"/>
  <c r="N8" i="16" s="1"/>
  <c r="L8" i="16"/>
  <c r="O8" i="16" s="1"/>
  <c r="K5" i="16"/>
  <c r="N5" i="16" s="1"/>
  <c r="L5" i="16"/>
  <c r="O5" i="16" s="1"/>
  <c r="L3" i="16"/>
  <c r="O3" i="16" s="1"/>
  <c r="K3" i="16"/>
  <c r="N3" i="16" s="1"/>
  <c r="I6" i="6" l="1"/>
  <c r="I7" i="6"/>
  <c r="I8" i="6"/>
  <c r="J8" i="6"/>
  <c r="I9" i="6"/>
  <c r="I10" i="6"/>
  <c r="I6" i="15"/>
  <c r="I7" i="15"/>
  <c r="I8" i="15"/>
  <c r="I9" i="15"/>
  <c r="I10" i="15"/>
  <c r="J10" i="15"/>
  <c r="I6" i="13"/>
  <c r="I7" i="13"/>
  <c r="I8" i="13"/>
  <c r="I9" i="13"/>
  <c r="J9" i="13"/>
  <c r="I10" i="13"/>
  <c r="I6" i="10"/>
  <c r="I7" i="10"/>
  <c r="I8" i="10"/>
  <c r="I9" i="10"/>
  <c r="I6" i="19"/>
  <c r="I7" i="19"/>
  <c r="I8" i="19"/>
  <c r="I9" i="19"/>
  <c r="I10" i="19"/>
  <c r="J10" i="19"/>
  <c r="I6" i="7"/>
  <c r="I7" i="7"/>
  <c r="I8" i="7"/>
  <c r="J8" i="7"/>
  <c r="I9" i="7"/>
  <c r="I10" i="7"/>
  <c r="I6" i="11"/>
  <c r="I7" i="11"/>
  <c r="I8" i="11"/>
  <c r="I6" i="33"/>
  <c r="I7" i="33"/>
  <c r="I8" i="33"/>
  <c r="I6" i="14"/>
  <c r="I7" i="14"/>
  <c r="I8" i="14"/>
  <c r="I9" i="14"/>
  <c r="I10" i="14"/>
  <c r="J10" i="14"/>
  <c r="I6" i="21"/>
  <c r="I7" i="21"/>
  <c r="I8" i="21"/>
  <c r="J8" i="21"/>
  <c r="I9" i="21"/>
  <c r="I10" i="21"/>
  <c r="I6" i="20"/>
  <c r="I7" i="20"/>
  <c r="I8" i="20"/>
  <c r="I9" i="20"/>
  <c r="I10" i="20"/>
  <c r="J10" i="20"/>
  <c r="I6" i="31"/>
  <c r="I7" i="31"/>
  <c r="I8" i="31"/>
  <c r="I6" i="5"/>
  <c r="I7" i="5"/>
  <c r="I6" i="23"/>
  <c r="I7" i="23"/>
  <c r="I8" i="23"/>
  <c r="I9" i="23"/>
  <c r="J9" i="23"/>
  <c r="I10" i="23"/>
  <c r="I6" i="8"/>
  <c r="I7" i="8"/>
  <c r="I8" i="8"/>
  <c r="I6" i="9"/>
  <c r="I7" i="9"/>
  <c r="I8" i="9"/>
  <c r="I9" i="9"/>
  <c r="J9" i="9"/>
  <c r="I10" i="9"/>
  <c r="I6" i="24"/>
  <c r="I7" i="24"/>
  <c r="I8" i="24"/>
  <c r="I6" i="35"/>
  <c r="I7" i="35"/>
  <c r="I8" i="35"/>
  <c r="I6" i="3"/>
  <c r="I6" i="27"/>
  <c r="I7" i="27"/>
  <c r="I8" i="27"/>
  <c r="J8" i="27"/>
  <c r="I9" i="27"/>
  <c r="I10" i="27"/>
  <c r="I6" i="28"/>
  <c r="I7" i="28"/>
  <c r="I8" i="28"/>
  <c r="I9" i="28"/>
  <c r="I10" i="28"/>
  <c r="J10" i="28"/>
  <c r="I6" i="29"/>
  <c r="I7" i="29"/>
  <c r="I8" i="29"/>
  <c r="I9" i="29"/>
  <c r="I10" i="29"/>
  <c r="J10" i="29"/>
  <c r="I6" i="30"/>
  <c r="I7" i="30"/>
  <c r="I8" i="30"/>
  <c r="I9" i="30"/>
  <c r="J9" i="30"/>
  <c r="I10" i="30"/>
  <c r="I5" i="6"/>
  <c r="I5" i="15"/>
  <c r="I5" i="13"/>
  <c r="I5" i="10"/>
  <c r="I5" i="19"/>
  <c r="I5" i="7"/>
  <c r="I5" i="11"/>
  <c r="I5" i="33"/>
  <c r="I5" i="4"/>
  <c r="I5" i="14"/>
  <c r="I5" i="21"/>
  <c r="I5" i="20"/>
  <c r="I5" i="31"/>
  <c r="I5" i="5"/>
  <c r="I5" i="23"/>
  <c r="I5" i="8"/>
  <c r="I5" i="9"/>
  <c r="I5" i="24"/>
  <c r="I5" i="35"/>
  <c r="I5" i="3"/>
  <c r="I5" i="27"/>
  <c r="I5" i="28"/>
  <c r="I5" i="29"/>
  <c r="I5" i="30"/>
  <c r="J25" i="16"/>
  <c r="J5" i="5" s="1"/>
  <c r="J24" i="16"/>
  <c r="J7" i="5" s="1"/>
  <c r="J23" i="16"/>
  <c r="J6" i="5" s="1"/>
  <c r="J5" i="4" l="1"/>
  <c r="J14" i="16"/>
  <c r="J5" i="3" s="1"/>
  <c r="J5" i="16"/>
  <c r="J31" i="16"/>
  <c r="J5" i="8" s="1"/>
  <c r="J29" i="16"/>
  <c r="J5" i="9" s="1"/>
  <c r="J18" i="16"/>
  <c r="J27" i="16"/>
  <c r="J10" i="26" l="1"/>
  <c r="J9" i="25"/>
  <c r="J10" i="18"/>
  <c r="J8" i="18"/>
  <c r="J8" i="26"/>
  <c r="J9" i="10"/>
  <c r="J5" i="6"/>
  <c r="J5" i="7"/>
  <c r="J5" i="21"/>
  <c r="J5" i="27"/>
  <c r="J7" i="8"/>
  <c r="J9" i="19"/>
  <c r="J10" i="9"/>
  <c r="J9" i="15"/>
  <c r="J7" i="21"/>
  <c r="J9" i="28"/>
  <c r="J10" i="13"/>
  <c r="J7" i="27"/>
  <c r="J7" i="6"/>
  <c r="J9" i="20"/>
  <c r="J9" i="29"/>
  <c r="J10" i="30"/>
  <c r="J7" i="7"/>
  <c r="J9" i="14"/>
  <c r="J10" i="23"/>
  <c r="J8" i="13"/>
  <c r="J8" i="23"/>
  <c r="J8" i="30"/>
  <c r="J7" i="15" l="1"/>
  <c r="J7" i="28"/>
  <c r="J7" i="29"/>
  <c r="J7" i="19"/>
  <c r="J7" i="20"/>
  <c r="J7" i="14"/>
  <c r="J6" i="9"/>
  <c r="J8" i="16"/>
  <c r="G6" i="16"/>
  <c r="G9" i="16"/>
  <c r="G7" i="16"/>
  <c r="G10" i="16"/>
  <c r="J6" i="16" l="1"/>
  <c r="J5" i="24" s="1"/>
  <c r="K6" i="16"/>
  <c r="N6" i="16" s="1"/>
  <c r="L6" i="16"/>
  <c r="O6" i="16" s="1"/>
  <c r="J10" i="16"/>
  <c r="L10" i="16"/>
  <c r="O10" i="16" s="1"/>
  <c r="K10" i="16"/>
  <c r="N10" i="16" s="1"/>
  <c r="J7" i="16"/>
  <c r="J7" i="35" s="1"/>
  <c r="K7" i="16"/>
  <c r="N7" i="16" s="1"/>
  <c r="L7" i="16"/>
  <c r="O7" i="16" s="1"/>
  <c r="J9" i="16"/>
  <c r="K9" i="16"/>
  <c r="N9" i="16" s="1"/>
  <c r="L9" i="16"/>
  <c r="O9" i="16" s="1"/>
  <c r="J10" i="6"/>
  <c r="J7" i="10"/>
  <c r="J10" i="27"/>
  <c r="J10" i="7"/>
  <c r="J10" i="21"/>
  <c r="J8" i="31"/>
  <c r="J8" i="24"/>
  <c r="J8" i="33"/>
  <c r="J6" i="10"/>
  <c r="J8" i="11"/>
  <c r="J8" i="35"/>
  <c r="J21" i="16"/>
  <c r="J8" i="25" s="1"/>
  <c r="J33" i="16"/>
  <c r="J6" i="25" s="1"/>
  <c r="J35" i="16"/>
  <c r="J5" i="25" s="1"/>
  <c r="J32" i="16"/>
  <c r="J34" i="16"/>
  <c r="J6" i="3" s="1"/>
  <c r="J3" i="16"/>
  <c r="J5" i="11" l="1"/>
  <c r="J5" i="10"/>
  <c r="J5" i="35"/>
  <c r="J5" i="33"/>
  <c r="J5" i="31"/>
  <c r="J5" i="22"/>
  <c r="J5" i="34"/>
  <c r="J5" i="17"/>
  <c r="J6" i="24"/>
  <c r="J6" i="22"/>
  <c r="J6" i="34"/>
  <c r="J6" i="17"/>
  <c r="J7" i="17"/>
  <c r="J7" i="22"/>
  <c r="J7" i="34"/>
  <c r="J8" i="22"/>
  <c r="J8" i="34"/>
  <c r="J8" i="17"/>
  <c r="J6" i="18"/>
  <c r="J6" i="26"/>
  <c r="J5" i="26"/>
  <c r="J5" i="18"/>
  <c r="J7" i="31"/>
  <c r="J7" i="24"/>
  <c r="J6" i="31"/>
  <c r="J6" i="11"/>
  <c r="J6" i="33"/>
  <c r="J7" i="33"/>
  <c r="J6" i="35"/>
  <c r="J7" i="11"/>
  <c r="J8" i="19"/>
  <c r="J8" i="20"/>
  <c r="J8" i="15"/>
  <c r="J8" i="14"/>
  <c r="J8" i="29"/>
  <c r="J8" i="28"/>
  <c r="J6" i="14"/>
  <c r="J6" i="28"/>
  <c r="J6" i="15"/>
  <c r="J6" i="19"/>
  <c r="J6" i="29"/>
  <c r="J6" i="20"/>
  <c r="J5" i="20"/>
  <c r="J5" i="19"/>
  <c r="J5" i="15"/>
  <c r="J5" i="14"/>
  <c r="J5" i="28"/>
  <c r="J5" i="29"/>
  <c r="J6" i="23"/>
  <c r="J6" i="30"/>
  <c r="J6" i="13"/>
  <c r="J6" i="8"/>
  <c r="J5" i="13"/>
  <c r="J5" i="23"/>
  <c r="J7" i="9"/>
  <c r="J5" i="30"/>
  <c r="J19" i="16"/>
  <c r="J8" i="8" s="1"/>
  <c r="J15" i="16"/>
  <c r="J17" i="16"/>
  <c r="J8" i="10" s="1"/>
  <c r="J16" i="16"/>
  <c r="Q20" i="20"/>
  <c r="Q20" i="19"/>
  <c r="G11" i="19" s="1"/>
  <c r="Q20" i="6"/>
  <c r="G11" i="6" s="1"/>
  <c r="Q20" i="30"/>
  <c r="Q20" i="29"/>
  <c r="G11" i="29" s="1"/>
  <c r="Q20" i="28"/>
  <c r="G11" i="28" s="1"/>
  <c r="Q20" i="27"/>
  <c r="Q20" i="26"/>
  <c r="G11" i="26" s="1"/>
  <c r="D1" i="25"/>
  <c r="Q20" i="23"/>
  <c r="G11" i="23" s="1"/>
  <c r="Q20" i="21"/>
  <c r="Q20" i="18"/>
  <c r="G11" i="18" s="1"/>
  <c r="N29" i="1"/>
  <c r="N28" i="1"/>
  <c r="N27" i="1"/>
  <c r="N24" i="1"/>
  <c r="N25" i="1"/>
  <c r="N26" i="1"/>
  <c r="I106" i="1"/>
  <c r="J76" i="1"/>
  <c r="L53" i="1"/>
  <c r="L52" i="1"/>
  <c r="L51" i="1"/>
  <c r="L50" i="1"/>
  <c r="I58" i="1"/>
  <c r="L23" i="1"/>
  <c r="L19" i="1"/>
  <c r="Q20" i="14"/>
  <c r="G11" i="14" s="1"/>
  <c r="Q20" i="13"/>
  <c r="G11" i="13" s="1"/>
  <c r="Q20" i="10"/>
  <c r="Q20" i="9"/>
  <c r="G11" i="9" s="1"/>
  <c r="Q20" i="7"/>
  <c r="Q20" i="4"/>
  <c r="G6" i="4" s="1"/>
  <c r="D1" i="30" l="1"/>
  <c r="G1" i="30" s="1"/>
  <c r="G11" i="30"/>
  <c r="D1" i="27"/>
  <c r="G1" i="27" s="1"/>
  <c r="G11" i="27"/>
  <c r="J7" i="26"/>
  <c r="J7" i="18"/>
  <c r="D1" i="20"/>
  <c r="G1" i="20" s="1"/>
  <c r="G11" i="20"/>
  <c r="D1" i="21"/>
  <c r="G1" i="21" s="1"/>
  <c r="G11" i="21"/>
  <c r="D1" i="7"/>
  <c r="G1" i="7" s="1"/>
  <c r="G11" i="7"/>
  <c r="D1" i="10"/>
  <c r="G1" i="10" s="1"/>
  <c r="G10" i="10"/>
  <c r="D1" i="4"/>
  <c r="G1" i="4" s="1"/>
  <c r="E5" i="4" s="1"/>
  <c r="G5" i="4" s="1"/>
  <c r="H5" i="4" s="1"/>
  <c r="K5" i="4" s="1"/>
  <c r="L5" i="4" s="1"/>
  <c r="Q21" i="4" s="1"/>
  <c r="J9" i="7"/>
  <c r="J9" i="6"/>
  <c r="J9" i="21"/>
  <c r="J9" i="27"/>
  <c r="J6" i="6"/>
  <c r="J7" i="13"/>
  <c r="J8" i="9"/>
  <c r="J6" i="21"/>
  <c r="J6" i="27"/>
  <c r="J6" i="7"/>
  <c r="J7" i="23"/>
  <c r="J7" i="30"/>
  <c r="Q20" i="5"/>
  <c r="G8" i="5" s="1"/>
  <c r="Q20" i="22"/>
  <c r="G9" i="22" s="1"/>
  <c r="D1" i="19"/>
  <c r="F1" i="35"/>
  <c r="D1" i="28"/>
  <c r="G1" i="28" s="1"/>
  <c r="Q20" i="3"/>
  <c r="G7" i="3" s="1"/>
  <c r="D1" i="26"/>
  <c r="F1" i="33"/>
  <c r="Q20" i="24"/>
  <c r="D1" i="23"/>
  <c r="F1" i="17"/>
  <c r="I1" i="17" s="1"/>
  <c r="Q20" i="15"/>
  <c r="G11" i="15" s="1"/>
  <c r="D1" i="29"/>
  <c r="G1" i="29" s="1"/>
  <c r="G1" i="25"/>
  <c r="D1" i="18"/>
  <c r="G1" i="18" s="1"/>
  <c r="F1" i="11"/>
  <c r="D1" i="14"/>
  <c r="D1" i="9"/>
  <c r="Q20" i="8"/>
  <c r="H9" i="8" s="1"/>
  <c r="D1" i="13"/>
  <c r="G1" i="13" s="1"/>
  <c r="D1" i="6"/>
  <c r="G1" i="6" s="1"/>
  <c r="F1" i="22" l="1"/>
  <c r="I1" i="22" s="1"/>
  <c r="F1" i="24"/>
  <c r="I1" i="24" s="1"/>
  <c r="G9" i="24"/>
  <c r="E8" i="34"/>
  <c r="G8" i="34" s="1"/>
  <c r="H8" i="34" s="1"/>
  <c r="K8" i="34" s="1"/>
  <c r="L8" i="34" s="1"/>
  <c r="E7" i="34"/>
  <c r="G7" i="34" s="1"/>
  <c r="H7" i="34" s="1"/>
  <c r="K7" i="34" s="1"/>
  <c r="L7" i="34" s="1"/>
  <c r="E6" i="34"/>
  <c r="G6" i="34" s="1"/>
  <c r="H6" i="34" s="1"/>
  <c r="K6" i="34" s="1"/>
  <c r="L6" i="34" s="1"/>
  <c r="E5" i="34"/>
  <c r="G5" i="34" s="1"/>
  <c r="H5" i="34" s="1"/>
  <c r="E9" i="25"/>
  <c r="G9" i="25" s="1"/>
  <c r="H9" i="25" s="1"/>
  <c r="K9" i="25" s="1"/>
  <c r="L9" i="25" s="1"/>
  <c r="E8" i="25"/>
  <c r="G8" i="25" s="1"/>
  <c r="H8" i="25" s="1"/>
  <c r="K8" i="25" s="1"/>
  <c r="L8" i="25" s="1"/>
  <c r="E7" i="25"/>
  <c r="G7" i="25" s="1"/>
  <c r="H7" i="25" s="1"/>
  <c r="K7" i="25" s="1"/>
  <c r="L7" i="25" s="1"/>
  <c r="E6" i="25"/>
  <c r="G6" i="25" s="1"/>
  <c r="H6" i="25" s="1"/>
  <c r="K6" i="25" s="1"/>
  <c r="L6" i="25" s="1"/>
  <c r="E5" i="25"/>
  <c r="G5" i="25" s="1"/>
  <c r="H5" i="25" s="1"/>
  <c r="K5" i="25" s="1"/>
  <c r="L5" i="25" s="1"/>
  <c r="E10" i="25"/>
  <c r="G10" i="25" s="1"/>
  <c r="H10" i="25" s="1"/>
  <c r="K10" i="25" s="1"/>
  <c r="L10" i="25" s="1"/>
  <c r="E10" i="18"/>
  <c r="G10" i="18" s="1"/>
  <c r="H10" i="18" s="1"/>
  <c r="K10" i="18" s="1"/>
  <c r="L10" i="18" s="1"/>
  <c r="E9" i="18"/>
  <c r="G9" i="18" s="1"/>
  <c r="H9" i="18" s="1"/>
  <c r="K9" i="18" s="1"/>
  <c r="L9" i="18" s="1"/>
  <c r="E8" i="18"/>
  <c r="G8" i="18" s="1"/>
  <c r="H8" i="18" s="1"/>
  <c r="K8" i="18" s="1"/>
  <c r="L8" i="18" s="1"/>
  <c r="E7" i="18"/>
  <c r="G7" i="18" s="1"/>
  <c r="H7" i="18" s="1"/>
  <c r="K7" i="18" s="1"/>
  <c r="L7" i="18" s="1"/>
  <c r="E6" i="18"/>
  <c r="G6" i="18" s="1"/>
  <c r="H6" i="18" s="1"/>
  <c r="K6" i="18" s="1"/>
  <c r="L6" i="18" s="1"/>
  <c r="E5" i="18"/>
  <c r="G5" i="18" s="1"/>
  <c r="H5" i="18" s="1"/>
  <c r="K5" i="18" s="1"/>
  <c r="L5" i="18" s="1"/>
  <c r="E5" i="17"/>
  <c r="G5" i="17" s="1"/>
  <c r="H5" i="17" s="1"/>
  <c r="K5" i="17" s="1"/>
  <c r="L5" i="17" s="1"/>
  <c r="E7" i="17"/>
  <c r="G7" i="17" s="1"/>
  <c r="H7" i="17" s="1"/>
  <c r="K7" i="17" s="1"/>
  <c r="L7" i="17" s="1"/>
  <c r="E8" i="17"/>
  <c r="G8" i="17" s="1"/>
  <c r="H8" i="17" s="1"/>
  <c r="K8" i="17" s="1"/>
  <c r="L8" i="17" s="1"/>
  <c r="E6" i="17"/>
  <c r="G6" i="17" s="1"/>
  <c r="H6" i="17" s="1"/>
  <c r="K6" i="17" s="1"/>
  <c r="L6" i="17" s="1"/>
  <c r="E10" i="28"/>
  <c r="G10" i="28" s="1"/>
  <c r="H10" i="28" s="1"/>
  <c r="K10" i="28" s="1"/>
  <c r="L10" i="28" s="1"/>
  <c r="E9" i="28"/>
  <c r="G9" i="28" s="1"/>
  <c r="H9" i="28" s="1"/>
  <c r="K9" i="28" s="1"/>
  <c r="L9" i="28" s="1"/>
  <c r="E5" i="28"/>
  <c r="G5" i="28" s="1"/>
  <c r="H5" i="28" s="1"/>
  <c r="K5" i="28" s="1"/>
  <c r="L5" i="28" s="1"/>
  <c r="E6" i="28"/>
  <c r="G6" i="28" s="1"/>
  <c r="H6" i="28" s="1"/>
  <c r="K6" i="28" s="1"/>
  <c r="L6" i="28" s="1"/>
  <c r="E6" i="27"/>
  <c r="G6" i="27" s="1"/>
  <c r="H6" i="27" s="1"/>
  <c r="K6" i="27" s="1"/>
  <c r="L6" i="27" s="1"/>
  <c r="E9" i="27"/>
  <c r="G9" i="27" s="1"/>
  <c r="H9" i="27" s="1"/>
  <c r="K9" i="27" s="1"/>
  <c r="L9" i="27" s="1"/>
  <c r="D1" i="8"/>
  <c r="G1" i="8" s="1"/>
  <c r="Y8" i="4"/>
  <c r="E7" i="28"/>
  <c r="G7" i="28" s="1"/>
  <c r="H7" i="28" s="1"/>
  <c r="K7" i="28" s="1"/>
  <c r="L7" i="28" s="1"/>
  <c r="E8" i="28"/>
  <c r="G8" i="28" s="1"/>
  <c r="H8" i="28" s="1"/>
  <c r="K8" i="28" s="1"/>
  <c r="L8" i="28" s="1"/>
  <c r="E5" i="27"/>
  <c r="G5" i="27" s="1"/>
  <c r="H5" i="27" s="1"/>
  <c r="K5" i="27" s="1"/>
  <c r="L5" i="27" s="1"/>
  <c r="E10" i="27"/>
  <c r="G10" i="27" s="1"/>
  <c r="H10" i="27" s="1"/>
  <c r="K10" i="27" s="1"/>
  <c r="L10" i="27" s="1"/>
  <c r="E7" i="27"/>
  <c r="G7" i="27" s="1"/>
  <c r="H7" i="27" s="1"/>
  <c r="K7" i="27" s="1"/>
  <c r="L7" i="27" s="1"/>
  <c r="E8" i="27"/>
  <c r="G8" i="27" s="1"/>
  <c r="H8" i="27" s="1"/>
  <c r="K8" i="27" s="1"/>
  <c r="L8" i="27" s="1"/>
  <c r="F1" i="31"/>
  <c r="E6" i="35"/>
  <c r="D1" i="5"/>
  <c r="G1" i="19"/>
  <c r="E8" i="35"/>
  <c r="E5" i="35"/>
  <c r="E7" i="35"/>
  <c r="D1" i="3"/>
  <c r="G1" i="3" s="1"/>
  <c r="G1" i="26"/>
  <c r="E5" i="33"/>
  <c r="G5" i="33" s="1"/>
  <c r="H5" i="33" s="1"/>
  <c r="K5" i="33" s="1"/>
  <c r="L5" i="33" s="1"/>
  <c r="E6" i="33"/>
  <c r="G6" i="33" s="1"/>
  <c r="H6" i="33" s="1"/>
  <c r="K6" i="33" s="1"/>
  <c r="L6" i="33" s="1"/>
  <c r="E7" i="33"/>
  <c r="G7" i="33" s="1"/>
  <c r="H7" i="33" s="1"/>
  <c r="K7" i="33" s="1"/>
  <c r="L7" i="33" s="1"/>
  <c r="E8" i="33"/>
  <c r="G8" i="33" s="1"/>
  <c r="H8" i="33" s="1"/>
  <c r="K8" i="33" s="1"/>
  <c r="L8" i="33" s="1"/>
  <c r="G1" i="23"/>
  <c r="E6" i="11"/>
  <c r="D1" i="15"/>
  <c r="G1" i="15" s="1"/>
  <c r="E5" i="30"/>
  <c r="G5" i="30" s="1"/>
  <c r="H5" i="30" s="1"/>
  <c r="K5" i="30" s="1"/>
  <c r="L5" i="30" s="1"/>
  <c r="E6" i="30"/>
  <c r="G6" i="30" s="1"/>
  <c r="H6" i="30" s="1"/>
  <c r="K6" i="30" s="1"/>
  <c r="L6" i="30" s="1"/>
  <c r="E7" i="30"/>
  <c r="G7" i="30" s="1"/>
  <c r="H7" i="30" s="1"/>
  <c r="K7" i="30" s="1"/>
  <c r="L7" i="30" s="1"/>
  <c r="E8" i="30"/>
  <c r="G8" i="30" s="1"/>
  <c r="H8" i="30" s="1"/>
  <c r="K8" i="30" s="1"/>
  <c r="L8" i="30" s="1"/>
  <c r="E9" i="30"/>
  <c r="G9" i="30" s="1"/>
  <c r="H9" i="30" s="1"/>
  <c r="K9" i="30" s="1"/>
  <c r="L9" i="30" s="1"/>
  <c r="E10" i="30"/>
  <c r="G10" i="30" s="1"/>
  <c r="H10" i="30" s="1"/>
  <c r="K10" i="30" s="1"/>
  <c r="L10" i="30" s="1"/>
  <c r="E5" i="29"/>
  <c r="G5" i="29" s="1"/>
  <c r="H5" i="29" s="1"/>
  <c r="K5" i="29" s="1"/>
  <c r="L5" i="29" s="1"/>
  <c r="E6" i="29"/>
  <c r="G6" i="29" s="1"/>
  <c r="H6" i="29" s="1"/>
  <c r="K6" i="29" s="1"/>
  <c r="L6" i="29" s="1"/>
  <c r="E9" i="29"/>
  <c r="G9" i="29" s="1"/>
  <c r="H9" i="29" s="1"/>
  <c r="K9" i="29" s="1"/>
  <c r="L9" i="29" s="1"/>
  <c r="E7" i="29"/>
  <c r="G7" i="29" s="1"/>
  <c r="H7" i="29" s="1"/>
  <c r="K7" i="29" s="1"/>
  <c r="L7" i="29" s="1"/>
  <c r="E8" i="29"/>
  <c r="G8" i="29" s="1"/>
  <c r="H8" i="29" s="1"/>
  <c r="K8" i="29" s="1"/>
  <c r="L8" i="29" s="1"/>
  <c r="E10" i="29"/>
  <c r="G10" i="29" s="1"/>
  <c r="H10" i="29" s="1"/>
  <c r="K10" i="29" s="1"/>
  <c r="L10" i="29" s="1"/>
  <c r="E5" i="21"/>
  <c r="E6" i="21"/>
  <c r="E7" i="21"/>
  <c r="G7" i="21" s="1"/>
  <c r="H7" i="21" s="1"/>
  <c r="K7" i="21" s="1"/>
  <c r="L7" i="21" s="1"/>
  <c r="E8" i="21"/>
  <c r="G8" i="21" s="1"/>
  <c r="H8" i="21" s="1"/>
  <c r="K8" i="21" s="1"/>
  <c r="L8" i="21" s="1"/>
  <c r="E9" i="21"/>
  <c r="E10" i="21"/>
  <c r="G10" i="21" s="1"/>
  <c r="H10" i="21" s="1"/>
  <c r="K10" i="21" s="1"/>
  <c r="L10" i="21" s="1"/>
  <c r="E5" i="20"/>
  <c r="G5" i="20" s="1"/>
  <c r="H5" i="20" s="1"/>
  <c r="K5" i="20" s="1"/>
  <c r="L5" i="20" s="1"/>
  <c r="E8" i="20"/>
  <c r="G8" i="20" s="1"/>
  <c r="H8" i="20" s="1"/>
  <c r="K8" i="20" s="1"/>
  <c r="L8" i="20" s="1"/>
  <c r="E7" i="20"/>
  <c r="G7" i="20" s="1"/>
  <c r="H7" i="20" s="1"/>
  <c r="K7" i="20" s="1"/>
  <c r="L7" i="20" s="1"/>
  <c r="E6" i="20"/>
  <c r="G6" i="20" s="1"/>
  <c r="H6" i="20" s="1"/>
  <c r="K6" i="20" s="1"/>
  <c r="L6" i="20" s="1"/>
  <c r="E10" i="20"/>
  <c r="G10" i="20" s="1"/>
  <c r="H10" i="20" s="1"/>
  <c r="K10" i="20" s="1"/>
  <c r="L10" i="20" s="1"/>
  <c r="E9" i="20"/>
  <c r="G9" i="20" s="1"/>
  <c r="H9" i="20" s="1"/>
  <c r="K9" i="20" s="1"/>
  <c r="L9" i="20" s="1"/>
  <c r="E5" i="11"/>
  <c r="E7" i="11"/>
  <c r="E8" i="11"/>
  <c r="G1" i="14"/>
  <c r="G1" i="9"/>
  <c r="E5" i="13"/>
  <c r="G5" i="13" s="1"/>
  <c r="H5" i="13" s="1"/>
  <c r="K5" i="13" s="1"/>
  <c r="L5" i="13" s="1"/>
  <c r="E6" i="13"/>
  <c r="G6" i="13" s="1"/>
  <c r="H6" i="13" s="1"/>
  <c r="K6" i="13" s="1"/>
  <c r="L6" i="13" s="1"/>
  <c r="E7" i="13"/>
  <c r="G7" i="13" s="1"/>
  <c r="H7" i="13" s="1"/>
  <c r="K7" i="13" s="1"/>
  <c r="L7" i="13" s="1"/>
  <c r="E8" i="13"/>
  <c r="G8" i="13" s="1"/>
  <c r="H8" i="13" s="1"/>
  <c r="K8" i="13" s="1"/>
  <c r="L8" i="13" s="1"/>
  <c r="E9" i="13"/>
  <c r="G9" i="13" s="1"/>
  <c r="H9" i="13" s="1"/>
  <c r="K9" i="13" s="1"/>
  <c r="L9" i="13" s="1"/>
  <c r="E10" i="13"/>
  <c r="G10" i="13" s="1"/>
  <c r="H10" i="13" s="1"/>
  <c r="K10" i="13" s="1"/>
  <c r="L10" i="13" s="1"/>
  <c r="E5" i="6"/>
  <c r="E6" i="6"/>
  <c r="E7" i="6"/>
  <c r="E8" i="6"/>
  <c r="E9" i="6"/>
  <c r="E10" i="6"/>
  <c r="E5" i="10"/>
  <c r="G5" i="10" s="1"/>
  <c r="H5" i="10" s="1"/>
  <c r="K5" i="10" s="1"/>
  <c r="L5" i="10" s="1"/>
  <c r="E7" i="10"/>
  <c r="G7" i="10" s="1"/>
  <c r="H7" i="10" s="1"/>
  <c r="K7" i="10" s="1"/>
  <c r="L7" i="10" s="1"/>
  <c r="E9" i="10"/>
  <c r="G9" i="10" s="1"/>
  <c r="H9" i="10" s="1"/>
  <c r="K9" i="10" s="1"/>
  <c r="L9" i="10" s="1"/>
  <c r="E8" i="10"/>
  <c r="G8" i="10" s="1"/>
  <c r="H8" i="10" s="1"/>
  <c r="K8" i="10" s="1"/>
  <c r="L8" i="10" s="1"/>
  <c r="E6" i="10"/>
  <c r="G6" i="10" s="1"/>
  <c r="H6" i="10" s="1"/>
  <c r="K6" i="10" s="1"/>
  <c r="L6" i="10" s="1"/>
  <c r="E7" i="7"/>
  <c r="G7" i="7" s="1"/>
  <c r="H7" i="7" s="1"/>
  <c r="K7" i="7" s="1"/>
  <c r="L7" i="7" s="1"/>
  <c r="E9" i="7"/>
  <c r="G9" i="7" s="1"/>
  <c r="H9" i="7" s="1"/>
  <c r="K9" i="7" s="1"/>
  <c r="L9" i="7" s="1"/>
  <c r="E6" i="7"/>
  <c r="G6" i="7" s="1"/>
  <c r="H6" i="7" s="1"/>
  <c r="K6" i="7" s="1"/>
  <c r="L6" i="7" s="1"/>
  <c r="E8" i="7"/>
  <c r="G8" i="7" s="1"/>
  <c r="H8" i="7" s="1"/>
  <c r="K8" i="7" s="1"/>
  <c r="L8" i="7" s="1"/>
  <c r="E10" i="7"/>
  <c r="G10" i="7" s="1"/>
  <c r="H10" i="7" s="1"/>
  <c r="K10" i="7" s="1"/>
  <c r="L10" i="7" s="1"/>
  <c r="E5" i="7"/>
  <c r="G5" i="7" s="1"/>
  <c r="H5" i="7" s="1"/>
  <c r="K5" i="7" s="1"/>
  <c r="L5" i="7" s="1"/>
  <c r="E6" i="22" l="1"/>
  <c r="G6" i="22" s="1"/>
  <c r="H6" i="22" s="1"/>
  <c r="K6" i="22" s="1"/>
  <c r="L6" i="22" s="1"/>
  <c r="E7" i="22"/>
  <c r="G7" i="22" s="1"/>
  <c r="H7" i="22" s="1"/>
  <c r="K7" i="22" s="1"/>
  <c r="L7" i="22" s="1"/>
  <c r="E8" i="22"/>
  <c r="G8" i="22" s="1"/>
  <c r="H8" i="22" s="1"/>
  <c r="K8" i="22" s="1"/>
  <c r="L8" i="22" s="1"/>
  <c r="E5" i="22"/>
  <c r="G5" i="22" s="1"/>
  <c r="H5" i="22" s="1"/>
  <c r="K5" i="22" s="1"/>
  <c r="L5" i="22" s="1"/>
  <c r="Q22" i="33"/>
  <c r="H9" i="34"/>
  <c r="K5" i="34"/>
  <c r="L5" i="34" s="1"/>
  <c r="E10" i="26"/>
  <c r="G10" i="26" s="1"/>
  <c r="H10" i="26" s="1"/>
  <c r="K10" i="26" s="1"/>
  <c r="L10" i="26" s="1"/>
  <c r="E7" i="26"/>
  <c r="G7" i="26" s="1"/>
  <c r="H7" i="26" s="1"/>
  <c r="K7" i="26" s="1"/>
  <c r="L7" i="26" s="1"/>
  <c r="E5" i="26"/>
  <c r="G5" i="26" s="1"/>
  <c r="H5" i="26" s="1"/>
  <c r="K5" i="26" s="1"/>
  <c r="L5" i="26" s="1"/>
  <c r="E9" i="26"/>
  <c r="G9" i="26" s="1"/>
  <c r="H9" i="26" s="1"/>
  <c r="K9" i="26" s="1"/>
  <c r="L9" i="26" s="1"/>
  <c r="E8" i="26"/>
  <c r="G8" i="26" s="1"/>
  <c r="H8" i="26" s="1"/>
  <c r="K8" i="26" s="1"/>
  <c r="L8" i="26" s="1"/>
  <c r="E6" i="26"/>
  <c r="G6" i="26" s="1"/>
  <c r="H6" i="26" s="1"/>
  <c r="K6" i="26" s="1"/>
  <c r="L6" i="26" s="1"/>
  <c r="G6" i="21"/>
  <c r="H6" i="21" s="1"/>
  <c r="K6" i="21" s="1"/>
  <c r="L6" i="21" s="1"/>
  <c r="G5" i="21"/>
  <c r="H5" i="21" s="1"/>
  <c r="K5" i="21" s="1"/>
  <c r="L5" i="21" s="1"/>
  <c r="G9" i="21"/>
  <c r="H9" i="21" s="1"/>
  <c r="K9" i="21" s="1"/>
  <c r="L9" i="21" s="1"/>
  <c r="Y8" i="7"/>
  <c r="Y8" i="13"/>
  <c r="Y8" i="10"/>
  <c r="Q21" i="10"/>
  <c r="E6" i="31"/>
  <c r="G6" i="31" s="1"/>
  <c r="H6" i="31" s="1"/>
  <c r="K6" i="31" s="1"/>
  <c r="L6" i="31" s="1"/>
  <c r="E7" i="31"/>
  <c r="G7" i="31" s="1"/>
  <c r="H7" i="31" s="1"/>
  <c r="K7" i="31" s="1"/>
  <c r="L7" i="31" s="1"/>
  <c r="E8" i="31"/>
  <c r="G8" i="31" s="1"/>
  <c r="H8" i="31" s="1"/>
  <c r="K8" i="31" s="1"/>
  <c r="L8" i="31" s="1"/>
  <c r="E5" i="31"/>
  <c r="G5" i="31" s="1"/>
  <c r="H5" i="31" s="1"/>
  <c r="Q21" i="7"/>
  <c r="Q21" i="13"/>
  <c r="G6" i="35"/>
  <c r="H6" i="35" s="1"/>
  <c r="K6" i="35" s="1"/>
  <c r="L6" i="35" s="1"/>
  <c r="E6" i="24"/>
  <c r="G6" i="24" s="1"/>
  <c r="H6" i="24" s="1"/>
  <c r="K6" i="24" s="1"/>
  <c r="L6" i="24" s="1"/>
  <c r="E5" i="24"/>
  <c r="G5" i="24" s="1"/>
  <c r="H5" i="24" s="1"/>
  <c r="K5" i="24" s="1"/>
  <c r="L5" i="24" s="1"/>
  <c r="E8" i="24"/>
  <c r="G8" i="24" s="1"/>
  <c r="H8" i="24" s="1"/>
  <c r="K8" i="24" s="1"/>
  <c r="L8" i="24" s="1"/>
  <c r="E7" i="24"/>
  <c r="G7" i="24" s="1"/>
  <c r="H7" i="24" s="1"/>
  <c r="K7" i="24" s="1"/>
  <c r="L7" i="24" s="1"/>
  <c r="E10" i="23"/>
  <c r="G10" i="23" s="1"/>
  <c r="H10" i="23" s="1"/>
  <c r="K10" i="23" s="1"/>
  <c r="L10" i="23" s="1"/>
  <c r="E6" i="23"/>
  <c r="G6" i="23" s="1"/>
  <c r="H6" i="23" s="1"/>
  <c r="K6" i="23" s="1"/>
  <c r="L6" i="23" s="1"/>
  <c r="E7" i="23"/>
  <c r="G7" i="23" s="1"/>
  <c r="H7" i="23" s="1"/>
  <c r="K7" i="23" s="1"/>
  <c r="L7" i="23" s="1"/>
  <c r="E8" i="23"/>
  <c r="G8" i="23" s="1"/>
  <c r="H8" i="23" s="1"/>
  <c r="K8" i="23" s="1"/>
  <c r="L8" i="23" s="1"/>
  <c r="E9" i="23"/>
  <c r="G9" i="23" s="1"/>
  <c r="H9" i="23" s="1"/>
  <c r="K9" i="23" s="1"/>
  <c r="L9" i="23" s="1"/>
  <c r="E5" i="23"/>
  <c r="G5" i="23" s="1"/>
  <c r="H5" i="23" s="1"/>
  <c r="K5" i="23" s="1"/>
  <c r="L5" i="23" s="1"/>
  <c r="G1" i="5"/>
  <c r="E6" i="5" s="1"/>
  <c r="G6" i="5" s="1"/>
  <c r="H6" i="5" s="1"/>
  <c r="K6" i="5" s="1"/>
  <c r="L6" i="5" s="1"/>
  <c r="E6" i="19"/>
  <c r="G6" i="19" s="1"/>
  <c r="H6" i="19" s="1"/>
  <c r="K6" i="19" s="1"/>
  <c r="L6" i="19" s="1"/>
  <c r="E8" i="19"/>
  <c r="G8" i="19" s="1"/>
  <c r="H8" i="19" s="1"/>
  <c r="K8" i="19" s="1"/>
  <c r="L8" i="19" s="1"/>
  <c r="E7" i="19"/>
  <c r="G7" i="19" s="1"/>
  <c r="H7" i="19" s="1"/>
  <c r="K7" i="19" s="1"/>
  <c r="L7" i="19" s="1"/>
  <c r="E5" i="19"/>
  <c r="G5" i="19" s="1"/>
  <c r="H5" i="19" s="1"/>
  <c r="K5" i="19" s="1"/>
  <c r="L5" i="19" s="1"/>
  <c r="E9" i="19"/>
  <c r="G9" i="19" s="1"/>
  <c r="H9" i="19" s="1"/>
  <c r="K9" i="19" s="1"/>
  <c r="L9" i="19" s="1"/>
  <c r="E10" i="19"/>
  <c r="G10" i="19" s="1"/>
  <c r="H10" i="19" s="1"/>
  <c r="K10" i="19" s="1"/>
  <c r="L10" i="19" s="1"/>
  <c r="G8" i="35"/>
  <c r="H8" i="35" s="1"/>
  <c r="K8" i="35" s="1"/>
  <c r="L8" i="35" s="1"/>
  <c r="G5" i="35"/>
  <c r="H5" i="35" s="1"/>
  <c r="G7" i="35"/>
  <c r="H7" i="35" s="1"/>
  <c r="K7" i="35" s="1"/>
  <c r="L7" i="35" s="1"/>
  <c r="E6" i="3"/>
  <c r="G6" i="3" s="1"/>
  <c r="H6" i="3" s="1"/>
  <c r="K6" i="3" s="1"/>
  <c r="L6" i="3" s="1"/>
  <c r="E5" i="3"/>
  <c r="G5" i="3" s="1"/>
  <c r="H5" i="3" s="1"/>
  <c r="K5" i="3" s="1"/>
  <c r="L5" i="3" s="1"/>
  <c r="E5" i="15"/>
  <c r="G5" i="15" s="1"/>
  <c r="H5" i="15" s="1"/>
  <c r="K5" i="15" s="1"/>
  <c r="L5" i="15" s="1"/>
  <c r="E6" i="15"/>
  <c r="G6" i="15" s="1"/>
  <c r="H6" i="15" s="1"/>
  <c r="K6" i="15" s="1"/>
  <c r="L6" i="15" s="1"/>
  <c r="E9" i="15"/>
  <c r="G9" i="15" s="1"/>
  <c r="H9" i="15" s="1"/>
  <c r="K9" i="15" s="1"/>
  <c r="L9" i="15" s="1"/>
  <c r="E7" i="15"/>
  <c r="G7" i="15" s="1"/>
  <c r="H7" i="15" s="1"/>
  <c r="K7" i="15" s="1"/>
  <c r="L7" i="15" s="1"/>
  <c r="E8" i="15"/>
  <c r="G8" i="15" s="1"/>
  <c r="H8" i="15" s="1"/>
  <c r="K8" i="15" s="1"/>
  <c r="L8" i="15" s="1"/>
  <c r="E10" i="15"/>
  <c r="G10" i="15" s="1"/>
  <c r="H10" i="15" s="1"/>
  <c r="K10" i="15" s="1"/>
  <c r="L10" i="15" s="1"/>
  <c r="G7" i="11"/>
  <c r="H7" i="11" s="1"/>
  <c r="K7" i="11" s="1"/>
  <c r="L7" i="11" s="1"/>
  <c r="G5" i="11"/>
  <c r="H5" i="11" s="1"/>
  <c r="K5" i="11" s="1"/>
  <c r="L5" i="11" s="1"/>
  <c r="G8" i="11"/>
  <c r="H8" i="11" s="1"/>
  <c r="K8" i="11" s="1"/>
  <c r="L8" i="11" s="1"/>
  <c r="G6" i="11"/>
  <c r="H6" i="11" s="1"/>
  <c r="K6" i="11" s="1"/>
  <c r="L6" i="11" s="1"/>
  <c r="E8" i="14"/>
  <c r="G8" i="14" s="1"/>
  <c r="H8" i="14" s="1"/>
  <c r="K8" i="14" s="1"/>
  <c r="L8" i="14" s="1"/>
  <c r="E9" i="14"/>
  <c r="G9" i="14" s="1"/>
  <c r="H9" i="14" s="1"/>
  <c r="K9" i="14" s="1"/>
  <c r="L9" i="14" s="1"/>
  <c r="E10" i="14"/>
  <c r="G10" i="14" s="1"/>
  <c r="H10" i="14" s="1"/>
  <c r="K10" i="14" s="1"/>
  <c r="L10" i="14" s="1"/>
  <c r="E6" i="14"/>
  <c r="G6" i="14" s="1"/>
  <c r="H6" i="14" s="1"/>
  <c r="K6" i="14" s="1"/>
  <c r="L6" i="14" s="1"/>
  <c r="E7" i="14"/>
  <c r="G7" i="14" s="1"/>
  <c r="H7" i="14" s="1"/>
  <c r="K7" i="14" s="1"/>
  <c r="L7" i="14" s="1"/>
  <c r="E5" i="14"/>
  <c r="G5" i="14" s="1"/>
  <c r="H5" i="14" s="1"/>
  <c r="K5" i="14" s="1"/>
  <c r="L5" i="14" s="1"/>
  <c r="E8" i="9"/>
  <c r="G8" i="9" s="1"/>
  <c r="H8" i="9" s="1"/>
  <c r="K8" i="9" s="1"/>
  <c r="L8" i="9" s="1"/>
  <c r="E7" i="9"/>
  <c r="G7" i="9" s="1"/>
  <c r="H7" i="9" s="1"/>
  <c r="K7" i="9" s="1"/>
  <c r="L7" i="9" s="1"/>
  <c r="E10" i="9"/>
  <c r="G10" i="9" s="1"/>
  <c r="H10" i="9" s="1"/>
  <c r="K10" i="9" s="1"/>
  <c r="L10" i="9" s="1"/>
  <c r="E9" i="9"/>
  <c r="G9" i="9" s="1"/>
  <c r="H9" i="9" s="1"/>
  <c r="K9" i="9" s="1"/>
  <c r="L9" i="9" s="1"/>
  <c r="E5" i="9"/>
  <c r="G5" i="9" s="1"/>
  <c r="H5" i="9" s="1"/>
  <c r="K5" i="9" s="1"/>
  <c r="L5" i="9" s="1"/>
  <c r="E6" i="9"/>
  <c r="G6" i="9" s="1"/>
  <c r="H6" i="9" s="1"/>
  <c r="K6" i="9" s="1"/>
  <c r="L6" i="9" s="1"/>
  <c r="E8" i="8"/>
  <c r="G8" i="8" s="1"/>
  <c r="H8" i="8" s="1"/>
  <c r="K8" i="8" s="1"/>
  <c r="L8" i="8" s="1"/>
  <c r="E6" i="8"/>
  <c r="G6" i="8" s="1"/>
  <c r="H6" i="8" s="1"/>
  <c r="K6" i="8" s="1"/>
  <c r="L6" i="8" s="1"/>
  <c r="E5" i="8"/>
  <c r="G5" i="8" s="1"/>
  <c r="H5" i="8" s="1"/>
  <c r="K5" i="8" s="1"/>
  <c r="L5" i="8" s="1"/>
  <c r="E7" i="8"/>
  <c r="G7" i="8" s="1"/>
  <c r="H7" i="8" s="1"/>
  <c r="K7" i="8" s="1"/>
  <c r="L7" i="8" s="1"/>
  <c r="G10" i="6"/>
  <c r="H10" i="6" s="1"/>
  <c r="K10" i="6" s="1"/>
  <c r="L10" i="6" s="1"/>
  <c r="G5" i="6"/>
  <c r="H5" i="6" s="1"/>
  <c r="K5" i="6" s="1"/>
  <c r="L5" i="6" s="1"/>
  <c r="G6" i="6"/>
  <c r="H6" i="6" s="1"/>
  <c r="K6" i="6" s="1"/>
  <c r="L6" i="6" s="1"/>
  <c r="G7" i="6"/>
  <c r="H7" i="6" s="1"/>
  <c r="K7" i="6" s="1"/>
  <c r="L7" i="6" s="1"/>
  <c r="G8" i="6"/>
  <c r="H8" i="6" s="1"/>
  <c r="K8" i="6" s="1"/>
  <c r="L8" i="6" s="1"/>
  <c r="G9" i="6"/>
  <c r="H9" i="6" s="1"/>
  <c r="K9" i="6" s="1"/>
  <c r="L9" i="6" s="1"/>
  <c r="Q21" i="6" l="1"/>
  <c r="K5" i="35"/>
  <c r="L5" i="35" s="1"/>
  <c r="H9" i="35"/>
  <c r="Q21" i="11"/>
  <c r="Y8" i="11" s="1"/>
  <c r="Y8" i="15"/>
  <c r="Y8" i="6"/>
  <c r="Q21" i="9"/>
  <c r="Y8" i="9"/>
  <c r="Y8" i="8"/>
  <c r="Q21" i="8"/>
  <c r="K5" i="31"/>
  <c r="L5" i="31" s="1"/>
  <c r="H9" i="31"/>
  <c r="E7" i="5"/>
  <c r="G7" i="5" s="1"/>
  <c r="H7" i="5" s="1"/>
  <c r="K7" i="5" s="1"/>
  <c r="L7" i="5" s="1"/>
  <c r="Q21" i="19"/>
  <c r="Y8" i="19"/>
  <c r="Q21" i="15"/>
  <c r="Y8" i="3"/>
  <c r="Q21" i="3"/>
  <c r="E5" i="5"/>
  <c r="G5" i="5" s="1"/>
  <c r="H5" i="5" s="1"/>
  <c r="K5" i="5" s="1"/>
  <c r="L5" i="5" s="1"/>
  <c r="H9" i="11"/>
  <c r="Q21" i="5" l="1"/>
  <c r="Y8" i="5"/>
</calcChain>
</file>

<file path=xl/sharedStrings.xml><?xml version="1.0" encoding="utf-8"?>
<sst xmlns="http://schemas.openxmlformats.org/spreadsheetml/2006/main" count="1544" uniqueCount="331">
  <si>
    <t>Base Recipe (1 Portion)</t>
  </si>
  <si>
    <t xml:space="preserve">Required Quantity </t>
  </si>
  <si>
    <t>Conversion Factor</t>
  </si>
  <si>
    <t>Sauce Quantity gm</t>
  </si>
  <si>
    <t>No Cooking</t>
  </si>
  <si>
    <t>Cucumber Pickle</t>
  </si>
  <si>
    <t>Category</t>
  </si>
  <si>
    <t>Ingredient</t>
  </si>
  <si>
    <t xml:space="preserve">Unit </t>
  </si>
  <si>
    <t>Base Recipe
 (1 Portion)</t>
  </si>
  <si>
    <t>Corrected Conversion Factor</t>
  </si>
  <si>
    <t>Scaling Factor 
(1-10KG)</t>
  </si>
  <si>
    <t xml:space="preserve">Linear Scaled Amount </t>
  </si>
  <si>
    <t>Scaled Amount Post Conversion Factor</t>
  </si>
  <si>
    <t>Price Per KG or L</t>
  </si>
  <si>
    <t>Ordering quantity (KG or L)</t>
  </si>
  <si>
    <t>Cucumber Pickle - مخلل خيار</t>
  </si>
  <si>
    <t xml:space="preserve">gm </t>
  </si>
  <si>
    <t>Sauce/Side</t>
  </si>
  <si>
    <t xml:space="preserve">Actuals </t>
  </si>
  <si>
    <t xml:space="preserve">Quantity </t>
  </si>
  <si>
    <t>Required</t>
  </si>
  <si>
    <t xml:space="preserve">Safety </t>
  </si>
  <si>
    <t xml:space="preserve">Total </t>
  </si>
  <si>
    <t>فول</t>
  </si>
  <si>
    <t>طحينة</t>
  </si>
  <si>
    <t>سلطة حمراء</t>
  </si>
  <si>
    <t xml:space="preserve">مقلوبة </t>
  </si>
  <si>
    <t>زبادي بالخيار</t>
  </si>
  <si>
    <t>كابلي</t>
  </si>
  <si>
    <t>زربيان</t>
  </si>
  <si>
    <t xml:space="preserve">بخاري لحم </t>
  </si>
  <si>
    <t>سليق</t>
  </si>
  <si>
    <t>مندي</t>
  </si>
  <si>
    <t>ساندوتش الدجاج الآسيوي</t>
  </si>
  <si>
    <t>برجر لحم</t>
  </si>
  <si>
    <t>كوكتيل علبة</t>
  </si>
  <si>
    <t>ساندوتش فاهيتا الدجاج</t>
  </si>
  <si>
    <t>أوكتا بوكي بول</t>
  </si>
  <si>
    <t>كوكتيل وزن</t>
  </si>
  <si>
    <t>ساندوتش الدجاح بالباربكيو</t>
  </si>
  <si>
    <t>ساندوتش فيلادلفيا لحم</t>
  </si>
  <si>
    <t>ساندوتش كباب اللحم</t>
  </si>
  <si>
    <t>Sumak Powder - بودرة السماق</t>
  </si>
  <si>
    <t>Onion - بصل</t>
  </si>
  <si>
    <t>Radish Pickle - مخلل فجل</t>
  </si>
  <si>
    <t>Carrot Pickle - مخلل جزر</t>
  </si>
  <si>
    <t>Lemon Juice - عصير ليمون</t>
  </si>
  <si>
    <t>Coriander Powder - كزبرة مطحونة</t>
  </si>
  <si>
    <t>Salt - ملح</t>
  </si>
  <si>
    <t>Water - ماء</t>
  </si>
  <si>
    <t>Yogurt - زبادي</t>
  </si>
  <si>
    <t>White Pepper - فلفل أبيض</t>
  </si>
  <si>
    <t>Mayonnaise - مايونيز</t>
  </si>
  <si>
    <t>Mustard - خردل</t>
  </si>
  <si>
    <t>Cucumber - خيار</t>
  </si>
  <si>
    <t>Tomato - طماطم</t>
  </si>
  <si>
    <t>Sumak Onion</t>
  </si>
  <si>
    <t>Mixed Pickle</t>
  </si>
  <si>
    <t>صوص الشبت - Shabat Sauce</t>
  </si>
  <si>
    <t>صوص الأعشاب - Herbal Sauce</t>
  </si>
  <si>
    <t>اوكتا بوكي بول</t>
  </si>
  <si>
    <t>صوص الزبادي بالخيار - Cucumber yogurt sauce</t>
  </si>
  <si>
    <t>Yield</t>
  </si>
  <si>
    <t>Order Unit</t>
  </si>
  <si>
    <t>Weekly Order</t>
  </si>
  <si>
    <t>Daily Order</t>
  </si>
  <si>
    <t>Weekly Price</t>
  </si>
  <si>
    <t>Daily Price</t>
  </si>
  <si>
    <t>SHEET NAME</t>
  </si>
  <si>
    <t>DAY SELECTOR
اليوم</t>
  </si>
  <si>
    <t>SHEET REFERENCE</t>
  </si>
  <si>
    <t>gm</t>
  </si>
  <si>
    <t>Tahina Small</t>
  </si>
  <si>
    <t>Tahina Big</t>
  </si>
  <si>
    <t>Shabat Sauce</t>
  </si>
  <si>
    <t>Biryani Yoghrt sauce</t>
  </si>
  <si>
    <t>Herbal Sauce</t>
  </si>
  <si>
    <t>Coctail Sauce Weight</t>
  </si>
  <si>
    <t>Cucumber yogurt sauce</t>
  </si>
  <si>
    <t>Red sauce Big</t>
  </si>
  <si>
    <t>Red sauce</t>
  </si>
  <si>
    <t>Sriracha Sauce - صوص سريراتشا</t>
  </si>
  <si>
    <t>Green Bell Pepper - فلفل أخضر رومى</t>
  </si>
  <si>
    <t>صوص خيار زبادي</t>
  </si>
  <si>
    <t>دجاج تكا</t>
  </si>
  <si>
    <t>صوص برياني</t>
  </si>
  <si>
    <t xml:space="preserve"> صوص بريانى Biryani yoghurt sauce</t>
  </si>
  <si>
    <t>صوص دوقس</t>
  </si>
  <si>
    <t>صوص طحينه</t>
  </si>
  <si>
    <t>كبسه لحم</t>
  </si>
  <si>
    <t>صوص خيار. زبادي</t>
  </si>
  <si>
    <t>بأن فرايد فش</t>
  </si>
  <si>
    <t>مندي دجاج</t>
  </si>
  <si>
    <t>دجاج بالاعشاب</t>
  </si>
  <si>
    <t>صوص حق دجاج بالاعشاب</t>
  </si>
  <si>
    <t>لحم برغر</t>
  </si>
  <si>
    <t>صوص كوكتيل</t>
  </si>
  <si>
    <t>خيارطرشي</t>
  </si>
  <si>
    <t>زربيان  لحم</t>
  </si>
  <si>
    <t xml:space="preserve">فول </t>
  </si>
  <si>
    <t>دقوس طحينة</t>
  </si>
  <si>
    <t>كبسة لحم</t>
  </si>
  <si>
    <t>خيار زبادي + دوقس</t>
  </si>
  <si>
    <t>بان فرايد فش</t>
  </si>
  <si>
    <t xml:space="preserve">طحينة + دقوس </t>
  </si>
  <si>
    <t>كوتيل صوص</t>
  </si>
  <si>
    <t>دجاج باللوز</t>
  </si>
  <si>
    <t>اوكتا بوكي بول الدجاج</t>
  </si>
  <si>
    <t xml:space="preserve">كوتيل صوص </t>
  </si>
  <si>
    <t>ساندوتش الكباب</t>
  </si>
  <si>
    <t xml:space="preserve">طحينة </t>
  </si>
  <si>
    <t xml:space="preserve">جاج اوز </t>
  </si>
  <si>
    <t>كوكتيل صوص</t>
  </si>
  <si>
    <t>سليق دجاج</t>
  </si>
  <si>
    <t>دوقس صوص</t>
  </si>
  <si>
    <t>ساندويتش فاهيتا دجاج</t>
  </si>
  <si>
    <t>طرشي مشكل</t>
  </si>
  <si>
    <t>Mixed Pickle - طرشي مشكل</t>
  </si>
  <si>
    <t>وجبات السعودية حجم كبير</t>
  </si>
  <si>
    <t>فول صغير</t>
  </si>
  <si>
    <t>البحرية صغير</t>
  </si>
  <si>
    <t>ساندويتش</t>
  </si>
  <si>
    <t>مقلوبه دجاج</t>
  </si>
  <si>
    <t>ساندويتش باربيكيو</t>
  </si>
  <si>
    <t>صوص شبت. زبادي</t>
  </si>
  <si>
    <t>Total gm</t>
  </si>
  <si>
    <t>Base Recipe (1 Portion) gm</t>
  </si>
  <si>
    <t xml:space="preserve">Required Count </t>
  </si>
  <si>
    <t>بخاري لحم</t>
  </si>
  <si>
    <t>صوص خيار زبادى</t>
  </si>
  <si>
    <t>صوص.  دوقس</t>
  </si>
  <si>
    <t>كابلي  لحم</t>
  </si>
  <si>
    <t>سمك  شبت ليمون</t>
  </si>
  <si>
    <t>ساندويتش كباب لحم</t>
  </si>
  <si>
    <t>بصل مع سماق</t>
  </si>
  <si>
    <t>سلطة حمراء كبير - Red sauce Big</t>
  </si>
  <si>
    <t>سلطة حمراء صغير- Red sauce Small</t>
  </si>
  <si>
    <t>Sumak Onion -  بصل مع سماق</t>
  </si>
  <si>
    <t>سلطة الطحية صغير -  Small Tahina sauce</t>
  </si>
  <si>
    <t>red small</t>
  </si>
  <si>
    <t>red big</t>
  </si>
  <si>
    <t>tahini big</t>
  </si>
  <si>
    <t>tahini small</t>
  </si>
  <si>
    <t>youghrt cuc.</t>
  </si>
  <si>
    <t>herbal</t>
  </si>
  <si>
    <t>سلطة الطحية كبير -  Big Tahina sauce</t>
  </si>
  <si>
    <t>دجاج اسيوى  ساندويتش</t>
  </si>
  <si>
    <t>كوكتيل بالجرام</t>
  </si>
  <si>
    <t>DAY  رقم اليوم</t>
  </si>
  <si>
    <t>Coctail Sauce Dip In  (2)</t>
  </si>
  <si>
    <t>Cucumber yogurt sauce (2)</t>
  </si>
  <si>
    <t>Red sauce Big (2)</t>
  </si>
  <si>
    <t>Tahina Big (2)</t>
  </si>
  <si>
    <t>Red sauce Big (3)</t>
  </si>
  <si>
    <t>Cucumber yogurt sauce (3)</t>
  </si>
  <si>
    <t>Coctail Sauce Dip In  (4)</t>
  </si>
  <si>
    <t>Red sauce Big (4)</t>
  </si>
  <si>
    <t>Cucumber yogurt sauce (4)</t>
  </si>
  <si>
    <t>Tahina Small (2)</t>
  </si>
  <si>
    <t>Red sauce (2)</t>
  </si>
  <si>
    <t>Red sauce Big (5)</t>
  </si>
  <si>
    <t>Cucumber yogurt sauce (5)</t>
  </si>
  <si>
    <t>Coctail Sauce Weight (2)</t>
  </si>
  <si>
    <t>Coctail Sauce Weight (3)</t>
  </si>
  <si>
    <t>Coctail Sauce Dip In  (3)</t>
  </si>
  <si>
    <t>Coctail Sauce Weight (5)</t>
  </si>
  <si>
    <t>Coctail Sauce Weight (4)</t>
  </si>
  <si>
    <t>Black Pepper Powder - فلفل أسود مطحون</t>
  </si>
  <si>
    <t>Tomato Ketchup - كاتشب طماطم</t>
  </si>
  <si>
    <t>Paprika Powder - بابريكا مطحون</t>
  </si>
  <si>
    <t>Dill Leaves - شبت</t>
  </si>
  <si>
    <t>Coriander Leaves - كزبرة خضراء</t>
  </si>
  <si>
    <t>Mint Leaves - نعناع طازج</t>
  </si>
  <si>
    <t>Dried Mint Leaves - نعناع مجفف</t>
  </si>
  <si>
    <t>ml</t>
  </si>
  <si>
    <t>ITEMS</t>
  </si>
  <si>
    <t>Unit</t>
  </si>
  <si>
    <t>Daily Weight</t>
  </si>
  <si>
    <t>Weekly Weight</t>
  </si>
  <si>
    <t>صوصات ومنكهات</t>
  </si>
  <si>
    <t>سوائل ومرق</t>
  </si>
  <si>
    <t>خضروات</t>
  </si>
  <si>
    <t xml:space="preserve"> المخللات</t>
  </si>
  <si>
    <t>منتجات ألبان</t>
  </si>
  <si>
    <t>توابل</t>
  </si>
  <si>
    <t>ألوان وإضافات</t>
  </si>
  <si>
    <t>Orange Color - لون برتقالي</t>
  </si>
  <si>
    <t>Order Base Unit وحدة الطلب الأساسية</t>
  </si>
  <si>
    <t>Order Unit وحدة الطلب</t>
  </si>
  <si>
    <t>Price of ordering unit سعر وحدة الطلب</t>
  </si>
  <si>
    <t>Cost Per KG or L السعر للكيلو او للتر</t>
  </si>
  <si>
    <t>Kg</t>
  </si>
  <si>
    <t>أعشاب مجففة</t>
  </si>
  <si>
    <t>2724 gram/Carton</t>
  </si>
  <si>
    <t>10 Kg</t>
  </si>
  <si>
    <t>kg</t>
  </si>
  <si>
    <t>100 gm/Can</t>
  </si>
  <si>
    <t>20 Kg / Carton</t>
  </si>
  <si>
    <t>15.12 L / Carton</t>
  </si>
  <si>
    <t>2130 ml / Carton</t>
  </si>
  <si>
    <t>14800 L/Carton</t>
  </si>
  <si>
    <t>16000 KG/Can</t>
  </si>
  <si>
    <t>1000 g /Pack</t>
  </si>
  <si>
    <t>Sesame Paste - طحينة السمسم</t>
  </si>
  <si>
    <t>200 g / Pack</t>
  </si>
  <si>
    <t>50 Kg</t>
  </si>
  <si>
    <t>900 g / Pack</t>
  </si>
  <si>
    <t>KG</t>
  </si>
  <si>
    <t>12000 ML/Cartoon</t>
  </si>
  <si>
    <t>10,000 KG/Pail</t>
  </si>
  <si>
    <t>PreCooking Yield</t>
  </si>
  <si>
    <t>Carton</t>
  </si>
  <si>
    <t>Can</t>
  </si>
  <si>
    <t>Pail</t>
  </si>
  <si>
    <t>Pack</t>
  </si>
  <si>
    <t>825 g / Pack</t>
  </si>
  <si>
    <t>سلطة الطحية صغير -   Small Tahina sauce</t>
  </si>
  <si>
    <t>(Foul &amp; Fish) - (فول و سمك)</t>
  </si>
  <si>
    <t>صوص الزبادي بالخيار -Cucumber yogurt sauce</t>
  </si>
  <si>
    <t>(Kabsa) - (كبسة)</t>
  </si>
  <si>
    <t>دجاج الأعشاب  - Herbal Chicken</t>
  </si>
  <si>
    <t>كبسة و مندى - Kabsa &amp; Mandi</t>
  </si>
  <si>
    <t>Mandi - مندى</t>
  </si>
  <si>
    <t>Asian Sandwich - دجاج اسيوى  ساندويتش</t>
  </si>
  <si>
    <t>برجر لحم - Burger</t>
  </si>
  <si>
    <t>Zurbian - زربيان</t>
  </si>
  <si>
    <t>مندى و سليق - Mandi &amp; Saleeq</t>
  </si>
  <si>
    <t xml:space="preserve"> ساندوش فاهيتا  الدجاج  - Chicken Fajita Sandwich</t>
  </si>
  <si>
    <t>Maklouba - مقلوبة</t>
  </si>
  <si>
    <t>ساندويتش باربيكيو - BBQ Sandwich</t>
  </si>
  <si>
    <t>Chicken Tikka - دجاج تكا</t>
  </si>
  <si>
    <t>أوكتا بوكي بول - Octa PokiPowl</t>
  </si>
  <si>
    <t xml:space="preserve">  سلطة حمراء كبير - Red sauce Big</t>
  </si>
  <si>
    <t xml:space="preserve">   (Boukhary -  بخارى لحم)</t>
  </si>
  <si>
    <t xml:space="preserve">  صوص الزبادي بالخيار - Cucumber yogurt sauce</t>
  </si>
  <si>
    <t xml:space="preserve">  (Boukhary -  بخارى لحم)</t>
  </si>
  <si>
    <t>(Philly cheese sandwich - ساندويتش فلاديلفيا )</t>
  </si>
  <si>
    <t>Kebab Sandwich - ساندويتش كباب لحم</t>
  </si>
  <si>
    <t xml:space="preserve">سمك بالليمون و ساندويتش كباب - Fish with lemon &amp; Sandwich Kebab </t>
  </si>
  <si>
    <t>Fish with lemon - سمك بالليمون</t>
  </si>
  <si>
    <t>سليق دجاج - Chicken Saleeq</t>
  </si>
  <si>
    <t>Kabli - كابلى</t>
  </si>
  <si>
    <t># Unit</t>
  </si>
  <si>
    <t>Cost/Unit</t>
  </si>
  <si>
    <t>Filling</t>
  </si>
  <si>
    <t>Total Count</t>
  </si>
  <si>
    <t xml:space="preserve">Cocktail Sauce unpacked - كوكتيل صوص غير معلب </t>
  </si>
  <si>
    <t>Cocktail Sauce Packed - صوص كوكتيل معلب</t>
  </si>
  <si>
    <t xml:space="preserve">Cocktail Sauce packed - كوكتيل صوص معلب </t>
  </si>
  <si>
    <t>sauce in sandwich 12.6</t>
  </si>
  <si>
    <t xml:space="preserve"> دجاج باللوز -  Almond Chicken</t>
  </si>
  <si>
    <t>Meal name</t>
  </si>
  <si>
    <t>ساندوتش دجاج أوصال</t>
  </si>
  <si>
    <t>كلوب ساندوتش بالدجاج</t>
  </si>
  <si>
    <t>دجاج بالكاري</t>
  </si>
  <si>
    <t>ساندوتش الدجاج المشوي</t>
  </si>
  <si>
    <t>المكرونة</t>
  </si>
  <si>
    <t>ستيك دجاج</t>
  </si>
  <si>
    <t>خضار سوتيه</t>
  </si>
  <si>
    <t>البطاطس المهروسة</t>
  </si>
  <si>
    <t>-</t>
  </si>
  <si>
    <t>دجاج بالفطر</t>
  </si>
  <si>
    <t>بيف شيلي دراي</t>
  </si>
  <si>
    <t>الأرز الأبيض</t>
  </si>
  <si>
    <t>خضار سوتيه 🌶</t>
  </si>
  <si>
    <t>البطاطس المهروسة 🌶</t>
  </si>
  <si>
    <t>ستروجانوف باستا</t>
  </si>
  <si>
    <t>بيف أمانسي</t>
  </si>
  <si>
    <t>أرز الصيادية</t>
  </si>
  <si>
    <t>بامية لحم</t>
  </si>
  <si>
    <t>الأرز بالزعفران</t>
  </si>
  <si>
    <t>دجاج صيني</t>
  </si>
  <si>
    <t>الأرز البرياني</t>
  </si>
  <si>
    <t>فاصولياء بيضاء باللحم</t>
  </si>
  <si>
    <t>دجاج بالأعشاب</t>
  </si>
  <si>
    <t>البطاطا</t>
  </si>
  <si>
    <t>شرمب بالسبانخ والليمون</t>
  </si>
  <si>
    <t>لسان العصفور</t>
  </si>
  <si>
    <t>أوكتا بوكي بول الدجاج</t>
  </si>
  <si>
    <t>ساندوتش الدجاج الآسيوي بخبز الشوفان</t>
  </si>
  <si>
    <t>الأرز المصري بالزعفران</t>
  </si>
  <si>
    <t>مقلوبة دجاج</t>
  </si>
  <si>
    <t>دجاج ألفريدو</t>
  </si>
  <si>
    <t>ساندوتش الدجاج بالباربيكيو بخبز الشيباتا</t>
  </si>
  <si>
    <t>دجاج 65 الهندي الحار</t>
  </si>
  <si>
    <t>ساندوتش اللحم الكلاسيكي</t>
  </si>
  <si>
    <t>الأرز الأبيض 🌶</t>
  </si>
  <si>
    <t>دجاج سيراتشا</t>
  </si>
  <si>
    <t>الأرز بالخضار 🌶</t>
  </si>
  <si>
    <t>دجاج هندي بالزبدة</t>
  </si>
  <si>
    <t>مختوم لحم</t>
  </si>
  <si>
    <t>أسياخ دجاج الباربكيو</t>
  </si>
  <si>
    <t>دجاج البيتزا</t>
  </si>
  <si>
    <t>أرز جولوف</t>
  </si>
  <si>
    <t>دجاج بكريمة جوز الهند</t>
  </si>
  <si>
    <t>شرمب بالكاري والكريمة</t>
  </si>
  <si>
    <t>الأرز بالزعفران🌶</t>
  </si>
  <si>
    <t>زربيان لحم</t>
  </si>
  <si>
    <t>كباب اللحم</t>
  </si>
  <si>
    <t>الأرز المشكل</t>
  </si>
  <si>
    <t>كباب هندي</t>
  </si>
  <si>
    <t>ساندوتش الدجاج بالفلفل الرومي</t>
  </si>
  <si>
    <t>دجاج باللوز في الفرن</t>
  </si>
  <si>
    <t>لازانيا لحم عالية البروتين</t>
  </si>
  <si>
    <t>بطاطس ويدجز</t>
  </si>
  <si>
    <t>لحم بولونيز</t>
  </si>
  <si>
    <t>دجاج مكروني بالخضار</t>
  </si>
  <si>
    <t>دجاج تشانجيزي</t>
  </si>
  <si>
    <t>ساندوتش فيلادلفيا لحم بخبز الشوفان</t>
  </si>
  <si>
    <t>داوود باشا</t>
  </si>
  <si>
    <t>دجاج بكريمة الطماطم</t>
  </si>
  <si>
    <t>سالمون بالكريمة</t>
  </si>
  <si>
    <t>الأرز المكسيكي</t>
  </si>
  <si>
    <t>بطاطس مهروسة</t>
  </si>
  <si>
    <t>دجاج بالزنجبيل</t>
  </si>
  <si>
    <t>مسقعة اللحم عالية البروتين</t>
  </si>
  <si>
    <t>لحم أوريانتل</t>
  </si>
  <si>
    <t>كرات اللحم الفرنسية</t>
  </si>
  <si>
    <t>الأرز بالمكسرات</t>
  </si>
  <si>
    <t>مكرونة سباغيتي</t>
  </si>
  <si>
    <t>دجاج سنغافوري</t>
  </si>
  <si>
    <t>الأرز بالخضار</t>
  </si>
  <si>
    <t>ساندوتش فاهيتا الدجاج بخبز الشوفان</t>
  </si>
  <si>
    <t>سمك بالشبت والليمون</t>
  </si>
  <si>
    <t>سلطة السيزر</t>
  </si>
  <si>
    <t>ملوخية الدجاج</t>
  </si>
  <si>
    <t>كابلي لحم</t>
  </si>
  <si>
    <t>ساندوتش كباب لحم</t>
  </si>
  <si>
    <t>Count</t>
  </si>
  <si>
    <t>سمك بلانكويت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</si>
</sst>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-* #,##0.00_-;\-* #,##0.00_-;_-* &quot;-&quot;??_-;_-@_-"/>
    <numFmt numFmtId="164" formatCode="_ * #,##0_ ;_ * \-#,##0_ ;_ * &quot;-&quot;??_ ;_ @_ "/>
    <numFmt numFmtId="165" formatCode="0.0"/>
    <numFmt numFmtId="166" formatCode="0.000"/>
    <numFmt numFmtId="167" formatCode="_(* #,##0_);_(* \(#,##0\);_(* &quot;-&quot;??_);_(@_)"/>
    <numFmt numFmtId="168" formatCode="_ * #,##0.00_ ;_ * \-#,##0.00_ ;_ * &quot;-&quot;??_ ;_ @_ "/>
    <numFmt numFmtId="169" formatCode="#,##0.0"/>
    <numFmt numFmtId="170" formatCode="_ * #,##0_ ;_ * \-#,##0_ ;_ * \-??_ ;_ @_ "/>
    <numFmt numFmtId="171" formatCode="_ * #,##0.00_ ;_ * \-#,##0.00_ ;_ * \-??_ ;_ @_ "/>
    <numFmt numFmtId="172" formatCode="_ * #,##0.0_ ;_ * \-#,##0.0_ ;_ * \-??_ ;_ @_ "/>
    <numFmt numFmtId="173" formatCode="_ * #,##0.0000_ ;_ * \-#,##0.0000_ ;_ * \-??_ ;_ @_ "/>
    <numFmt numFmtId="174" formatCode="0.0000"/>
  </numFmts>
  <fonts count="26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0"/>
      <color theme="1"/>
      <name val="Arial"/>
      <family val="2"/>
      <scheme val="minor"/>
    </font>
    <font>
      <b/>
      <sz val="12"/>
      <color theme="0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0"/>
      <color theme="0"/>
      <name val="Arial"/>
      <family val="2"/>
      <scheme val="minor"/>
    </font>
    <font>
      <sz val="11"/>
      <color rgb="FF000000"/>
      <name val="Aptos Narrow"/>
      <family val="2"/>
    </font>
    <font>
      <sz val="11"/>
      <color rgb="FFFF0000"/>
      <name val="Arial"/>
      <family val="2"/>
      <scheme val="minor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b/>
      <sz val="18"/>
      <color theme="0"/>
      <name val="Arial"/>
      <family val="2"/>
    </font>
    <font>
      <b/>
      <sz val="12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1"/>
      <color theme="1"/>
      <name val="Arial"/>
      <family val="2"/>
    </font>
    <font>
      <b/>
      <sz val="11"/>
      <color rgb="FFFF0000"/>
      <name val="Arial"/>
      <family val="2"/>
      <scheme val="minor"/>
    </font>
    <font>
      <sz val="11"/>
      <color theme="3" tint="-0.249977111117893"/>
      <name val="Arial"/>
      <family val="2"/>
      <scheme val="minor"/>
    </font>
    <font>
      <b/>
      <sz val="12"/>
      <color theme="3" tint="-0.249977111117893"/>
      <name val="Arial"/>
      <family val="2"/>
      <scheme val="minor"/>
    </font>
    <font>
      <b/>
      <sz val="18"/>
      <color rgb="FFFF0000"/>
      <name val="Arial"/>
      <family val="2"/>
      <scheme val="minor"/>
    </font>
    <font>
      <b/>
      <sz val="10"/>
      <color rgb="FF000000"/>
      <name val="Arial"/>
      <family val="2"/>
    </font>
    <font>
      <b/>
      <sz val="10"/>
      <color rgb="FF1F3864"/>
      <name val="Arial"/>
      <family val="2"/>
    </font>
    <font>
      <b/>
      <sz val="11"/>
      <color indexed="8"/>
      <name val="Arial"/>
      <family val="2"/>
      <scheme val="minor"/>
    </font>
    <font>
      <b/>
      <sz val="16"/>
      <color theme="1"/>
      <name val="Times New Roman"/>
      <family val="1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2E75B6"/>
      </patternFill>
    </fill>
    <fill>
      <patternFill patternType="solid">
        <fgColor rgb="FFF2F2F2"/>
      </patternFill>
    </fill>
    <fill>
      <patternFill patternType="solid">
        <fgColor rgb="FF1F38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D6E4F0"/>
      </patternFill>
    </fill>
    <fill>
      <patternFill patternType="solid">
        <fgColor rgb="FFFFF2CC"/>
      </patternFill>
    </fill>
    <fill>
      <patternFill patternType="solid">
        <fgColor rgb="FFDDEBF7"/>
      </patternFill>
    </fill>
    <fill>
      <patternFill patternType="solid">
        <fgColor rgb="FFFFFFFF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89013336588644"/>
        <bgColor rgb="FFE7E6E6"/>
      </patternFill>
    </fill>
    <fill>
      <patternFill patternType="solid">
        <fgColor theme="7" tint="0.59987182226020086"/>
        <bgColor rgb="FFFFF2CC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/>
        <bgColor rgb="FFDEEBF7"/>
      </patternFill>
    </fill>
    <fill>
      <patternFill patternType="solid">
        <fgColor theme="6" tint="0.79998168889431442"/>
        <bgColor rgb="FFDAE3F3"/>
      </patternFill>
    </fill>
    <fill>
      <patternFill patternType="solid">
        <fgColor theme="8" tint="0.39988402966399123"/>
        <bgColor rgb="FFB4C7E7"/>
      </patternFill>
    </fill>
    <fill>
      <patternFill patternType="solid">
        <fgColor rgb="FFFFFF00"/>
        <bgColor rgb="FFFFC000"/>
      </patternFill>
    </fill>
    <fill>
      <patternFill patternType="solid">
        <fgColor theme="6" tint="0.79998168889431442"/>
        <bgColor rgb="FFA6A6A6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595959"/>
      </left>
      <right style="medium">
        <color rgb="FF595959"/>
      </right>
      <top style="medium">
        <color rgb="FF595959"/>
      </top>
      <bottom style="medium">
        <color rgb="FF59595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/>
    <xf numFmtId="0" fontId="3" fillId="0" borderId="0"/>
    <xf numFmtId="168" fontId="1" fillId="0" borderId="0"/>
  </cellStyleXfs>
  <cellXfs count="136">
    <xf numFmtId="0" fontId="0" fillId="0" borderId="0" xfId="0"/>
    <xf numFmtId="0" fontId="0" fillId="0" borderId="0" xfId="0" applyAlignment="1">
      <alignment horizontal="center"/>
    </xf>
    <xf numFmtId="0" fontId="2" fillId="2" borderId="1" xfId="0" applyFont="1" applyFill="1" applyBorder="1"/>
    <xf numFmtId="0" fontId="2" fillId="2" borderId="5" xfId="0" applyFont="1" applyFill="1" applyBorder="1"/>
    <xf numFmtId="0" fontId="2" fillId="2" borderId="2" xfId="0" applyFont="1" applyFill="1" applyBorder="1"/>
    <xf numFmtId="164" fontId="0" fillId="0" borderId="6" xfId="1" applyNumberFormat="1" applyFont="1" applyBorder="1"/>
    <xf numFmtId="0" fontId="0" fillId="0" borderId="6" xfId="0" applyBorder="1"/>
    <xf numFmtId="0" fontId="2" fillId="2" borderId="7" xfId="0" applyFont="1" applyFill="1" applyBorder="1"/>
    <xf numFmtId="164" fontId="0" fillId="0" borderId="0" xfId="0" applyNumberFormat="1"/>
    <xf numFmtId="0" fontId="4" fillId="0" borderId="5" xfId="2" applyFont="1" applyBorder="1" applyAlignment="1">
      <alignment horizontal="center" vertical="center" wrapText="1"/>
    </xf>
    <xf numFmtId="164" fontId="4" fillId="0" borderId="5" xfId="2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6" fillId="3" borderId="1" xfId="0" applyFont="1" applyFill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/>
    </xf>
    <xf numFmtId="0" fontId="8" fillId="0" borderId="1" xfId="0" applyFont="1" applyBorder="1" applyAlignment="1">
      <alignment horizontal="center" wrapText="1"/>
    </xf>
    <xf numFmtId="0" fontId="7" fillId="4" borderId="5" xfId="2" applyFont="1" applyFill="1" applyBorder="1" applyAlignment="1">
      <alignment horizontal="center" vertical="center" wrapText="1"/>
    </xf>
    <xf numFmtId="0" fontId="2" fillId="5" borderId="0" xfId="0" applyFont="1" applyFill="1"/>
    <xf numFmtId="165" fontId="0" fillId="0" borderId="0" xfId="0" applyNumberFormat="1"/>
    <xf numFmtId="0" fontId="9" fillId="0" borderId="0" xfId="0" applyFont="1"/>
    <xf numFmtId="0" fontId="0" fillId="0" borderId="0" xfId="0" applyAlignment="1">
      <alignment vertical="center"/>
    </xf>
    <xf numFmtId="1" fontId="0" fillId="0" borderId="0" xfId="0" applyNumberFormat="1"/>
    <xf numFmtId="0" fontId="2" fillId="5" borderId="0" xfId="0" applyFont="1" applyFill="1" applyAlignment="1">
      <alignment horizontal="center" vertical="center"/>
    </xf>
    <xf numFmtId="166" fontId="0" fillId="0" borderId="1" xfId="0" applyNumberFormat="1" applyBorder="1" applyAlignment="1">
      <alignment horizontal="center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horizontal="center" vertical="center" wrapText="1"/>
    </xf>
    <xf numFmtId="0" fontId="10" fillId="6" borderId="0" xfId="0" applyFont="1" applyFill="1" applyAlignment="1">
      <alignment horizontal="center" vertical="center" wrapText="1"/>
    </xf>
    <xf numFmtId="0" fontId="11" fillId="8" borderId="12" xfId="0" applyFont="1" applyFill="1" applyBorder="1" applyAlignment="1">
      <alignment horizontal="center" vertical="center" wrapText="1"/>
    </xf>
    <xf numFmtId="0" fontId="14" fillId="9" borderId="13" xfId="0" applyFont="1" applyFill="1" applyBorder="1" applyAlignment="1">
      <alignment horizontal="center" vertical="center" wrapText="1"/>
    </xf>
    <xf numFmtId="0" fontId="13" fillId="10" borderId="0" xfId="0" applyFont="1" applyFill="1" applyAlignment="1">
      <alignment horizontal="center" vertical="center" wrapText="1"/>
    </xf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4" xfId="0" applyBorder="1"/>
    <xf numFmtId="0" fontId="15" fillId="14" borderId="8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15" fillId="14" borderId="0" xfId="0" applyFont="1" applyFill="1" applyAlignment="1">
      <alignment horizontal="center" vertical="center"/>
    </xf>
    <xf numFmtId="0" fontId="15" fillId="14" borderId="0" xfId="0" applyFont="1" applyFill="1" applyAlignment="1">
      <alignment horizontal="center" vertical="center" wrapText="1"/>
    </xf>
    <xf numFmtId="0" fontId="15" fillId="14" borderId="8" xfId="0" applyFont="1" applyFill="1" applyBorder="1" applyAlignment="1">
      <alignment horizontal="center" vertical="center" wrapText="1"/>
    </xf>
    <xf numFmtId="0" fontId="16" fillId="15" borderId="0" xfId="0" applyFont="1" applyFill="1"/>
    <xf numFmtId="164" fontId="16" fillId="15" borderId="0" xfId="0" applyNumberFormat="1" applyFont="1" applyFill="1"/>
    <xf numFmtId="0" fontId="0" fillId="18" borderId="0" xfId="0" applyFill="1"/>
    <xf numFmtId="0" fontId="0" fillId="15" borderId="0" xfId="0" applyFill="1"/>
    <xf numFmtId="0" fontId="18" fillId="0" borderId="0" xfId="0" applyFont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11" fillId="8" borderId="0" xfId="0" applyFont="1" applyFill="1" applyAlignment="1">
      <alignment vertical="center" wrapText="1"/>
    </xf>
    <xf numFmtId="0" fontId="0" fillId="0" borderId="0" xfId="0" applyAlignment="1">
      <alignment horizontal="center" vertical="center"/>
    </xf>
    <xf numFmtId="0" fontId="20" fillId="4" borderId="14" xfId="2" applyFont="1" applyFill="1" applyBorder="1" applyAlignment="1">
      <alignment vertical="center" wrapText="1"/>
    </xf>
    <xf numFmtId="0" fontId="20" fillId="4" borderId="10" xfId="2" applyFont="1" applyFill="1" applyBorder="1" applyAlignment="1">
      <alignment vertical="center" wrapText="1"/>
    </xf>
    <xf numFmtId="0" fontId="20" fillId="4" borderId="1" xfId="2" applyFont="1" applyFill="1" applyBorder="1" applyAlignment="1">
      <alignment vertical="center" wrapText="1"/>
    </xf>
    <xf numFmtId="0" fontId="19" fillId="4" borderId="0" xfId="0" applyFont="1" applyFill="1"/>
    <xf numFmtId="0" fontId="19" fillId="4" borderId="10" xfId="0" applyFont="1" applyFill="1" applyBorder="1"/>
    <xf numFmtId="0" fontId="21" fillId="0" borderId="0" xfId="0" applyFont="1"/>
    <xf numFmtId="0" fontId="17" fillId="22" borderId="0" xfId="0" applyFont="1" applyFill="1" applyAlignment="1">
      <alignment horizontal="center" vertical="center" wrapText="1"/>
    </xf>
    <xf numFmtId="0" fontId="17" fillId="22" borderId="0" xfId="0" applyFont="1" applyFill="1" applyAlignment="1">
      <alignment horizontal="center" vertical="center"/>
    </xf>
    <xf numFmtId="0" fontId="11" fillId="8" borderId="15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left" vertical="center" wrapText="1"/>
    </xf>
    <xf numFmtId="2" fontId="17" fillId="16" borderId="1" xfId="0" applyNumberFormat="1" applyFont="1" applyFill="1" applyBorder="1"/>
    <xf numFmtId="2" fontId="17" fillId="17" borderId="1" xfId="0" applyNumberFormat="1" applyFont="1" applyFill="1" applyBorder="1"/>
    <xf numFmtId="0" fontId="22" fillId="7" borderId="1" xfId="0" applyFont="1" applyFill="1" applyBorder="1" applyAlignment="1">
      <alignment horizontal="left" vertical="center" wrapText="1"/>
    </xf>
    <xf numFmtId="0" fontId="22" fillId="13" borderId="1" xfId="0" applyFont="1" applyFill="1" applyBorder="1" applyAlignment="1">
      <alignment horizontal="left" vertical="center" wrapText="1"/>
    </xf>
    <xf numFmtId="0" fontId="13" fillId="13" borderId="1" xfId="0" applyFont="1" applyFill="1" applyBorder="1" applyAlignment="1">
      <alignment horizontal="left" vertical="center" wrapText="1"/>
    </xf>
    <xf numFmtId="0" fontId="22" fillId="0" borderId="1" xfId="0" applyFont="1" applyBorder="1" applyAlignment="1">
      <alignment horizontal="left" vertical="center" wrapText="1"/>
    </xf>
    <xf numFmtId="0" fontId="13" fillId="0" borderId="1" xfId="0" applyFont="1" applyBorder="1" applyAlignment="1">
      <alignment horizontal="left" vertical="center" wrapText="1"/>
    </xf>
    <xf numFmtId="0" fontId="22" fillId="7" borderId="1" xfId="0" applyFont="1" applyFill="1" applyBorder="1" applyAlignment="1">
      <alignment horizontal="center" vertical="center" wrapText="1"/>
    </xf>
    <xf numFmtId="169" fontId="23" fillId="11" borderId="1" xfId="0" applyNumberFormat="1" applyFont="1" applyFill="1" applyBorder="1" applyAlignment="1">
      <alignment horizontal="center" vertical="center" wrapText="1"/>
    </xf>
    <xf numFmtId="169" fontId="23" fillId="12" borderId="1" xfId="0" applyNumberFormat="1" applyFont="1" applyFill="1" applyBorder="1" applyAlignment="1">
      <alignment horizontal="center" vertical="center" wrapText="1"/>
    </xf>
    <xf numFmtId="0" fontId="22" fillId="13" borderId="1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2" fillId="7" borderId="1" xfId="0" applyFont="1" applyFill="1" applyBorder="1" applyAlignment="1">
      <alignment vertical="center" wrapText="1"/>
    </xf>
    <xf numFmtId="0" fontId="16" fillId="2" borderId="1" xfId="0" applyFont="1" applyFill="1" applyBorder="1"/>
    <xf numFmtId="0" fontId="0" fillId="2" borderId="1" xfId="0" applyFill="1" applyBorder="1"/>
    <xf numFmtId="0" fontId="0" fillId="2" borderId="0" xfId="0" applyFill="1"/>
    <xf numFmtId="170" fontId="17" fillId="23" borderId="1" xfId="0" applyNumberFormat="1" applyFont="1" applyFill="1" applyBorder="1" applyAlignment="1">
      <alignment horizontal="center" vertical="center"/>
    </xf>
    <xf numFmtId="171" fontId="17" fillId="23" borderId="1" xfId="0" applyNumberFormat="1" applyFont="1" applyFill="1" applyBorder="1" applyAlignment="1">
      <alignment horizontal="center" vertical="center"/>
    </xf>
    <xf numFmtId="0" fontId="11" fillId="8" borderId="0" xfId="0" applyFont="1" applyFill="1" applyAlignment="1">
      <alignment horizontal="center" vertical="center" wrapText="1"/>
    </xf>
    <xf numFmtId="0" fontId="16" fillId="0" borderId="1" xfId="0" applyFont="1" applyBorder="1"/>
    <xf numFmtId="0" fontId="7" fillId="4" borderId="14" xfId="2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/>
    </xf>
    <xf numFmtId="168" fontId="0" fillId="0" borderId="2" xfId="0" applyNumberFormat="1" applyBorder="1" applyAlignment="1">
      <alignment horizontal="center"/>
    </xf>
    <xf numFmtId="0" fontId="7" fillId="4" borderId="1" xfId="2" applyFont="1" applyFill="1" applyBorder="1" applyAlignment="1">
      <alignment horizontal="center" vertical="center" wrapText="1"/>
    </xf>
    <xf numFmtId="165" fontId="0" fillId="0" borderId="1" xfId="0" applyNumberFormat="1" applyBorder="1" applyAlignment="1">
      <alignment horizontal="center"/>
    </xf>
    <xf numFmtId="165" fontId="0" fillId="0" borderId="1" xfId="0" applyNumberFormat="1" applyBorder="1"/>
    <xf numFmtId="1" fontId="0" fillId="0" borderId="1" xfId="0" applyNumberFormat="1" applyBorder="1" applyAlignment="1">
      <alignment horizontal="center"/>
    </xf>
    <xf numFmtId="0" fontId="2" fillId="2" borderId="16" xfId="0" applyFont="1" applyFill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0" fontId="22" fillId="24" borderId="0" xfId="0" applyFont="1" applyFill="1"/>
    <xf numFmtId="0" fontId="22" fillId="25" borderId="0" xfId="0" applyFont="1" applyFill="1"/>
    <xf numFmtId="166" fontId="22" fillId="25" borderId="0" xfId="0" applyNumberFormat="1" applyFont="1" applyFill="1"/>
    <xf numFmtId="170" fontId="17" fillId="26" borderId="0" xfId="0" applyNumberFormat="1" applyFont="1" applyFill="1"/>
    <xf numFmtId="172" fontId="17" fillId="26" borderId="0" xfId="0" applyNumberFormat="1" applyFont="1" applyFill="1"/>
    <xf numFmtId="171" fontId="17" fillId="26" borderId="0" xfId="0" applyNumberFormat="1" applyFont="1" applyFill="1"/>
    <xf numFmtId="173" fontId="17" fillId="26" borderId="0" xfId="0" applyNumberFormat="1" applyFont="1" applyFill="1"/>
    <xf numFmtId="168" fontId="0" fillId="0" borderId="5" xfId="0" applyNumberFormat="1" applyBorder="1" applyAlignment="1">
      <alignment horizontal="center" vertical="center"/>
    </xf>
    <xf numFmtId="0" fontId="9" fillId="27" borderId="0" xfId="0" applyFont="1" applyFill="1"/>
    <xf numFmtId="0" fontId="0" fillId="27" borderId="0" xfId="0" applyFill="1"/>
    <xf numFmtId="2" fontId="0" fillId="0" borderId="1" xfId="0" applyNumberFormat="1" applyBorder="1"/>
    <xf numFmtId="174" fontId="0" fillId="0" borderId="1" xfId="0" applyNumberFormat="1" applyBorder="1" applyAlignment="1">
      <alignment horizontal="center"/>
    </xf>
    <xf numFmtId="0" fontId="2" fillId="0" borderId="0" xfId="0" applyFont="1"/>
    <xf numFmtId="174" fontId="0" fillId="0" borderId="1" xfId="0" applyNumberFormat="1" applyBorder="1"/>
    <xf numFmtId="167" fontId="0" fillId="0" borderId="0" xfId="1" applyNumberFormat="1" applyFont="1"/>
    <xf numFmtId="43" fontId="0" fillId="0" borderId="0" xfId="0" applyNumberFormat="1"/>
    <xf numFmtId="1" fontId="0" fillId="0" borderId="1" xfId="0" applyNumberFormat="1" applyBorder="1"/>
    <xf numFmtId="0" fontId="24" fillId="15" borderId="0" xfId="0" applyFont="1" applyFill="1"/>
    <xf numFmtId="164" fontId="24" fillId="15" borderId="0" xfId="0" applyNumberFormat="1" applyFont="1" applyFill="1"/>
    <xf numFmtId="0" fontId="0" fillId="0" borderId="5" xfId="0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5" xfId="0" applyNumberFormat="1" applyBorder="1"/>
    <xf numFmtId="165" fontId="0" fillId="0" borderId="0" xfId="0" applyNumberFormat="1" applyAlignment="1">
      <alignment horizontal="center"/>
    </xf>
    <xf numFmtId="0" fontId="0" fillId="0" borderId="8" xfId="0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8" xfId="0" applyNumberFormat="1" applyBorder="1"/>
    <xf numFmtId="0" fontId="25" fillId="28" borderId="0" xfId="0" applyFont="1" applyFill="1" applyAlignment="1">
      <alignment horizontal="center" vertical="center" wrapText="1"/>
    </xf>
    <xf numFmtId="0" fontId="0" fillId="29" borderId="0" xfId="0" applyFill="1"/>
    <xf numFmtId="0" fontId="0" fillId="30" borderId="0" xfId="0" applyFill="1"/>
    <xf numFmtId="0" fontId="0" fillId="14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16" fillId="34" borderId="0" xfId="0" applyFont="1" applyFill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24" fillId="34" borderId="0" xfId="0" applyFont="1" applyFill="1" applyAlignment="1">
      <alignment horizontal="center" vertical="center"/>
    </xf>
    <xf numFmtId="0" fontId="24" fillId="15" borderId="0" xfId="0" applyFont="1" applyFill="1" applyAlignment="1">
      <alignment horizontal="center" vertical="center"/>
    </xf>
    <xf numFmtId="0" fontId="7" fillId="2" borderId="11" xfId="2" applyFont="1" applyFill="1" applyBorder="1" applyAlignment="1">
      <alignment horizontal="center"/>
    </xf>
    <xf numFmtId="0" fontId="0" fillId="0" borderId="11" xfId="0" applyBorder="1"/>
    <xf numFmtId="0" fontId="7" fillId="2" borderId="3" xfId="2" applyFont="1" applyFill="1" applyBorder="1" applyAlignment="1">
      <alignment horizontal="center"/>
    </xf>
    <xf numFmtId="0" fontId="0" fillId="0" borderId="3" xfId="0" applyBorder="1"/>
    <xf numFmtId="0" fontId="5" fillId="4" borderId="8" xfId="2" applyFont="1" applyFill="1" applyBorder="1" applyAlignment="1">
      <alignment horizontal="center" vertical="center" wrapText="1"/>
    </xf>
    <xf numFmtId="0" fontId="5" fillId="4" borderId="14" xfId="2" applyFont="1" applyFill="1" applyBorder="1" applyAlignment="1">
      <alignment horizontal="center" vertical="center" wrapText="1"/>
    </xf>
    <xf numFmtId="0" fontId="5" fillId="4" borderId="9" xfId="2" applyFont="1" applyFill="1" applyBorder="1" applyAlignment="1">
      <alignment horizontal="center" vertical="center" wrapText="1"/>
    </xf>
    <xf numFmtId="0" fontId="5" fillId="4" borderId="3" xfId="2" applyFont="1" applyFill="1" applyBorder="1" applyAlignment="1">
      <alignment horizontal="center" vertical="center" wrapText="1"/>
    </xf>
    <xf numFmtId="0" fontId="5" fillId="4" borderId="10" xfId="2" applyFont="1" applyFill="1" applyBorder="1" applyAlignment="1">
      <alignment horizontal="center" vertical="center" wrapText="1"/>
    </xf>
    <xf numFmtId="0" fontId="5" fillId="4" borderId="4" xfId="2" applyFont="1" applyFill="1" applyBorder="1" applyAlignment="1">
      <alignment horizontal="center" vertical="center" wrapText="1"/>
    </xf>
  </cellXfs>
  <cellStyles count="4">
    <cellStyle name="Comma" xfId="1" builtinId="3"/>
    <cellStyle name="Comma 2" xfId="3" xr:uid="{00000000-0005-0000-0000-000003000000}"/>
    <cellStyle name="Normal" xfId="0" builtinId="0"/>
    <cellStyle name="Normal 2 2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210703</xdr:colOff>
      <xdr:row>1</xdr:row>
      <xdr:rowOff>149129</xdr:rowOff>
    </xdr:from>
    <xdr:to>
      <xdr:col>24</xdr:col>
      <xdr:colOff>174721</xdr:colOff>
      <xdr:row>5</xdr:row>
      <xdr:rowOff>121103</xdr:rowOff>
    </xdr:to>
    <xdr:pic macro="[0]!RecalcWeights">
      <xdr:nvPicPr>
        <xdr:cNvPr id="3" name="Picture 2">
          <a:extLst>
            <a:ext uri="{FF2B5EF4-FFF2-40B4-BE49-F238E27FC236}">
              <a16:creationId xmlns:a16="http://schemas.microsoft.com/office/drawing/2014/main" id="{603413A6-FCEE-7441-4612-DF518699A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240643" y="503189"/>
          <a:ext cx="1303290" cy="710883"/>
        </a:xfrm>
        <a:prstGeom prst="rect">
          <a:avLst/>
        </a:prstGeom>
      </xdr:spPr>
    </xdr:pic>
    <xdr:clientData/>
  </xdr:twoCellAnchor>
  <xdr:twoCellAnchor>
    <xdr:from>
      <xdr:col>20</xdr:col>
      <xdr:colOff>43665</xdr:colOff>
      <xdr:row>7</xdr:row>
      <xdr:rowOff>67096</xdr:rowOff>
    </xdr:from>
    <xdr:to>
      <xdr:col>23</xdr:col>
      <xdr:colOff>169332</xdr:colOff>
      <xdr:row>10</xdr:row>
      <xdr:rowOff>46183</xdr:rowOff>
    </xdr:to>
    <xdr:sp macro="[0]!ExportSauceToPD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97B4146-A4AA-CB96-6F58-BFD451B3E578}"/>
            </a:ext>
          </a:extLst>
        </xdr:cNvPr>
        <xdr:cNvSpPr/>
      </xdr:nvSpPr>
      <xdr:spPr>
        <a:xfrm>
          <a:off x="24520029" y="1529520"/>
          <a:ext cx="795303" cy="533268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/>
          <a:r>
            <a:rPr lang="en-AE" sz="1100" b="1">
              <a:solidFill>
                <a:schemeClr val="bg1"/>
              </a:solidFill>
            </a:rPr>
            <a:t>Day Tables</a:t>
          </a:r>
          <a:endParaRPr lang="ar-EG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20</xdr:col>
      <xdr:colOff>0</xdr:colOff>
      <xdr:row>12</xdr:row>
      <xdr:rowOff>136071</xdr:rowOff>
    </xdr:from>
    <xdr:to>
      <xdr:col>22</xdr:col>
      <xdr:colOff>208642</xdr:colOff>
      <xdr:row>17</xdr:row>
      <xdr:rowOff>163285</xdr:rowOff>
    </xdr:to>
    <xdr:sp macro="[0]!UpdateRecipeData" textlink="">
      <xdr:nvSpPr>
        <xdr:cNvPr id="4" name="Lightning Bolt 3">
          <a:extLst>
            <a:ext uri="{FF2B5EF4-FFF2-40B4-BE49-F238E27FC236}">
              <a16:creationId xmlns:a16="http://schemas.microsoft.com/office/drawing/2014/main" id="{C747572F-8B4B-89C1-3033-F45093A02258}"/>
            </a:ext>
          </a:extLst>
        </xdr:cNvPr>
        <xdr:cNvSpPr/>
      </xdr:nvSpPr>
      <xdr:spPr>
        <a:xfrm>
          <a:off x="23585714" y="2648857"/>
          <a:ext cx="680357" cy="934357"/>
        </a:xfrm>
        <a:prstGeom prst="lightningBol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ar-EG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9">
    <wetp:webextensionref xmlns:r="http://schemas.openxmlformats.org/officeDocument/2006/relationships" r:id="rId1"/>
  </wetp:taskpane>
  <wetp:taskpane dockstate="right" visibility="0" width="525" row="9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C3215FC-3AF1-400F-A9F5-C664AD4B0A8D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777975f1-ecf9-4409-a562-0966ee976cee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B59D6598-6C06-4CA1-9714-8B505D2869C4}">
  <we:reference id="wa200010725" version="1.0.0.1" store="en-US" storeType="OMEX"/>
  <we:alternateReferences>
    <we:reference id="WA200010725" version="1.0.0.1" store="WA200010725" storeType="OMEX"/>
  </we:alternateReferences>
  <we:properties>
    <we:property name="claude.fileId" value="&quot;f0831746-a758-41f5-8008-13d5584c6707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2" tint="-0.249977111117893"/>
  </sheetPr>
  <dimension ref="C4:S108"/>
  <sheetViews>
    <sheetView topLeftCell="B18" zoomScale="85" zoomScaleNormal="85" workbookViewId="0">
      <selection activeCell="I46" sqref="I46"/>
    </sheetView>
  </sheetViews>
  <sheetFormatPr defaultRowHeight="14" x14ac:dyDescent="0.3"/>
  <cols>
    <col min="3" max="3" width="17.5" bestFit="1" customWidth="1"/>
    <col min="4" max="4" width="10.08203125" customWidth="1"/>
    <col min="8" max="8" width="13.83203125" customWidth="1"/>
  </cols>
  <sheetData>
    <row r="4" spans="3:19" x14ac:dyDescent="0.3">
      <c r="C4" s="1" t="s">
        <v>24</v>
      </c>
      <c r="D4" s="1" t="s">
        <v>25</v>
      </c>
      <c r="E4" s="1" t="s">
        <v>26</v>
      </c>
    </row>
    <row r="5" spans="3:19" x14ac:dyDescent="0.3">
      <c r="C5" s="1" t="s">
        <v>27</v>
      </c>
      <c r="D5" s="1" t="s">
        <v>28</v>
      </c>
      <c r="E5" s="1"/>
    </row>
    <row r="6" spans="3:19" x14ac:dyDescent="0.3">
      <c r="C6" s="1" t="s">
        <v>29</v>
      </c>
      <c r="D6" s="1" t="s">
        <v>28</v>
      </c>
      <c r="E6" s="1"/>
    </row>
    <row r="7" spans="3:19" x14ac:dyDescent="0.3">
      <c r="C7" s="1" t="s">
        <v>30</v>
      </c>
      <c r="D7" s="1" t="s">
        <v>28</v>
      </c>
      <c r="E7" s="1" t="s">
        <v>26</v>
      </c>
    </row>
    <row r="8" spans="3:19" x14ac:dyDescent="0.3">
      <c r="C8" s="1" t="s">
        <v>31</v>
      </c>
      <c r="D8" s="1" t="s">
        <v>28</v>
      </c>
      <c r="E8" s="1" t="s">
        <v>26</v>
      </c>
    </row>
    <row r="9" spans="3:19" x14ac:dyDescent="0.3">
      <c r="C9" s="1" t="s">
        <v>32</v>
      </c>
      <c r="D9" s="1" t="s">
        <v>26</v>
      </c>
      <c r="E9" s="1"/>
      <c r="S9" t="s">
        <v>119</v>
      </c>
    </row>
    <row r="10" spans="3:19" x14ac:dyDescent="0.3">
      <c r="C10" s="1" t="s">
        <v>33</v>
      </c>
      <c r="D10" s="1" t="s">
        <v>25</v>
      </c>
      <c r="E10" s="1" t="s">
        <v>26</v>
      </c>
      <c r="S10" t="s">
        <v>120</v>
      </c>
    </row>
    <row r="11" spans="3:19" x14ac:dyDescent="0.3">
      <c r="C11" s="1" t="s">
        <v>34</v>
      </c>
    </row>
    <row r="12" spans="3:19" x14ac:dyDescent="0.3">
      <c r="C12" s="1" t="s">
        <v>35</v>
      </c>
      <c r="D12" s="1" t="s">
        <v>36</v>
      </c>
      <c r="H12" s="43" t="s">
        <v>94</v>
      </c>
      <c r="J12">
        <v>133</v>
      </c>
    </row>
    <row r="13" spans="3:19" x14ac:dyDescent="0.3">
      <c r="C13" s="1" t="s">
        <v>37</v>
      </c>
      <c r="H13" t="s">
        <v>95</v>
      </c>
      <c r="S13" t="s">
        <v>121</v>
      </c>
    </row>
    <row r="14" spans="3:19" x14ac:dyDescent="0.3">
      <c r="C14" s="1" t="s">
        <v>38</v>
      </c>
      <c r="D14" s="1" t="s">
        <v>39</v>
      </c>
      <c r="H14" s="42" t="s">
        <v>148</v>
      </c>
    </row>
    <row r="15" spans="3:19" x14ac:dyDescent="0.3">
      <c r="C15" s="1" t="s">
        <v>40</v>
      </c>
      <c r="H15" s="43" t="s">
        <v>24</v>
      </c>
      <c r="J15">
        <v>57</v>
      </c>
    </row>
    <row r="16" spans="3:19" x14ac:dyDescent="0.3">
      <c r="C16" s="1" t="s">
        <v>41</v>
      </c>
      <c r="H16" s="45" t="s">
        <v>88</v>
      </c>
      <c r="S16" t="s">
        <v>122</v>
      </c>
    </row>
    <row r="17" spans="3:15" x14ac:dyDescent="0.3">
      <c r="C17" s="1" t="s">
        <v>42</v>
      </c>
      <c r="H17" s="45" t="s">
        <v>89</v>
      </c>
    </row>
    <row r="18" spans="3:15" x14ac:dyDescent="0.3">
      <c r="C18" s="1"/>
    </row>
    <row r="19" spans="3:15" x14ac:dyDescent="0.3">
      <c r="L19">
        <f>J15+J20+J24+J29</f>
        <v>569</v>
      </c>
    </row>
    <row r="20" spans="3:15" x14ac:dyDescent="0.3">
      <c r="H20" s="43" t="s">
        <v>90</v>
      </c>
      <c r="J20">
        <v>193</v>
      </c>
    </row>
    <row r="21" spans="3:15" x14ac:dyDescent="0.3">
      <c r="H21" s="46" t="s">
        <v>88</v>
      </c>
    </row>
    <row r="22" spans="3:15" x14ac:dyDescent="0.3">
      <c r="H22" t="s">
        <v>91</v>
      </c>
    </row>
    <row r="23" spans="3:15" x14ac:dyDescent="0.3">
      <c r="L23">
        <f>J29+J24+J15</f>
        <v>376</v>
      </c>
    </row>
    <row r="24" spans="3:15" x14ac:dyDescent="0.3">
      <c r="H24" s="43" t="s">
        <v>92</v>
      </c>
      <c r="J24">
        <v>213</v>
      </c>
      <c r="N24">
        <f>J20+J29</f>
        <v>299</v>
      </c>
      <c r="O24" t="s">
        <v>141</v>
      </c>
    </row>
    <row r="25" spans="3:15" x14ac:dyDescent="0.3">
      <c r="N25">
        <f>J15+J24</f>
        <v>270</v>
      </c>
      <c r="O25" t="s">
        <v>140</v>
      </c>
    </row>
    <row r="26" spans="3:15" ht="15.5" x14ac:dyDescent="0.3">
      <c r="C26" s="35" t="s">
        <v>100</v>
      </c>
      <c r="D26" s="36" t="s">
        <v>101</v>
      </c>
      <c r="H26" s="45" t="s">
        <v>88</v>
      </c>
      <c r="N26">
        <f>J24+J15</f>
        <v>270</v>
      </c>
      <c r="O26" t="s">
        <v>143</v>
      </c>
    </row>
    <row r="27" spans="3:15" ht="15.5" x14ac:dyDescent="0.3">
      <c r="C27" s="37" t="s">
        <v>102</v>
      </c>
      <c r="D27" s="36" t="s">
        <v>103</v>
      </c>
      <c r="H27" s="45" t="s">
        <v>89</v>
      </c>
      <c r="N27">
        <f>J29</f>
        <v>106</v>
      </c>
      <c r="O27" t="s">
        <v>142</v>
      </c>
    </row>
    <row r="28" spans="3:15" ht="15.5" x14ac:dyDescent="0.3">
      <c r="C28" s="37" t="s">
        <v>104</v>
      </c>
      <c r="D28" s="36" t="s">
        <v>105</v>
      </c>
      <c r="N28">
        <f>J20</f>
        <v>193</v>
      </c>
      <c r="O28" t="s">
        <v>144</v>
      </c>
    </row>
    <row r="29" spans="3:15" ht="15.5" x14ac:dyDescent="0.3">
      <c r="C29" s="37" t="s">
        <v>94</v>
      </c>
      <c r="D29" s="36" t="s">
        <v>106</v>
      </c>
      <c r="H29" s="43" t="s">
        <v>93</v>
      </c>
      <c r="J29">
        <v>106</v>
      </c>
      <c r="N29">
        <f>J12</f>
        <v>133</v>
      </c>
      <c r="O29" t="s">
        <v>145</v>
      </c>
    </row>
    <row r="30" spans="3:15" ht="15.5" x14ac:dyDescent="0.3">
      <c r="C30" s="38" t="s">
        <v>35</v>
      </c>
      <c r="D30" s="36" t="s">
        <v>106</v>
      </c>
      <c r="H30" s="46" t="s">
        <v>88</v>
      </c>
    </row>
    <row r="31" spans="3:15" ht="15.5" x14ac:dyDescent="0.3">
      <c r="C31" s="39" t="s">
        <v>107</v>
      </c>
      <c r="D31" s="36" t="s">
        <v>106</v>
      </c>
      <c r="H31" t="s">
        <v>89</v>
      </c>
    </row>
    <row r="32" spans="3:15" ht="15.5" x14ac:dyDescent="0.3">
      <c r="C32" s="37" t="s">
        <v>108</v>
      </c>
      <c r="D32" s="36" t="s">
        <v>109</v>
      </c>
    </row>
    <row r="33" spans="3:9" ht="15.5" x14ac:dyDescent="0.3">
      <c r="C33" s="37" t="s">
        <v>110</v>
      </c>
      <c r="D33" s="36" t="s">
        <v>111</v>
      </c>
      <c r="H33" s="43" t="s">
        <v>147</v>
      </c>
    </row>
    <row r="34" spans="3:9" x14ac:dyDescent="0.3">
      <c r="H34" s="42" t="s">
        <v>148</v>
      </c>
    </row>
    <row r="37" spans="3:9" x14ac:dyDescent="0.3">
      <c r="H37" s="43" t="s">
        <v>96</v>
      </c>
      <c r="I37">
        <v>206</v>
      </c>
    </row>
    <row r="38" spans="3:9" x14ac:dyDescent="0.3">
      <c r="H38" t="s">
        <v>97</v>
      </c>
    </row>
    <row r="39" spans="3:9" x14ac:dyDescent="0.3">
      <c r="H39" t="s">
        <v>98</v>
      </c>
    </row>
    <row r="41" spans="3:9" x14ac:dyDescent="0.3">
      <c r="H41" s="43" t="s">
        <v>99</v>
      </c>
      <c r="I41">
        <v>248</v>
      </c>
    </row>
    <row r="42" spans="3:9" x14ac:dyDescent="0.3">
      <c r="H42" t="s">
        <v>88</v>
      </c>
    </row>
    <row r="43" spans="3:9" x14ac:dyDescent="0.3">
      <c r="H43" t="s">
        <v>84</v>
      </c>
    </row>
    <row r="46" spans="3:9" x14ac:dyDescent="0.3">
      <c r="H46" s="43" t="s">
        <v>112</v>
      </c>
      <c r="I46">
        <v>268</v>
      </c>
    </row>
    <row r="48" spans="3:9" x14ac:dyDescent="0.3">
      <c r="H48" t="s">
        <v>113</v>
      </c>
    </row>
    <row r="50" spans="8:12" x14ac:dyDescent="0.3">
      <c r="H50" s="43" t="s">
        <v>114</v>
      </c>
      <c r="I50">
        <v>128</v>
      </c>
      <c r="K50" t="s">
        <v>113</v>
      </c>
      <c r="L50">
        <f>I58+I46</f>
        <v>431</v>
      </c>
    </row>
    <row r="51" spans="8:12" x14ac:dyDescent="0.3">
      <c r="H51" t="s">
        <v>115</v>
      </c>
      <c r="K51" t="s">
        <v>115</v>
      </c>
      <c r="L51">
        <f>I50+I53</f>
        <v>237</v>
      </c>
    </row>
    <row r="52" spans="8:12" x14ac:dyDescent="0.3">
      <c r="K52" t="s">
        <v>117</v>
      </c>
      <c r="L52">
        <f>I58</f>
        <v>163</v>
      </c>
    </row>
    <row r="53" spans="8:12" x14ac:dyDescent="0.3">
      <c r="H53" s="43" t="s">
        <v>93</v>
      </c>
      <c r="I53">
        <v>109</v>
      </c>
      <c r="K53" t="s">
        <v>89</v>
      </c>
      <c r="L53">
        <f>I53</f>
        <v>109</v>
      </c>
    </row>
    <row r="55" spans="8:12" x14ac:dyDescent="0.3">
      <c r="H55" t="s">
        <v>89</v>
      </c>
    </row>
    <row r="56" spans="8:12" x14ac:dyDescent="0.3">
      <c r="H56" t="s">
        <v>115</v>
      </c>
    </row>
    <row r="58" spans="8:12" x14ac:dyDescent="0.3">
      <c r="H58" s="43" t="s">
        <v>116</v>
      </c>
      <c r="I58">
        <f>78+85</f>
        <v>163</v>
      </c>
    </row>
    <row r="59" spans="8:12" x14ac:dyDescent="0.3">
      <c r="H59" t="s">
        <v>117</v>
      </c>
    </row>
    <row r="60" spans="8:12" x14ac:dyDescent="0.3">
      <c r="H60" t="s">
        <v>113</v>
      </c>
    </row>
    <row r="63" spans="8:12" x14ac:dyDescent="0.3">
      <c r="H63" s="47"/>
    </row>
    <row r="66" spans="8:10" x14ac:dyDescent="0.3">
      <c r="H66" t="s">
        <v>123</v>
      </c>
      <c r="J66">
        <v>150</v>
      </c>
    </row>
    <row r="67" spans="8:10" x14ac:dyDescent="0.3">
      <c r="H67" t="s">
        <v>84</v>
      </c>
    </row>
    <row r="69" spans="8:10" x14ac:dyDescent="0.3">
      <c r="H69" s="43" t="s">
        <v>61</v>
      </c>
    </row>
    <row r="70" spans="8:10" x14ac:dyDescent="0.3">
      <c r="H70" t="s">
        <v>97</v>
      </c>
    </row>
    <row r="73" spans="8:10" x14ac:dyDescent="0.3">
      <c r="H73" s="43" t="s">
        <v>85</v>
      </c>
      <c r="J73">
        <v>317</v>
      </c>
    </row>
    <row r="74" spans="8:10" x14ac:dyDescent="0.3">
      <c r="H74" t="s">
        <v>86</v>
      </c>
    </row>
    <row r="76" spans="8:10" x14ac:dyDescent="0.3">
      <c r="H76" s="43" t="s">
        <v>124</v>
      </c>
      <c r="J76">
        <f>84+80</f>
        <v>164</v>
      </c>
    </row>
    <row r="77" spans="8:10" x14ac:dyDescent="0.3">
      <c r="H77" t="s">
        <v>125</v>
      </c>
    </row>
    <row r="80" spans="8:10" x14ac:dyDescent="0.3">
      <c r="H80" s="47"/>
    </row>
    <row r="83" spans="8:10" x14ac:dyDescent="0.3">
      <c r="H83" s="43" t="s">
        <v>129</v>
      </c>
      <c r="J83">
        <v>182</v>
      </c>
    </row>
    <row r="85" spans="8:10" x14ac:dyDescent="0.3">
      <c r="H85" t="s">
        <v>88</v>
      </c>
    </row>
    <row r="86" spans="8:10" x14ac:dyDescent="0.3">
      <c r="H86" t="s">
        <v>130</v>
      </c>
    </row>
    <row r="89" spans="8:10" x14ac:dyDescent="0.3">
      <c r="H89" s="47"/>
    </row>
    <row r="91" spans="8:10" x14ac:dyDescent="0.3">
      <c r="H91" s="43" t="s">
        <v>114</v>
      </c>
      <c r="I91">
        <v>128</v>
      </c>
    </row>
    <row r="92" spans="8:10" x14ac:dyDescent="0.3">
      <c r="H92" t="s">
        <v>131</v>
      </c>
    </row>
    <row r="95" spans="8:10" x14ac:dyDescent="0.3">
      <c r="H95" s="43" t="s">
        <v>132</v>
      </c>
      <c r="I95">
        <v>203</v>
      </c>
    </row>
    <row r="97" spans="8:9" x14ac:dyDescent="0.3">
      <c r="H97" t="s">
        <v>84</v>
      </c>
    </row>
    <row r="101" spans="8:9" x14ac:dyDescent="0.3">
      <c r="H101" s="43" t="s">
        <v>133</v>
      </c>
      <c r="I101">
        <v>342</v>
      </c>
    </row>
    <row r="102" spans="8:9" x14ac:dyDescent="0.3">
      <c r="H102" t="s">
        <v>88</v>
      </c>
    </row>
    <row r="103" spans="8:9" x14ac:dyDescent="0.3">
      <c r="H103" t="s">
        <v>89</v>
      </c>
    </row>
    <row r="106" spans="8:9" x14ac:dyDescent="0.3">
      <c r="H106" s="43" t="s">
        <v>134</v>
      </c>
      <c r="I106">
        <f>81+68</f>
        <v>149</v>
      </c>
    </row>
    <row r="107" spans="8:9" x14ac:dyDescent="0.3">
      <c r="H107" t="s">
        <v>89</v>
      </c>
    </row>
    <row r="108" spans="8:9" x14ac:dyDescent="0.3">
      <c r="H108" t="s">
        <v>135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82B86-28F2-40FF-8C0E-8824881AD859}">
  <sheetPr codeName="Sheet2">
    <tabColor theme="8" tint="-0.249977111117893"/>
  </sheetPr>
  <dimension ref="A1:AI76"/>
  <sheetViews>
    <sheetView tabSelected="1" topLeftCell="O1" zoomScale="67" zoomScaleNormal="70" workbookViewId="0">
      <pane ySplit="1" topLeftCell="A2" activePane="bottomLeft" state="frozen"/>
      <selection pane="bottomLeft" activeCell="R19" sqref="R19"/>
    </sheetView>
  </sheetViews>
  <sheetFormatPr defaultRowHeight="14" x14ac:dyDescent="0.3"/>
  <cols>
    <col min="1" max="1" width="37" customWidth="1"/>
    <col min="2" max="2" width="27.58203125" customWidth="1"/>
    <col min="3" max="3" width="8" customWidth="1"/>
    <col min="4" max="4" width="14" customWidth="1"/>
    <col min="5" max="5" width="15.6640625" customWidth="1"/>
    <col min="6" max="6" width="13.08203125" customWidth="1"/>
    <col min="7" max="7" width="18.4140625" customWidth="1"/>
    <col min="8" max="8" width="29.5" customWidth="1"/>
    <col min="9" max="9" width="22.08203125" customWidth="1"/>
    <col min="10" max="10" width="33.5" customWidth="1"/>
    <col min="11" max="11" width="17.58203125" customWidth="1"/>
    <col min="12" max="12" width="19" customWidth="1"/>
    <col min="13" max="15" width="5.83203125" customWidth="1"/>
    <col min="16" max="16" width="4.5" customWidth="1"/>
    <col min="17" max="17" width="19.5" customWidth="1"/>
    <col min="18" max="18" width="6.08203125" customWidth="1"/>
    <col min="19" max="26" width="3.08203125" customWidth="1"/>
    <col min="27" max="27" width="29.6640625" customWidth="1"/>
    <col min="28" max="29" width="14" customWidth="1"/>
    <col min="30" max="30" width="3.58203125" customWidth="1"/>
    <col min="31" max="31" width="25.5" customWidth="1"/>
    <col min="33" max="33" width="2.83203125" customWidth="1"/>
    <col min="34" max="34" width="30.6640625" customWidth="1"/>
  </cols>
  <sheetData>
    <row r="1" spans="1:35" ht="40.5" thickBot="1" x14ac:dyDescent="0.35">
      <c r="A1" s="58" t="s">
        <v>176</v>
      </c>
      <c r="B1" s="58" t="s">
        <v>6</v>
      </c>
      <c r="C1" s="58" t="s">
        <v>177</v>
      </c>
      <c r="D1" s="58" t="s">
        <v>178</v>
      </c>
      <c r="E1" s="58" t="s">
        <v>179</v>
      </c>
      <c r="F1" s="58" t="s">
        <v>63</v>
      </c>
      <c r="G1" s="56" t="s">
        <v>188</v>
      </c>
      <c r="H1" s="57" t="s">
        <v>189</v>
      </c>
      <c r="I1" s="56" t="s">
        <v>190</v>
      </c>
      <c r="J1" s="56" t="s">
        <v>191</v>
      </c>
      <c r="K1" s="58" t="s">
        <v>65</v>
      </c>
      <c r="L1" s="58" t="s">
        <v>66</v>
      </c>
      <c r="M1" s="58" t="s">
        <v>64</v>
      </c>
      <c r="N1" s="58" t="s">
        <v>67</v>
      </c>
      <c r="O1" s="28" t="s">
        <v>68</v>
      </c>
      <c r="Q1" s="27" t="s">
        <v>70</v>
      </c>
      <c r="R1" s="29">
        <v>6</v>
      </c>
      <c r="AA1" s="48" t="s">
        <v>71</v>
      </c>
      <c r="AB1" s="48"/>
      <c r="AC1" s="48"/>
      <c r="AE1" s="115" t="s">
        <v>252</v>
      </c>
      <c r="AF1" s="115" t="s">
        <v>246</v>
      </c>
      <c r="AH1" s="115" t="s">
        <v>252</v>
      </c>
      <c r="AI1" s="115" t="s">
        <v>246</v>
      </c>
    </row>
    <row r="2" spans="1:35" x14ac:dyDescent="0.3">
      <c r="A2" s="78"/>
      <c r="B2" s="78"/>
      <c r="C2" s="78"/>
      <c r="D2" s="78"/>
      <c r="E2" s="78"/>
      <c r="F2" s="78"/>
      <c r="G2" s="56"/>
      <c r="H2" s="57"/>
      <c r="I2" s="56"/>
      <c r="J2" s="56"/>
      <c r="K2" s="78"/>
      <c r="L2" s="78"/>
      <c r="M2" s="78"/>
      <c r="N2" s="78"/>
      <c r="O2" s="78"/>
      <c r="AA2" s="30" t="s">
        <v>69</v>
      </c>
      <c r="AB2" s="30" t="s">
        <v>149</v>
      </c>
      <c r="AC2" s="30" t="s">
        <v>329</v>
      </c>
      <c r="AE2" s="116" t="s">
        <v>24</v>
      </c>
      <c r="AF2" s="116">
        <v>48</v>
      </c>
      <c r="AH2" s="117" t="s">
        <v>254</v>
      </c>
      <c r="AI2" s="117">
        <v>144</v>
      </c>
    </row>
    <row r="3" spans="1:35" x14ac:dyDescent="0.3">
      <c r="A3" s="62" t="s">
        <v>51</v>
      </c>
      <c r="B3" s="59" t="s">
        <v>184</v>
      </c>
      <c r="C3" s="67" t="s">
        <v>72</v>
      </c>
      <c r="D3" s="68">
        <v>4100</v>
      </c>
      <c r="E3" s="69">
        <v>32515.375</v>
      </c>
      <c r="F3" s="79">
        <v>1</v>
      </c>
      <c r="G3" s="76">
        <v>10000</v>
      </c>
      <c r="H3" s="76" t="s">
        <v>195</v>
      </c>
      <c r="I3" s="77">
        <v>66.959999999999994</v>
      </c>
      <c r="J3" s="77">
        <f>I3/(G3/1000)</f>
        <v>6.6959999999999997</v>
      </c>
      <c r="K3" s="92">
        <f>(E3/F3)/G3</f>
        <v>3.2515375</v>
      </c>
      <c r="L3" s="92">
        <f>(D3/F3)/G3</f>
        <v>0.41</v>
      </c>
      <c r="M3" s="92" t="s">
        <v>208</v>
      </c>
      <c r="N3" s="92">
        <f>K3*I3</f>
        <v>217.72295099999997</v>
      </c>
      <c r="O3" s="92">
        <f>L3*I3</f>
        <v>27.453599999999994</v>
      </c>
      <c r="AA3" s="25" t="s">
        <v>73</v>
      </c>
      <c r="AB3" s="26">
        <v>1</v>
      </c>
      <c r="AC3" s="26">
        <f>AF2+AF12</f>
        <v>335</v>
      </c>
      <c r="AE3" s="116" t="s">
        <v>253</v>
      </c>
      <c r="AF3" s="116">
        <v>106</v>
      </c>
      <c r="AH3" s="117" t="s">
        <v>256</v>
      </c>
      <c r="AI3" s="117">
        <v>86</v>
      </c>
    </row>
    <row r="4" spans="1:35" x14ac:dyDescent="0.3">
      <c r="A4" s="73"/>
      <c r="B4" s="73"/>
      <c r="C4" s="73"/>
      <c r="D4" s="73"/>
      <c r="E4" s="73"/>
      <c r="F4" s="73"/>
      <c r="G4" s="74"/>
      <c r="H4" s="74"/>
      <c r="I4" s="74"/>
      <c r="J4" s="74"/>
      <c r="K4" s="74"/>
      <c r="L4" s="74"/>
      <c r="M4" s="74"/>
      <c r="N4" s="74"/>
      <c r="O4" s="75"/>
      <c r="AA4" s="25" t="s">
        <v>81</v>
      </c>
      <c r="AB4" s="26">
        <v>1</v>
      </c>
      <c r="AC4" s="26">
        <f>AF2+AF12</f>
        <v>335</v>
      </c>
      <c r="AE4" s="116" t="s">
        <v>255</v>
      </c>
      <c r="AF4" s="116">
        <v>295</v>
      </c>
      <c r="AH4" s="117" t="s">
        <v>258</v>
      </c>
      <c r="AI4" s="117">
        <v>268</v>
      </c>
    </row>
    <row r="5" spans="1:35" x14ac:dyDescent="0.3">
      <c r="A5" s="63" t="s">
        <v>47</v>
      </c>
      <c r="B5" s="64" t="s">
        <v>180</v>
      </c>
      <c r="C5" s="70" t="s">
        <v>175</v>
      </c>
      <c r="D5" s="68">
        <v>653.70595382746046</v>
      </c>
      <c r="E5" s="69">
        <v>1669.8834872417983</v>
      </c>
      <c r="F5" s="79">
        <v>1</v>
      </c>
      <c r="G5" s="76">
        <v>12000</v>
      </c>
      <c r="H5" s="76" t="s">
        <v>209</v>
      </c>
      <c r="I5" s="77">
        <v>60</v>
      </c>
      <c r="J5" s="77">
        <f t="shared" ref="J5:J10" si="0">I5/(G5/1000)</f>
        <v>5</v>
      </c>
      <c r="K5" s="94">
        <f t="shared" ref="K5:K10" si="1">(E5/F5)/G5</f>
        <v>0.13915695727014987</v>
      </c>
      <c r="L5" s="94">
        <f t="shared" ref="L5:L10" si="2">(D5/F5)/G5</f>
        <v>5.4475496152288375E-2</v>
      </c>
      <c r="M5" s="92" t="s">
        <v>212</v>
      </c>
      <c r="N5" s="92">
        <f>K5*I5</f>
        <v>8.3494174362089915</v>
      </c>
      <c r="O5" s="92">
        <f>L5*I5</f>
        <v>3.2685297691373023</v>
      </c>
      <c r="AA5" s="25" t="s">
        <v>79</v>
      </c>
      <c r="AB5" s="26">
        <v>1</v>
      </c>
      <c r="AC5" s="26">
        <f>AF7</f>
        <v>211</v>
      </c>
      <c r="AE5" s="116" t="s">
        <v>257</v>
      </c>
      <c r="AF5" s="116">
        <v>249</v>
      </c>
      <c r="AH5" s="117" t="s">
        <v>259</v>
      </c>
      <c r="AI5" s="117">
        <v>52</v>
      </c>
    </row>
    <row r="6" spans="1:35" x14ac:dyDescent="0.3">
      <c r="A6" s="65" t="s">
        <v>53</v>
      </c>
      <c r="B6" s="66" t="s">
        <v>180</v>
      </c>
      <c r="C6" s="71" t="s">
        <v>72</v>
      </c>
      <c r="D6" s="68">
        <v>0</v>
      </c>
      <c r="E6" s="69">
        <v>20877.616989247312</v>
      </c>
      <c r="F6" s="79">
        <v>1</v>
      </c>
      <c r="G6" s="76">
        <f>4*3700</f>
        <v>14800</v>
      </c>
      <c r="H6" s="76" t="s">
        <v>201</v>
      </c>
      <c r="I6" s="77">
        <v>95</v>
      </c>
      <c r="J6" s="77">
        <f t="shared" si="0"/>
        <v>6.4189189189189184</v>
      </c>
      <c r="K6" s="94">
        <f t="shared" si="1"/>
        <v>1.4106497965707643</v>
      </c>
      <c r="L6" s="94">
        <f t="shared" si="2"/>
        <v>0</v>
      </c>
      <c r="M6" s="92" t="s">
        <v>212</v>
      </c>
      <c r="N6" s="92">
        <f t="shared" ref="N6:N10" si="3">K6*I6</f>
        <v>134.0117306742226</v>
      </c>
      <c r="O6" s="92">
        <f t="shared" ref="O6:O10" si="4">L6*I6</f>
        <v>0</v>
      </c>
      <c r="AA6" s="25" t="s">
        <v>77</v>
      </c>
      <c r="AB6" s="26">
        <v>1</v>
      </c>
      <c r="AC6" s="26">
        <f>AF19</f>
        <v>171</v>
      </c>
      <c r="AE6" s="116" t="s">
        <v>259</v>
      </c>
      <c r="AF6" s="116">
        <v>46</v>
      </c>
      <c r="AH6" s="117" t="s">
        <v>260</v>
      </c>
      <c r="AI6" s="117">
        <v>216</v>
      </c>
    </row>
    <row r="7" spans="1:35" x14ac:dyDescent="0.3">
      <c r="A7" s="63" t="s">
        <v>54</v>
      </c>
      <c r="B7" s="64" t="s">
        <v>180</v>
      </c>
      <c r="C7" s="70" t="s">
        <v>72</v>
      </c>
      <c r="D7" s="68">
        <v>0</v>
      </c>
      <c r="E7" s="69">
        <v>1127.3835125448029</v>
      </c>
      <c r="F7" s="79">
        <v>1</v>
      </c>
      <c r="G7" s="76">
        <f>3780*4</f>
        <v>15120</v>
      </c>
      <c r="H7" s="76" t="s">
        <v>199</v>
      </c>
      <c r="I7" s="77">
        <v>170</v>
      </c>
      <c r="J7" s="77">
        <f t="shared" si="0"/>
        <v>11.243386243386244</v>
      </c>
      <c r="K7" s="94">
        <f t="shared" si="1"/>
        <v>7.4562401623333524E-2</v>
      </c>
      <c r="L7" s="94">
        <f t="shared" si="2"/>
        <v>0</v>
      </c>
      <c r="M7" s="92" t="s">
        <v>212</v>
      </c>
      <c r="N7" s="92">
        <f t="shared" si="3"/>
        <v>12.675608275966699</v>
      </c>
      <c r="O7" s="92">
        <f t="shared" si="4"/>
        <v>0</v>
      </c>
      <c r="AA7" s="25" t="s">
        <v>80</v>
      </c>
      <c r="AB7" s="26">
        <v>1</v>
      </c>
      <c r="AC7" s="26">
        <f>AF21+AF7</f>
        <v>344</v>
      </c>
      <c r="AE7" s="116" t="s">
        <v>102</v>
      </c>
      <c r="AF7" s="116">
        <v>211</v>
      </c>
      <c r="AH7" s="117" t="s">
        <v>262</v>
      </c>
      <c r="AI7" s="117">
        <v>149</v>
      </c>
    </row>
    <row r="8" spans="1:35" x14ac:dyDescent="0.3">
      <c r="A8" s="72" t="s">
        <v>204</v>
      </c>
      <c r="B8" s="59" t="s">
        <v>180</v>
      </c>
      <c r="C8" s="67" t="s">
        <v>72</v>
      </c>
      <c r="D8" s="68">
        <v>4358.0396921830697</v>
      </c>
      <c r="E8" s="69">
        <v>11097.956581611987</v>
      </c>
      <c r="F8" s="79">
        <v>1</v>
      </c>
      <c r="G8" s="76">
        <v>16000</v>
      </c>
      <c r="H8" s="76" t="s">
        <v>202</v>
      </c>
      <c r="I8" s="77">
        <v>160</v>
      </c>
      <c r="J8" s="77">
        <f t="shared" si="0"/>
        <v>10</v>
      </c>
      <c r="K8" s="94">
        <f t="shared" si="1"/>
        <v>0.69362228635074918</v>
      </c>
      <c r="L8" s="94">
        <f t="shared" si="2"/>
        <v>0.27237748076144186</v>
      </c>
      <c r="M8" s="92" t="s">
        <v>213</v>
      </c>
      <c r="N8" s="92">
        <f t="shared" si="3"/>
        <v>110.97956581611987</v>
      </c>
      <c r="O8" s="92">
        <f t="shared" si="4"/>
        <v>43.580396921830697</v>
      </c>
      <c r="AA8" s="25" t="s">
        <v>74</v>
      </c>
      <c r="AB8" s="26">
        <v>1</v>
      </c>
      <c r="AC8" s="26">
        <f>AF21</f>
        <v>133</v>
      </c>
      <c r="AE8" s="116" t="s">
        <v>261</v>
      </c>
      <c r="AF8" s="116">
        <v>211</v>
      </c>
      <c r="AH8" s="117" t="s">
        <v>264</v>
      </c>
      <c r="AI8" s="117">
        <v>107</v>
      </c>
    </row>
    <row r="9" spans="1:35" x14ac:dyDescent="0.3">
      <c r="A9" s="62" t="s">
        <v>82</v>
      </c>
      <c r="B9" s="59" t="s">
        <v>180</v>
      </c>
      <c r="C9" s="67" t="s">
        <v>175</v>
      </c>
      <c r="D9" s="68">
        <v>0</v>
      </c>
      <c r="E9" s="69">
        <v>2035.4887455197131</v>
      </c>
      <c r="F9" s="79">
        <v>1</v>
      </c>
      <c r="G9" s="76">
        <f>355*6</f>
        <v>2130</v>
      </c>
      <c r="H9" s="76" t="s">
        <v>200</v>
      </c>
      <c r="I9" s="77">
        <v>125</v>
      </c>
      <c r="J9" s="77">
        <f t="shared" si="0"/>
        <v>58.685446009389672</v>
      </c>
      <c r="K9" s="94">
        <f t="shared" si="1"/>
        <v>0.95562851902333945</v>
      </c>
      <c r="L9" s="94">
        <f t="shared" si="2"/>
        <v>0</v>
      </c>
      <c r="M9" s="92" t="s">
        <v>212</v>
      </c>
      <c r="N9" s="92">
        <f t="shared" si="3"/>
        <v>119.45356487791743</v>
      </c>
      <c r="O9" s="92">
        <f t="shared" si="4"/>
        <v>0</v>
      </c>
      <c r="AA9" s="25" t="s">
        <v>78</v>
      </c>
      <c r="AB9" s="26">
        <v>1</v>
      </c>
      <c r="AC9" s="26">
        <f>AF23+AF3</f>
        <v>187</v>
      </c>
      <c r="AE9" s="116" t="s">
        <v>263</v>
      </c>
      <c r="AF9" s="116">
        <v>176</v>
      </c>
      <c r="AH9" s="117" t="s">
        <v>259</v>
      </c>
      <c r="AI9" s="117">
        <v>42</v>
      </c>
    </row>
    <row r="10" spans="1:35" x14ac:dyDescent="0.3">
      <c r="A10" s="62" t="s">
        <v>169</v>
      </c>
      <c r="B10" s="59" t="s">
        <v>180</v>
      </c>
      <c r="C10" s="67" t="s">
        <v>175</v>
      </c>
      <c r="D10" s="68">
        <v>0</v>
      </c>
      <c r="E10" s="69">
        <v>4173.010752688172</v>
      </c>
      <c r="F10" s="79">
        <v>1</v>
      </c>
      <c r="G10" s="76">
        <f>4*5000</f>
        <v>20000</v>
      </c>
      <c r="H10" s="76" t="s">
        <v>198</v>
      </c>
      <c r="I10" s="77">
        <v>65</v>
      </c>
      <c r="J10" s="77">
        <f t="shared" si="0"/>
        <v>3.25</v>
      </c>
      <c r="K10" s="94">
        <f t="shared" si="1"/>
        <v>0.20865053763440861</v>
      </c>
      <c r="L10" s="94">
        <f t="shared" si="2"/>
        <v>0</v>
      </c>
      <c r="M10" s="92" t="s">
        <v>212</v>
      </c>
      <c r="N10" s="92">
        <f t="shared" si="3"/>
        <v>13.562284946236559</v>
      </c>
      <c r="O10" s="92">
        <f t="shared" si="4"/>
        <v>0</v>
      </c>
      <c r="AA10" s="25" t="s">
        <v>150</v>
      </c>
      <c r="AB10" s="26">
        <v>2</v>
      </c>
      <c r="AC10" s="26">
        <f>AF43</f>
        <v>283</v>
      </c>
      <c r="AE10" s="116" t="s">
        <v>265</v>
      </c>
      <c r="AF10" s="116">
        <v>32</v>
      </c>
      <c r="AH10" s="117" t="s">
        <v>267</v>
      </c>
      <c r="AI10" s="117">
        <v>218</v>
      </c>
    </row>
    <row r="11" spans="1:35" x14ac:dyDescent="0.3">
      <c r="A11" s="73"/>
      <c r="B11" s="73"/>
      <c r="C11" s="73"/>
      <c r="D11" s="73"/>
      <c r="E11" s="73"/>
      <c r="F11" s="73"/>
      <c r="G11" s="74"/>
      <c r="H11" s="74"/>
      <c r="I11" s="74"/>
      <c r="J11" s="74"/>
      <c r="K11" s="74"/>
      <c r="L11" s="74"/>
      <c r="M11" s="74"/>
      <c r="N11" s="74"/>
      <c r="O11" s="75"/>
      <c r="AA11" s="25" t="s">
        <v>164</v>
      </c>
      <c r="AB11" s="26">
        <v>2</v>
      </c>
      <c r="AC11" s="26">
        <f>AF43</f>
        <v>283</v>
      </c>
      <c r="AE11" s="116" t="s">
        <v>266</v>
      </c>
      <c r="AF11" s="116">
        <v>144</v>
      </c>
      <c r="AH11" s="117" t="s">
        <v>261</v>
      </c>
      <c r="AI11" s="117">
        <v>218</v>
      </c>
    </row>
    <row r="12" spans="1:35" x14ac:dyDescent="0.3">
      <c r="A12" s="63" t="s">
        <v>50</v>
      </c>
      <c r="B12" s="64" t="s">
        <v>181</v>
      </c>
      <c r="C12" s="70" t="s">
        <v>175</v>
      </c>
      <c r="D12" s="68">
        <v>7871.5676792223567</v>
      </c>
      <c r="E12" s="69">
        <v>30022.924069258814</v>
      </c>
      <c r="F12" s="79">
        <v>1</v>
      </c>
      <c r="G12" s="76">
        <v>1000</v>
      </c>
      <c r="H12" s="76" t="s">
        <v>208</v>
      </c>
      <c r="I12" s="77">
        <v>0</v>
      </c>
      <c r="J12" s="77">
        <v>0</v>
      </c>
      <c r="K12" s="92">
        <f>(E12/F12)/G12</f>
        <v>30.022924069258814</v>
      </c>
      <c r="L12" s="92">
        <f>(D12/F12)/G12</f>
        <v>7.8715676792223563</v>
      </c>
      <c r="M12" s="92" t="s">
        <v>208</v>
      </c>
      <c r="N12" s="92">
        <f>K12*I12</f>
        <v>0</v>
      </c>
      <c r="O12" s="92">
        <f>L12*I12</f>
        <v>0</v>
      </c>
      <c r="AA12" s="25" t="s">
        <v>5</v>
      </c>
      <c r="AB12" s="26">
        <v>2</v>
      </c>
      <c r="AC12" s="26">
        <f>AF43</f>
        <v>283</v>
      </c>
      <c r="AE12" s="116" t="s">
        <v>104</v>
      </c>
      <c r="AF12" s="116">
        <v>287</v>
      </c>
      <c r="AH12" s="117" t="s">
        <v>268</v>
      </c>
      <c r="AI12" s="117">
        <v>167</v>
      </c>
    </row>
    <row r="13" spans="1:35" x14ac:dyDescent="0.3">
      <c r="A13" s="73"/>
      <c r="B13" s="73"/>
      <c r="C13" s="73"/>
      <c r="D13" s="73"/>
      <c r="E13" s="73"/>
      <c r="F13" s="73"/>
      <c r="G13" s="74"/>
      <c r="H13" s="74"/>
      <c r="I13" s="74"/>
      <c r="J13" s="74"/>
      <c r="K13" s="74"/>
      <c r="L13" s="74"/>
      <c r="M13" s="74"/>
      <c r="N13" s="74"/>
      <c r="O13" s="75"/>
      <c r="AA13" s="25" t="s">
        <v>151</v>
      </c>
      <c r="AB13" s="26">
        <v>2</v>
      </c>
      <c r="AC13" s="26">
        <f>AF41</f>
        <v>304</v>
      </c>
      <c r="AE13" s="116" t="s">
        <v>259</v>
      </c>
      <c r="AF13" s="116">
        <v>50</v>
      </c>
      <c r="AH13" s="117" t="s">
        <v>259</v>
      </c>
      <c r="AI13" s="117">
        <v>48</v>
      </c>
    </row>
    <row r="14" spans="1:35" x14ac:dyDescent="0.3">
      <c r="A14" s="62" t="s">
        <v>43</v>
      </c>
      <c r="B14" s="59" t="s">
        <v>185</v>
      </c>
      <c r="C14" s="67" t="s">
        <v>72</v>
      </c>
      <c r="D14" s="68">
        <v>50.057273768613975</v>
      </c>
      <c r="E14" s="69">
        <v>50.057273768613975</v>
      </c>
      <c r="F14" s="79">
        <v>1</v>
      </c>
      <c r="G14" s="76">
        <v>1000</v>
      </c>
      <c r="H14" s="76" t="s">
        <v>192</v>
      </c>
      <c r="I14" s="77">
        <v>5</v>
      </c>
      <c r="J14" s="77">
        <f t="shared" ref="J14:J19" si="5">I14/(G14/1000)</f>
        <v>5</v>
      </c>
      <c r="K14" s="94">
        <f t="shared" ref="K14:K19" si="6">(E14/F14)/G14</f>
        <v>5.0057273768613977E-2</v>
      </c>
      <c r="L14" s="94">
        <f t="shared" ref="L14:L19" si="7">(D14/F14)/G14</f>
        <v>5.0057273768613977E-2</v>
      </c>
      <c r="M14" s="92" t="s">
        <v>208</v>
      </c>
      <c r="N14" s="92">
        <f>K14*I14</f>
        <v>0.25028636884306987</v>
      </c>
      <c r="O14" s="92">
        <f>L14*I14</f>
        <v>0.25028636884306987</v>
      </c>
      <c r="AA14" s="25" t="s">
        <v>152</v>
      </c>
      <c r="AB14" s="26">
        <v>2</v>
      </c>
      <c r="AC14" s="26">
        <f>AF41</f>
        <v>304</v>
      </c>
      <c r="AE14" s="116" t="s">
        <v>269</v>
      </c>
      <c r="AF14" s="116">
        <v>237</v>
      </c>
      <c r="AH14" s="117" t="s">
        <v>271</v>
      </c>
      <c r="AI14" s="117">
        <v>119</v>
      </c>
    </row>
    <row r="15" spans="1:35" x14ac:dyDescent="0.3">
      <c r="A15" s="62" t="s">
        <v>168</v>
      </c>
      <c r="B15" s="59" t="s">
        <v>185</v>
      </c>
      <c r="C15" s="67" t="s">
        <v>72</v>
      </c>
      <c r="D15" s="68">
        <v>13.074119076549211</v>
      </c>
      <c r="E15" s="69">
        <v>33.086269744835967</v>
      </c>
      <c r="F15" s="79">
        <v>1</v>
      </c>
      <c r="G15" s="76">
        <v>1000</v>
      </c>
      <c r="H15" s="76" t="s">
        <v>192</v>
      </c>
      <c r="I15" s="77">
        <v>31</v>
      </c>
      <c r="J15" s="77">
        <f t="shared" si="5"/>
        <v>31</v>
      </c>
      <c r="K15" s="94">
        <f t="shared" si="6"/>
        <v>3.3086269744835965E-2</v>
      </c>
      <c r="L15" s="94">
        <f t="shared" si="7"/>
        <v>1.3074119076549212E-2</v>
      </c>
      <c r="M15" s="92" t="s">
        <v>208</v>
      </c>
      <c r="N15" s="92">
        <f t="shared" ref="N15:N19" si="8">K15*I15</f>
        <v>1.0256743620899149</v>
      </c>
      <c r="O15" s="92">
        <f t="shared" ref="O15:O19" si="9">L15*I15</f>
        <v>0.40529769137302557</v>
      </c>
      <c r="AA15" t="s">
        <v>153</v>
      </c>
      <c r="AB15" s="26">
        <v>3</v>
      </c>
      <c r="AC15" s="26">
        <f>AF66</f>
        <v>141</v>
      </c>
      <c r="AE15" s="116" t="s">
        <v>270</v>
      </c>
      <c r="AF15" s="116">
        <v>220</v>
      </c>
      <c r="AH15" s="117" t="s">
        <v>85</v>
      </c>
      <c r="AI15" s="117">
        <v>343</v>
      </c>
    </row>
    <row r="16" spans="1:35" x14ac:dyDescent="0.3">
      <c r="A16" s="62" t="s">
        <v>48</v>
      </c>
      <c r="B16" s="59" t="s">
        <v>185</v>
      </c>
      <c r="C16" s="67" t="s">
        <v>72</v>
      </c>
      <c r="D16" s="68">
        <v>23.324119076549209</v>
      </c>
      <c r="E16" s="69">
        <v>97.36751974483596</v>
      </c>
      <c r="F16" s="79">
        <v>1</v>
      </c>
      <c r="G16" s="76">
        <v>1000</v>
      </c>
      <c r="H16" s="76" t="s">
        <v>192</v>
      </c>
      <c r="I16" s="77">
        <v>8</v>
      </c>
      <c r="J16" s="77">
        <f t="shared" si="5"/>
        <v>8</v>
      </c>
      <c r="K16" s="94">
        <f t="shared" si="6"/>
        <v>9.7367519744835956E-2</v>
      </c>
      <c r="L16" s="94">
        <f t="shared" si="7"/>
        <v>2.3324119076549209E-2</v>
      </c>
      <c r="M16" s="92" t="s">
        <v>208</v>
      </c>
      <c r="N16" s="92">
        <f t="shared" si="8"/>
        <v>0.77894015795868765</v>
      </c>
      <c r="O16" s="92">
        <f t="shared" si="9"/>
        <v>0.18659295261239367</v>
      </c>
      <c r="AA16" t="s">
        <v>154</v>
      </c>
      <c r="AB16" s="26">
        <v>3</v>
      </c>
      <c r="AC16" s="26">
        <f>AF66+AF64</f>
        <v>272</v>
      </c>
      <c r="AE16" s="116" t="s">
        <v>271</v>
      </c>
      <c r="AF16" s="116">
        <v>220</v>
      </c>
      <c r="AH16" s="117" t="s">
        <v>273</v>
      </c>
      <c r="AI16" s="117">
        <v>343</v>
      </c>
    </row>
    <row r="17" spans="1:35" x14ac:dyDescent="0.3">
      <c r="A17" s="63" t="s">
        <v>170</v>
      </c>
      <c r="B17" s="64" t="s">
        <v>185</v>
      </c>
      <c r="C17" s="70" t="s">
        <v>72</v>
      </c>
      <c r="D17" s="68">
        <v>0</v>
      </c>
      <c r="E17" s="69">
        <v>1.73</v>
      </c>
      <c r="F17" s="79">
        <v>1</v>
      </c>
      <c r="G17" s="76">
        <v>2724</v>
      </c>
      <c r="H17" s="76" t="s">
        <v>194</v>
      </c>
      <c r="I17" s="77">
        <v>175</v>
      </c>
      <c r="J17" s="77">
        <f t="shared" si="5"/>
        <v>64.243759177679877</v>
      </c>
      <c r="K17" s="94">
        <f t="shared" si="6"/>
        <v>6.3509544787077824E-4</v>
      </c>
      <c r="L17" s="94">
        <f t="shared" si="7"/>
        <v>0</v>
      </c>
      <c r="M17" s="92" t="s">
        <v>212</v>
      </c>
      <c r="N17" s="92">
        <f t="shared" si="8"/>
        <v>0.11114170337738619</v>
      </c>
      <c r="O17" s="92">
        <f t="shared" si="9"/>
        <v>0</v>
      </c>
      <c r="AA17" t="s">
        <v>165</v>
      </c>
      <c r="AB17" s="26">
        <v>3</v>
      </c>
      <c r="AC17" s="26">
        <f>AF46</f>
        <v>234</v>
      </c>
      <c r="AE17" s="116" t="s">
        <v>272</v>
      </c>
      <c r="AF17" s="116">
        <v>226</v>
      </c>
      <c r="AH17" s="117" t="s">
        <v>274</v>
      </c>
      <c r="AI17" s="117">
        <v>136</v>
      </c>
    </row>
    <row r="18" spans="1:35" x14ac:dyDescent="0.3">
      <c r="A18" s="62" t="s">
        <v>49</v>
      </c>
      <c r="B18" s="59" t="s">
        <v>185</v>
      </c>
      <c r="C18" s="67" t="s">
        <v>72</v>
      </c>
      <c r="D18" s="68">
        <v>106.15843661401377</v>
      </c>
      <c r="E18" s="69">
        <v>458.4066887343655</v>
      </c>
      <c r="F18" s="79">
        <v>1</v>
      </c>
      <c r="G18" s="76">
        <v>50000</v>
      </c>
      <c r="H18" s="76" t="s">
        <v>206</v>
      </c>
      <c r="I18" s="77">
        <v>37</v>
      </c>
      <c r="J18" s="77">
        <f t="shared" si="5"/>
        <v>0.74</v>
      </c>
      <c r="K18" s="94">
        <f t="shared" si="6"/>
        <v>9.1681337746873093E-3</v>
      </c>
      <c r="L18" s="94">
        <f t="shared" si="7"/>
        <v>2.1231687322802754E-3</v>
      </c>
      <c r="M18" s="92" t="s">
        <v>208</v>
      </c>
      <c r="N18" s="92">
        <f t="shared" si="8"/>
        <v>0.33922094966343042</v>
      </c>
      <c r="O18" s="92">
        <f t="shared" si="9"/>
        <v>7.8557243094370191E-2</v>
      </c>
      <c r="AA18" t="s">
        <v>163</v>
      </c>
      <c r="AB18" s="26">
        <v>3</v>
      </c>
      <c r="AC18" s="26">
        <f>AF68+AF45</f>
        <v>184</v>
      </c>
      <c r="AE18" s="116" t="s">
        <v>264</v>
      </c>
      <c r="AF18" s="116">
        <v>226</v>
      </c>
      <c r="AH18" s="117" t="s">
        <v>264</v>
      </c>
      <c r="AI18" s="117">
        <v>136</v>
      </c>
    </row>
    <row r="19" spans="1:35" x14ac:dyDescent="0.3">
      <c r="A19" s="63" t="s">
        <v>52</v>
      </c>
      <c r="B19" s="64" t="s">
        <v>185</v>
      </c>
      <c r="C19" s="70" t="s">
        <v>72</v>
      </c>
      <c r="D19" s="68">
        <v>0</v>
      </c>
      <c r="E19" s="69">
        <v>4.8316831683168315</v>
      </c>
      <c r="F19" s="79">
        <v>1</v>
      </c>
      <c r="G19" s="76">
        <v>1000</v>
      </c>
      <c r="H19" s="76" t="s">
        <v>192</v>
      </c>
      <c r="I19" s="77">
        <v>47</v>
      </c>
      <c r="J19" s="77">
        <f t="shared" si="5"/>
        <v>47</v>
      </c>
      <c r="K19" s="94">
        <f t="shared" si="6"/>
        <v>4.8316831683168316E-3</v>
      </c>
      <c r="L19" s="94">
        <f t="shared" si="7"/>
        <v>0</v>
      </c>
      <c r="M19" s="92" t="s">
        <v>208</v>
      </c>
      <c r="N19" s="92">
        <f t="shared" si="8"/>
        <v>0.2270891089108911</v>
      </c>
      <c r="O19" s="92">
        <f t="shared" si="9"/>
        <v>0</v>
      </c>
      <c r="AA19" t="s">
        <v>58</v>
      </c>
      <c r="AB19" s="26">
        <v>3</v>
      </c>
      <c r="AC19" s="26">
        <f>AF68+AF45</f>
        <v>184</v>
      </c>
      <c r="AE19" s="116" t="s">
        <v>275</v>
      </c>
      <c r="AF19" s="116">
        <v>171</v>
      </c>
      <c r="AH19" s="117" t="s">
        <v>277</v>
      </c>
      <c r="AI19" s="117">
        <v>361</v>
      </c>
    </row>
    <row r="20" spans="1:35" x14ac:dyDescent="0.3">
      <c r="A20" s="73"/>
      <c r="B20" s="73"/>
      <c r="C20" s="73"/>
      <c r="D20" s="73"/>
      <c r="E20" s="73"/>
      <c r="F20" s="73"/>
      <c r="G20" s="74"/>
      <c r="H20" s="74"/>
      <c r="I20" s="74"/>
      <c r="J20" s="74"/>
      <c r="K20" s="74"/>
      <c r="L20" s="74"/>
      <c r="M20" s="74"/>
      <c r="N20" s="74"/>
      <c r="O20" s="75"/>
      <c r="AA20" t="s">
        <v>155</v>
      </c>
      <c r="AB20" s="26">
        <v>4</v>
      </c>
      <c r="AC20" s="26">
        <f>AI23</f>
        <v>148</v>
      </c>
      <c r="AE20" s="116" t="s">
        <v>276</v>
      </c>
      <c r="AF20" s="116">
        <v>171</v>
      </c>
      <c r="AH20" s="117" t="s">
        <v>278</v>
      </c>
      <c r="AI20" s="117">
        <v>361</v>
      </c>
    </row>
    <row r="21" spans="1:35" x14ac:dyDescent="0.3">
      <c r="A21" s="62" t="s">
        <v>187</v>
      </c>
      <c r="B21" s="59" t="s">
        <v>186</v>
      </c>
      <c r="C21" s="67" t="s">
        <v>72</v>
      </c>
      <c r="D21" s="68">
        <v>0.71300000000000008</v>
      </c>
      <c r="E21" s="69">
        <v>4.3149000000000006</v>
      </c>
      <c r="F21" s="79">
        <v>1</v>
      </c>
      <c r="G21" s="76">
        <v>100</v>
      </c>
      <c r="H21" s="76" t="s">
        <v>197</v>
      </c>
      <c r="I21" s="77">
        <v>3.5</v>
      </c>
      <c r="J21" s="77">
        <f>I21/(G21/1000)</f>
        <v>35</v>
      </c>
      <c r="K21" s="92">
        <f>(E21/F21)/G21</f>
        <v>4.3149000000000007E-2</v>
      </c>
      <c r="L21" s="92">
        <f>(D21/F21)/G21</f>
        <v>7.1300000000000009E-3</v>
      </c>
      <c r="M21" s="92" t="s">
        <v>213</v>
      </c>
      <c r="N21" s="92">
        <f t="shared" ref="N21" si="10">K21*I21</f>
        <v>0.15102150000000003</v>
      </c>
      <c r="O21" s="92">
        <f t="shared" ref="O21" si="11">L21*I21</f>
        <v>2.4955000000000005E-2</v>
      </c>
      <c r="AA21" t="s">
        <v>75</v>
      </c>
      <c r="AB21" s="26">
        <v>4</v>
      </c>
      <c r="AC21" s="26">
        <f>AI25+AI3</f>
        <v>181</v>
      </c>
      <c r="AE21" s="116" t="s">
        <v>93</v>
      </c>
      <c r="AF21" s="116">
        <v>133</v>
      </c>
      <c r="AH21" s="117" t="s">
        <v>279</v>
      </c>
      <c r="AI21" s="117">
        <v>177</v>
      </c>
    </row>
    <row r="22" spans="1:35" x14ac:dyDescent="0.3">
      <c r="A22" s="73"/>
      <c r="B22" s="73"/>
      <c r="C22" s="73"/>
      <c r="D22" s="73"/>
      <c r="E22" s="73"/>
      <c r="F22" s="73"/>
      <c r="G22" s="74"/>
      <c r="H22" s="74"/>
      <c r="I22" s="74"/>
      <c r="J22" s="74"/>
      <c r="K22" s="74"/>
      <c r="L22" s="74"/>
      <c r="M22" s="74"/>
      <c r="N22" s="74"/>
      <c r="O22" s="75"/>
      <c r="AA22" t="s">
        <v>76</v>
      </c>
      <c r="AB22" s="49">
        <v>4</v>
      </c>
      <c r="AC22" s="49">
        <f>AI15</f>
        <v>343</v>
      </c>
      <c r="AE22" s="116" t="s">
        <v>261</v>
      </c>
      <c r="AF22" s="116">
        <v>133</v>
      </c>
      <c r="AH22" s="117" t="s">
        <v>281</v>
      </c>
      <c r="AI22" s="117">
        <v>177</v>
      </c>
    </row>
    <row r="23" spans="1:35" x14ac:dyDescent="0.3">
      <c r="A23" s="63" t="s">
        <v>45</v>
      </c>
      <c r="B23" s="64" t="s">
        <v>183</v>
      </c>
      <c r="C23" s="70" t="s">
        <v>72</v>
      </c>
      <c r="D23" s="68">
        <v>0</v>
      </c>
      <c r="E23" s="69">
        <v>1550</v>
      </c>
      <c r="F23" s="79">
        <v>1</v>
      </c>
      <c r="G23" s="76">
        <v>10000</v>
      </c>
      <c r="H23" s="76" t="s">
        <v>210</v>
      </c>
      <c r="I23" s="77">
        <v>42</v>
      </c>
      <c r="J23" s="77">
        <f>I23/(G23/1000)</f>
        <v>4.2</v>
      </c>
      <c r="K23" s="94">
        <f>(E23/F23)/G23</f>
        <v>0.155</v>
      </c>
      <c r="L23" s="94">
        <f>(D23/F23)/G23</f>
        <v>0</v>
      </c>
      <c r="M23" s="92" t="s">
        <v>214</v>
      </c>
      <c r="N23" s="92">
        <f t="shared" ref="N23" si="12">K23*I23</f>
        <v>6.51</v>
      </c>
      <c r="O23" s="92">
        <f t="shared" ref="O23" si="13">L23*I23</f>
        <v>0</v>
      </c>
      <c r="AA23" t="s">
        <v>156</v>
      </c>
      <c r="AB23" s="49">
        <v>4</v>
      </c>
      <c r="AC23" s="49">
        <f>AI21</f>
        <v>177</v>
      </c>
      <c r="AE23" s="116" t="s">
        <v>280</v>
      </c>
      <c r="AF23" s="116">
        <v>81</v>
      </c>
      <c r="AH23" s="117" t="s">
        <v>282</v>
      </c>
      <c r="AI23" s="117">
        <v>148</v>
      </c>
    </row>
    <row r="24" spans="1:35" x14ac:dyDescent="0.3">
      <c r="A24" s="62" t="s">
        <v>46</v>
      </c>
      <c r="B24" s="59" t="s">
        <v>183</v>
      </c>
      <c r="C24" s="67" t="s">
        <v>72</v>
      </c>
      <c r="D24" s="68">
        <v>0</v>
      </c>
      <c r="E24" s="69">
        <v>1550</v>
      </c>
      <c r="F24" s="79">
        <v>1</v>
      </c>
      <c r="G24" s="76">
        <v>10000</v>
      </c>
      <c r="H24" s="76" t="s">
        <v>210</v>
      </c>
      <c r="I24" s="77">
        <v>42</v>
      </c>
      <c r="J24" s="77">
        <f>I24/(G24/1000)</f>
        <v>4.2</v>
      </c>
      <c r="K24" s="94">
        <f>(E24/F24)/G24</f>
        <v>0.155</v>
      </c>
      <c r="L24" s="94">
        <f>(D24/F24)/G24</f>
        <v>0</v>
      </c>
      <c r="M24" s="92" t="s">
        <v>214</v>
      </c>
      <c r="N24" s="92">
        <f t="shared" ref="N24:N25" si="14">K24*I24</f>
        <v>6.51</v>
      </c>
      <c r="O24" s="92">
        <f t="shared" ref="O24:O25" si="15">L24*I24</f>
        <v>0</v>
      </c>
      <c r="AA24" t="s">
        <v>166</v>
      </c>
      <c r="AB24" s="49">
        <v>4</v>
      </c>
      <c r="AC24" s="49">
        <f>AI21</f>
        <v>177</v>
      </c>
      <c r="AH24" s="117" t="s">
        <v>261</v>
      </c>
      <c r="AI24" s="117">
        <v>148</v>
      </c>
    </row>
    <row r="25" spans="1:35" x14ac:dyDescent="0.3">
      <c r="A25" s="62" t="s">
        <v>16</v>
      </c>
      <c r="B25" s="59" t="s">
        <v>183</v>
      </c>
      <c r="C25" s="67" t="s">
        <v>72</v>
      </c>
      <c r="D25" s="68">
        <v>0</v>
      </c>
      <c r="E25" s="69">
        <v>5255</v>
      </c>
      <c r="F25" s="79">
        <v>1</v>
      </c>
      <c r="G25" s="76">
        <v>10000</v>
      </c>
      <c r="H25" s="76" t="s">
        <v>210</v>
      </c>
      <c r="I25" s="77">
        <v>60</v>
      </c>
      <c r="J25" s="77">
        <f>I25/(G25/1000)</f>
        <v>6</v>
      </c>
      <c r="K25" s="94">
        <f>(E25/F25)/G25</f>
        <v>0.52549999999999997</v>
      </c>
      <c r="L25" s="94">
        <f>(D25/F25)/G25</f>
        <v>0</v>
      </c>
      <c r="M25" s="92" t="s">
        <v>214</v>
      </c>
      <c r="N25" s="92">
        <f t="shared" si="14"/>
        <v>31.529999999999998</v>
      </c>
      <c r="O25" s="92">
        <f t="shared" si="15"/>
        <v>0</v>
      </c>
      <c r="AA25" t="s">
        <v>157</v>
      </c>
      <c r="AB25" s="49">
        <v>5</v>
      </c>
      <c r="AC25" s="49">
        <f>AI49</f>
        <v>194</v>
      </c>
      <c r="AE25" s="118" t="s">
        <v>283</v>
      </c>
      <c r="AF25" s="118">
        <v>353</v>
      </c>
      <c r="AH25" s="117" t="s">
        <v>284</v>
      </c>
      <c r="AI25" s="117">
        <v>95</v>
      </c>
    </row>
    <row r="26" spans="1:35" x14ac:dyDescent="0.3">
      <c r="A26" s="73"/>
      <c r="B26" s="73"/>
      <c r="C26" s="73"/>
      <c r="D26" s="73"/>
      <c r="E26" s="73"/>
      <c r="F26" s="73"/>
      <c r="G26" s="74"/>
      <c r="H26" s="74"/>
      <c r="I26" s="74"/>
      <c r="J26" s="74"/>
      <c r="K26" s="74"/>
      <c r="L26" s="74"/>
      <c r="M26" s="74"/>
      <c r="N26" s="74"/>
      <c r="O26" s="75"/>
      <c r="AA26" t="s">
        <v>158</v>
      </c>
      <c r="AB26" s="49">
        <v>5</v>
      </c>
      <c r="AC26" s="49">
        <f>AI49</f>
        <v>194</v>
      </c>
      <c r="AE26" s="118" t="s">
        <v>257</v>
      </c>
      <c r="AF26" s="118">
        <v>312</v>
      </c>
    </row>
    <row r="27" spans="1:35" x14ac:dyDescent="0.3">
      <c r="A27" s="62" t="s">
        <v>174</v>
      </c>
      <c r="B27" s="64" t="s">
        <v>193</v>
      </c>
      <c r="C27" s="67" t="s">
        <v>72</v>
      </c>
      <c r="D27" s="68">
        <v>4.0999999999999996</v>
      </c>
      <c r="E27" s="69">
        <v>21.4</v>
      </c>
      <c r="F27" s="79">
        <v>1</v>
      </c>
      <c r="G27" s="76">
        <v>200</v>
      </c>
      <c r="H27" s="76" t="s">
        <v>205</v>
      </c>
      <c r="I27" s="77">
        <v>4</v>
      </c>
      <c r="J27" s="77">
        <f>I27/0.2</f>
        <v>20</v>
      </c>
      <c r="K27" s="93">
        <f>(E27/F27)/G27</f>
        <v>0.107</v>
      </c>
      <c r="L27" s="92">
        <f>(D27/F27)/G27</f>
        <v>2.0499999999999997E-2</v>
      </c>
      <c r="M27" s="92" t="s">
        <v>215</v>
      </c>
      <c r="N27" s="92">
        <f t="shared" ref="N27" si="16">K27*I27</f>
        <v>0.42799999999999999</v>
      </c>
      <c r="O27" s="92">
        <f t="shared" ref="O27" si="17">L27*I27</f>
        <v>8.199999999999999E-2</v>
      </c>
      <c r="AA27" t="s">
        <v>167</v>
      </c>
      <c r="AB27" s="49">
        <v>5</v>
      </c>
      <c r="AC27" s="49">
        <f>AI51+AI28</f>
        <v>170</v>
      </c>
      <c r="AE27" s="118" t="s">
        <v>259</v>
      </c>
      <c r="AF27" s="118">
        <v>41</v>
      </c>
      <c r="AH27" s="119" t="s">
        <v>254</v>
      </c>
      <c r="AI27" s="119">
        <v>139</v>
      </c>
    </row>
    <row r="28" spans="1:35" x14ac:dyDescent="0.3">
      <c r="A28" s="73"/>
      <c r="B28" s="73"/>
      <c r="C28" s="73"/>
      <c r="D28" s="73"/>
      <c r="E28" s="73"/>
      <c r="F28" s="74"/>
      <c r="G28" s="74"/>
      <c r="H28" s="74"/>
      <c r="I28" s="74"/>
      <c r="J28" s="74"/>
      <c r="K28" s="74"/>
      <c r="L28" s="74"/>
      <c r="M28" s="74"/>
      <c r="N28" s="74"/>
      <c r="O28" s="75"/>
      <c r="AA28" t="s">
        <v>57</v>
      </c>
      <c r="AB28" s="49">
        <v>6</v>
      </c>
      <c r="AC28" s="49">
        <f>AI54+AI76</f>
        <v>188</v>
      </c>
      <c r="AE28" s="118" t="s">
        <v>285</v>
      </c>
      <c r="AF28" s="118">
        <v>350</v>
      </c>
      <c r="AH28" s="119" t="s">
        <v>286</v>
      </c>
      <c r="AI28" s="119">
        <v>106</v>
      </c>
    </row>
    <row r="29" spans="1:35" x14ac:dyDescent="0.3">
      <c r="A29" s="62" t="s">
        <v>173</v>
      </c>
      <c r="B29" s="59" t="s">
        <v>182</v>
      </c>
      <c r="C29" s="67" t="s">
        <v>72</v>
      </c>
      <c r="D29" s="68">
        <v>0</v>
      </c>
      <c r="E29" s="69">
        <v>99.510937500000011</v>
      </c>
      <c r="F29" s="61">
        <v>0.43</v>
      </c>
      <c r="G29" s="76">
        <v>900</v>
      </c>
      <c r="H29" s="76" t="s">
        <v>207</v>
      </c>
      <c r="I29" s="77">
        <v>3</v>
      </c>
      <c r="J29" s="77">
        <f>I29/(G29/1000)</f>
        <v>3.333333333333333</v>
      </c>
      <c r="K29" s="95">
        <f t="shared" ref="K29:K35" si="18">(E29/F29)/G29</f>
        <v>0.25713420542635662</v>
      </c>
      <c r="L29" s="92">
        <f>(D29/F29)</f>
        <v>0</v>
      </c>
      <c r="M29" s="92" t="s">
        <v>72</v>
      </c>
      <c r="N29" s="92">
        <f t="shared" ref="N29:N30" si="19">K29*I29</f>
        <v>0.77140261627906992</v>
      </c>
      <c r="O29" s="92">
        <f t="shared" ref="O29:O30" si="20">L29*I29</f>
        <v>0</v>
      </c>
      <c r="AA29" t="s">
        <v>159</v>
      </c>
      <c r="AB29" s="49">
        <v>6</v>
      </c>
      <c r="AC29" s="49">
        <f>AI54+AI76+AI67</f>
        <v>536</v>
      </c>
      <c r="AE29" s="118" t="s">
        <v>265</v>
      </c>
      <c r="AF29" s="118">
        <v>33</v>
      </c>
      <c r="AH29" s="119" t="s">
        <v>288</v>
      </c>
      <c r="AI29" s="119">
        <v>139</v>
      </c>
    </row>
    <row r="30" spans="1:35" x14ac:dyDescent="0.3">
      <c r="A30" s="62" t="s">
        <v>172</v>
      </c>
      <c r="B30" s="59" t="s">
        <v>182</v>
      </c>
      <c r="C30" s="67" t="s">
        <v>72</v>
      </c>
      <c r="D30" s="68">
        <v>73.2</v>
      </c>
      <c r="E30" s="69">
        <v>417.06656249999997</v>
      </c>
      <c r="F30" s="61">
        <v>0.94</v>
      </c>
      <c r="G30" s="76">
        <v>825</v>
      </c>
      <c r="H30" s="76" t="s">
        <v>216</v>
      </c>
      <c r="I30" s="77">
        <v>3</v>
      </c>
      <c r="J30" s="77">
        <v>3.6363636363636367</v>
      </c>
      <c r="K30" s="95">
        <f t="shared" si="18"/>
        <v>0.53780343326885882</v>
      </c>
      <c r="L30" s="92">
        <f>(D30/F30)</f>
        <v>77.872340425531917</v>
      </c>
      <c r="M30" s="92" t="s">
        <v>72</v>
      </c>
      <c r="N30" s="92">
        <f t="shared" si="19"/>
        <v>1.6134102998065765</v>
      </c>
      <c r="O30" s="92">
        <f t="shared" si="20"/>
        <v>233.61702127659575</v>
      </c>
      <c r="AA30" t="s">
        <v>160</v>
      </c>
      <c r="AB30" s="49">
        <v>6</v>
      </c>
      <c r="AC30" s="49">
        <f>AI67</f>
        <v>348</v>
      </c>
      <c r="AE30" s="118" t="s">
        <v>287</v>
      </c>
      <c r="AF30" s="118">
        <v>317</v>
      </c>
      <c r="AH30" s="119" t="s">
        <v>289</v>
      </c>
      <c r="AI30" s="119">
        <v>117</v>
      </c>
    </row>
    <row r="31" spans="1:35" x14ac:dyDescent="0.3">
      <c r="A31" s="63" t="s">
        <v>171</v>
      </c>
      <c r="B31" s="59" t="s">
        <v>182</v>
      </c>
      <c r="C31" s="70" t="s">
        <v>72</v>
      </c>
      <c r="D31" s="68">
        <v>0</v>
      </c>
      <c r="E31" s="69">
        <v>91.5</v>
      </c>
      <c r="F31" s="61">
        <v>0.71</v>
      </c>
      <c r="G31" s="76">
        <v>1000</v>
      </c>
      <c r="H31" s="76" t="s">
        <v>203</v>
      </c>
      <c r="I31" s="77">
        <v>3</v>
      </c>
      <c r="J31" s="77">
        <f>I31/(G31/1000)</f>
        <v>3</v>
      </c>
      <c r="K31" s="95">
        <f t="shared" si="18"/>
        <v>0.12887323943661971</v>
      </c>
      <c r="L31" s="92">
        <f>(D31/F31)</f>
        <v>0</v>
      </c>
      <c r="M31" s="92" t="s">
        <v>72</v>
      </c>
      <c r="N31" s="92">
        <f t="shared" ref="N31:N35" si="21">K31*I31</f>
        <v>0.38661971830985914</v>
      </c>
      <c r="O31" s="92">
        <f t="shared" ref="O31:O35" si="22">L31*I31</f>
        <v>0</v>
      </c>
      <c r="AA31" t="s">
        <v>161</v>
      </c>
      <c r="AB31" s="49">
        <v>6</v>
      </c>
      <c r="AC31" s="49">
        <f>AI72</f>
        <v>154</v>
      </c>
      <c r="AE31" s="118" t="s">
        <v>330</v>
      </c>
      <c r="AF31" s="118">
        <v>337</v>
      </c>
      <c r="AH31" s="119" t="s">
        <v>265</v>
      </c>
      <c r="AI31" s="119">
        <v>22</v>
      </c>
    </row>
    <row r="32" spans="1:35" x14ac:dyDescent="0.3">
      <c r="A32" s="63" t="s">
        <v>55</v>
      </c>
      <c r="B32" s="64" t="s">
        <v>182</v>
      </c>
      <c r="C32" s="70" t="s">
        <v>72</v>
      </c>
      <c r="D32" s="68">
        <v>1107</v>
      </c>
      <c r="E32" s="69">
        <v>5778</v>
      </c>
      <c r="F32" s="60">
        <v>0.8</v>
      </c>
      <c r="G32" s="76">
        <v>1000</v>
      </c>
      <c r="H32" s="76" t="s">
        <v>196</v>
      </c>
      <c r="I32" s="77">
        <v>3</v>
      </c>
      <c r="J32" s="77">
        <f>I32/(G32/1000)</f>
        <v>3</v>
      </c>
      <c r="K32" s="95">
        <f t="shared" si="18"/>
        <v>7.2225000000000001</v>
      </c>
      <c r="L32" s="94">
        <f t="shared" ref="L32:L34" si="23">(D32/F32)/G32</f>
        <v>1.38375</v>
      </c>
      <c r="M32" s="92" t="s">
        <v>208</v>
      </c>
      <c r="N32" s="92">
        <f t="shared" si="21"/>
        <v>21.6675</v>
      </c>
      <c r="O32" s="92">
        <f t="shared" si="22"/>
        <v>4.1512500000000001</v>
      </c>
      <c r="AA32" t="s">
        <v>162</v>
      </c>
      <c r="AB32" s="49">
        <v>6</v>
      </c>
      <c r="AC32" s="49">
        <f>AI74</f>
        <v>203</v>
      </c>
      <c r="AE32" s="118" t="s">
        <v>259</v>
      </c>
      <c r="AF32" s="118">
        <v>43</v>
      </c>
      <c r="AH32" s="119" t="s">
        <v>290</v>
      </c>
      <c r="AI32" s="119">
        <v>349</v>
      </c>
    </row>
    <row r="33" spans="1:35" x14ac:dyDescent="0.3">
      <c r="A33" s="63" t="s">
        <v>83</v>
      </c>
      <c r="B33" s="64" t="s">
        <v>182</v>
      </c>
      <c r="C33" s="70" t="s">
        <v>72</v>
      </c>
      <c r="D33" s="68">
        <v>75.94</v>
      </c>
      <c r="E33" s="69">
        <v>382.28999999999996</v>
      </c>
      <c r="F33" s="60">
        <v>0.96</v>
      </c>
      <c r="G33" s="76">
        <v>1000</v>
      </c>
      <c r="H33" s="76" t="s">
        <v>196</v>
      </c>
      <c r="I33" s="77">
        <v>4</v>
      </c>
      <c r="J33" s="77">
        <f>I33/(G33/1000)</f>
        <v>4</v>
      </c>
      <c r="K33" s="95">
        <f t="shared" si="18"/>
        <v>0.39821875000000001</v>
      </c>
      <c r="L33" s="94">
        <f>(D33/F33)</f>
        <v>79.104166666666671</v>
      </c>
      <c r="M33" s="92" t="s">
        <v>72</v>
      </c>
      <c r="N33" s="92">
        <f t="shared" si="21"/>
        <v>1.592875</v>
      </c>
      <c r="O33" s="92">
        <f t="shared" si="22"/>
        <v>316.41666666666669</v>
      </c>
      <c r="AE33" s="118" t="s">
        <v>271</v>
      </c>
      <c r="AF33" s="118">
        <v>294</v>
      </c>
      <c r="AH33" s="119" t="s">
        <v>264</v>
      </c>
      <c r="AI33" s="119">
        <v>307</v>
      </c>
    </row>
    <row r="34" spans="1:35" x14ac:dyDescent="0.3">
      <c r="A34" s="62" t="s">
        <v>44</v>
      </c>
      <c r="B34" s="59" t="s">
        <v>182</v>
      </c>
      <c r="C34" s="67" t="s">
        <v>72</v>
      </c>
      <c r="D34" s="68">
        <v>1849.9427262313861</v>
      </c>
      <c r="E34" s="69">
        <v>1849.9427262313861</v>
      </c>
      <c r="F34" s="60">
        <v>0.9</v>
      </c>
      <c r="G34" s="76">
        <v>1000</v>
      </c>
      <c r="H34" s="76" t="s">
        <v>196</v>
      </c>
      <c r="I34" s="77">
        <v>3</v>
      </c>
      <c r="J34" s="77">
        <f>I34/(G34/1000)</f>
        <v>3</v>
      </c>
      <c r="K34" s="95">
        <f t="shared" si="18"/>
        <v>2.0554919180348734</v>
      </c>
      <c r="L34" s="95">
        <f t="shared" si="23"/>
        <v>2.0554919180348734</v>
      </c>
      <c r="M34" s="92" t="s">
        <v>208</v>
      </c>
      <c r="N34" s="92">
        <f t="shared" si="21"/>
        <v>6.1664757541046207</v>
      </c>
      <c r="O34" s="92">
        <f t="shared" si="22"/>
        <v>6.1664757541046207</v>
      </c>
      <c r="AE34" s="118" t="s">
        <v>291</v>
      </c>
      <c r="AF34" s="118">
        <v>128</v>
      </c>
      <c r="AH34" s="119" t="s">
        <v>259</v>
      </c>
      <c r="AI34" s="119">
        <v>42</v>
      </c>
    </row>
    <row r="35" spans="1:35" x14ac:dyDescent="0.3">
      <c r="A35" s="62" t="s">
        <v>56</v>
      </c>
      <c r="B35" s="59" t="s">
        <v>182</v>
      </c>
      <c r="C35" s="67" t="s">
        <v>72</v>
      </c>
      <c r="D35" s="68">
        <v>12012.2</v>
      </c>
      <c r="E35" s="69">
        <v>56327.7</v>
      </c>
      <c r="F35" s="60">
        <v>0.98</v>
      </c>
      <c r="G35" s="76">
        <v>1000</v>
      </c>
      <c r="H35" s="76" t="s">
        <v>196</v>
      </c>
      <c r="I35" s="77">
        <v>3.5</v>
      </c>
      <c r="J35" s="77">
        <f>I35/(G35/1000)</f>
        <v>3.5</v>
      </c>
      <c r="K35" s="95">
        <f t="shared" si="18"/>
        <v>57.477244897959181</v>
      </c>
      <c r="L35" s="95">
        <f>(D35/F35)/G35</f>
        <v>12.257346938775511</v>
      </c>
      <c r="M35" s="92" t="s">
        <v>208</v>
      </c>
      <c r="N35" s="92">
        <f t="shared" si="21"/>
        <v>201.17035714285714</v>
      </c>
      <c r="O35" s="92">
        <f t="shared" si="22"/>
        <v>42.900714285714287</v>
      </c>
      <c r="AE35" s="118" t="s">
        <v>264</v>
      </c>
      <c r="AF35" s="118">
        <v>128</v>
      </c>
      <c r="AH35" s="119" t="s">
        <v>293</v>
      </c>
      <c r="AI35" s="119">
        <v>172</v>
      </c>
    </row>
    <row r="36" spans="1:35" x14ac:dyDescent="0.3">
      <c r="A36" s="73"/>
      <c r="B36" s="73"/>
      <c r="C36" s="73"/>
      <c r="D36" s="73"/>
      <c r="E36" s="73"/>
      <c r="F36" s="74"/>
      <c r="G36" s="74"/>
      <c r="H36" s="74"/>
      <c r="I36" s="74"/>
      <c r="J36" s="74"/>
      <c r="K36" s="74"/>
      <c r="L36" s="74"/>
      <c r="M36" s="74"/>
      <c r="N36" s="74"/>
      <c r="O36" s="75"/>
      <c r="AE36" s="118" t="s">
        <v>292</v>
      </c>
      <c r="AF36" s="118">
        <v>194</v>
      </c>
      <c r="AH36" s="119" t="s">
        <v>281</v>
      </c>
      <c r="AI36" s="119">
        <v>172</v>
      </c>
    </row>
    <row r="37" spans="1:35" x14ac:dyDescent="0.3">
      <c r="AE37" s="118" t="s">
        <v>294</v>
      </c>
      <c r="AF37" s="118">
        <v>194</v>
      </c>
      <c r="AH37" s="119" t="s">
        <v>296</v>
      </c>
      <c r="AI37" s="119">
        <v>270</v>
      </c>
    </row>
    <row r="38" spans="1:35" x14ac:dyDescent="0.3">
      <c r="AE38" s="118" t="s">
        <v>295</v>
      </c>
      <c r="AF38" s="118">
        <v>229</v>
      </c>
      <c r="AH38" s="119" t="s">
        <v>297</v>
      </c>
      <c r="AI38" s="119">
        <v>239</v>
      </c>
    </row>
    <row r="39" spans="1:35" x14ac:dyDescent="0.3">
      <c r="AE39" s="118" t="s">
        <v>264</v>
      </c>
      <c r="AF39" s="118">
        <v>201</v>
      </c>
      <c r="AH39" s="119" t="s">
        <v>259</v>
      </c>
      <c r="AI39" s="119">
        <v>31</v>
      </c>
    </row>
    <row r="40" spans="1:35" x14ac:dyDescent="0.3">
      <c r="AE40" s="118" t="s">
        <v>259</v>
      </c>
      <c r="AF40" s="118">
        <v>28</v>
      </c>
      <c r="AH40" s="119" t="s">
        <v>299</v>
      </c>
      <c r="AI40" s="119">
        <v>156</v>
      </c>
    </row>
    <row r="41" spans="1:35" x14ac:dyDescent="0.3">
      <c r="AE41" s="118" t="s">
        <v>298</v>
      </c>
      <c r="AF41" s="118">
        <v>304</v>
      </c>
      <c r="AH41" s="119" t="s">
        <v>300</v>
      </c>
      <c r="AI41" s="119">
        <v>137</v>
      </c>
    </row>
    <row r="42" spans="1:35" x14ac:dyDescent="0.3">
      <c r="AE42" s="118" t="s">
        <v>261</v>
      </c>
      <c r="AF42" s="118">
        <v>304</v>
      </c>
      <c r="AH42" s="119" t="s">
        <v>259</v>
      </c>
      <c r="AI42" s="119">
        <v>19</v>
      </c>
    </row>
    <row r="43" spans="1:35" x14ac:dyDescent="0.3">
      <c r="AE43" s="118" t="s">
        <v>35</v>
      </c>
      <c r="AF43" s="118">
        <v>283</v>
      </c>
      <c r="AH43" s="119" t="s">
        <v>301</v>
      </c>
      <c r="AI43" s="119">
        <v>126</v>
      </c>
    </row>
    <row r="44" spans="1:35" x14ac:dyDescent="0.3">
      <c r="AH44" s="119" t="s">
        <v>264</v>
      </c>
      <c r="AI44" s="119">
        <v>104</v>
      </c>
    </row>
    <row r="45" spans="1:35" x14ac:dyDescent="0.3">
      <c r="AE45" s="120" t="s">
        <v>302</v>
      </c>
      <c r="AF45" s="120">
        <v>91</v>
      </c>
      <c r="AH45" s="119" t="s">
        <v>259</v>
      </c>
      <c r="AI45" s="119">
        <v>22</v>
      </c>
    </row>
    <row r="46" spans="1:35" x14ac:dyDescent="0.3">
      <c r="AE46" s="120" t="s">
        <v>303</v>
      </c>
      <c r="AF46" s="120">
        <v>234</v>
      </c>
      <c r="AH46" s="119" t="s">
        <v>304</v>
      </c>
      <c r="AI46" s="119">
        <v>440</v>
      </c>
    </row>
    <row r="47" spans="1:35" x14ac:dyDescent="0.3">
      <c r="AE47" s="120" t="s">
        <v>259</v>
      </c>
      <c r="AF47" s="120">
        <v>32</v>
      </c>
      <c r="AH47" s="119" t="s">
        <v>306</v>
      </c>
      <c r="AI47" s="119">
        <v>115</v>
      </c>
    </row>
    <row r="48" spans="1:35" x14ac:dyDescent="0.3">
      <c r="AE48" s="120" t="s">
        <v>305</v>
      </c>
      <c r="AF48" s="120">
        <v>202</v>
      </c>
      <c r="AH48" s="119" t="s">
        <v>257</v>
      </c>
      <c r="AI48" s="119">
        <v>115</v>
      </c>
    </row>
    <row r="49" spans="31:35" x14ac:dyDescent="0.3">
      <c r="AE49" s="120" t="s">
        <v>307</v>
      </c>
      <c r="AF49" s="120">
        <v>149</v>
      </c>
      <c r="AH49" s="119" t="s">
        <v>129</v>
      </c>
      <c r="AI49" s="119">
        <v>194</v>
      </c>
    </row>
    <row r="50" spans="31:35" x14ac:dyDescent="0.3">
      <c r="AE50" s="120" t="s">
        <v>261</v>
      </c>
      <c r="AF50" s="120">
        <v>149</v>
      </c>
      <c r="AH50" s="119" t="s">
        <v>261</v>
      </c>
      <c r="AI50" s="119">
        <v>194</v>
      </c>
    </row>
    <row r="51" spans="31:35" x14ac:dyDescent="0.3">
      <c r="AE51" s="120" t="s">
        <v>308</v>
      </c>
      <c r="AF51" s="120">
        <v>271</v>
      </c>
      <c r="AH51" s="119" t="s">
        <v>309</v>
      </c>
      <c r="AI51" s="119">
        <v>64</v>
      </c>
    </row>
    <row r="52" spans="31:35" x14ac:dyDescent="0.3">
      <c r="AE52" s="120" t="s">
        <v>264</v>
      </c>
      <c r="AF52" s="120">
        <v>245</v>
      </c>
    </row>
    <row r="53" spans="31:35" x14ac:dyDescent="0.3">
      <c r="AE53" s="120" t="s">
        <v>259</v>
      </c>
      <c r="AF53" s="120">
        <v>26</v>
      </c>
      <c r="AH53" s="121" t="s">
        <v>254</v>
      </c>
      <c r="AI53" s="121">
        <v>152</v>
      </c>
    </row>
    <row r="54" spans="31:35" x14ac:dyDescent="0.3">
      <c r="AE54" s="120" t="s">
        <v>310</v>
      </c>
      <c r="AF54" s="120">
        <v>235</v>
      </c>
      <c r="AH54" s="121" t="s">
        <v>110</v>
      </c>
      <c r="AI54" s="121">
        <v>94</v>
      </c>
    </row>
    <row r="55" spans="31:35" x14ac:dyDescent="0.3">
      <c r="AE55" s="120" t="s">
        <v>259</v>
      </c>
      <c r="AF55" s="120">
        <v>28</v>
      </c>
      <c r="AH55" s="121" t="s">
        <v>311</v>
      </c>
      <c r="AI55" s="121">
        <v>218</v>
      </c>
    </row>
    <row r="56" spans="31:35" x14ac:dyDescent="0.3">
      <c r="AE56" s="120" t="s">
        <v>271</v>
      </c>
      <c r="AF56" s="120">
        <v>207</v>
      </c>
      <c r="AH56" s="121" t="s">
        <v>259</v>
      </c>
      <c r="AI56" s="121">
        <v>31</v>
      </c>
    </row>
    <row r="57" spans="31:35" x14ac:dyDescent="0.3">
      <c r="AE57" s="120" t="s">
        <v>312</v>
      </c>
      <c r="AF57" s="120">
        <v>366</v>
      </c>
      <c r="AH57" s="121" t="s">
        <v>313</v>
      </c>
      <c r="AI57" s="121">
        <v>187</v>
      </c>
    </row>
    <row r="58" spans="31:35" x14ac:dyDescent="0.3">
      <c r="AE58" s="120" t="s">
        <v>259</v>
      </c>
      <c r="AF58" s="120">
        <v>60</v>
      </c>
      <c r="AH58" s="121" t="s">
        <v>315</v>
      </c>
      <c r="AI58" s="121">
        <v>295</v>
      </c>
    </row>
    <row r="59" spans="31:35" x14ac:dyDescent="0.3">
      <c r="AE59" s="120" t="s">
        <v>314</v>
      </c>
      <c r="AF59" s="120">
        <v>306</v>
      </c>
      <c r="AH59" s="121" t="s">
        <v>264</v>
      </c>
      <c r="AI59" s="121">
        <v>274</v>
      </c>
    </row>
    <row r="60" spans="31:35" x14ac:dyDescent="0.3">
      <c r="AE60" s="120" t="s">
        <v>316</v>
      </c>
      <c r="AF60" s="120">
        <v>224</v>
      </c>
      <c r="AH60" s="121" t="s">
        <v>259</v>
      </c>
      <c r="AI60" s="121">
        <v>21</v>
      </c>
    </row>
    <row r="61" spans="31:35" x14ac:dyDescent="0.3">
      <c r="AE61" s="120" t="s">
        <v>264</v>
      </c>
      <c r="AF61" s="120">
        <v>224</v>
      </c>
      <c r="AH61" s="121" t="s">
        <v>318</v>
      </c>
      <c r="AI61" s="121">
        <v>210</v>
      </c>
    </row>
    <row r="62" spans="31:35" x14ac:dyDescent="0.3">
      <c r="AE62" s="120" t="s">
        <v>317</v>
      </c>
      <c r="AF62" s="120">
        <v>255</v>
      </c>
      <c r="AH62" s="121" t="s">
        <v>259</v>
      </c>
      <c r="AI62" s="121">
        <v>23</v>
      </c>
    </row>
    <row r="63" spans="31:35" x14ac:dyDescent="0.3">
      <c r="AE63" s="120" t="s">
        <v>319</v>
      </c>
      <c r="AF63" s="120">
        <v>255</v>
      </c>
      <c r="AH63" s="121" t="s">
        <v>320</v>
      </c>
      <c r="AI63" s="121">
        <v>187</v>
      </c>
    </row>
    <row r="64" spans="31:35" x14ac:dyDescent="0.3">
      <c r="AE64" s="120" t="s">
        <v>114</v>
      </c>
      <c r="AF64" s="120">
        <v>131</v>
      </c>
      <c r="AH64" s="121" t="s">
        <v>321</v>
      </c>
      <c r="AI64" s="121">
        <v>134</v>
      </c>
    </row>
    <row r="65" spans="31:35" x14ac:dyDescent="0.3">
      <c r="AE65" s="120" t="s">
        <v>261</v>
      </c>
      <c r="AF65" s="120">
        <v>131</v>
      </c>
      <c r="AH65" s="121" t="s">
        <v>259</v>
      </c>
      <c r="AI65" s="121">
        <v>15</v>
      </c>
    </row>
    <row r="66" spans="31:35" x14ac:dyDescent="0.3">
      <c r="AE66" s="120" t="s">
        <v>93</v>
      </c>
      <c r="AF66" s="120">
        <v>141</v>
      </c>
      <c r="AH66" s="121" t="s">
        <v>322</v>
      </c>
      <c r="AI66" s="121">
        <v>119</v>
      </c>
    </row>
    <row r="67" spans="31:35" x14ac:dyDescent="0.3">
      <c r="AE67" s="120" t="s">
        <v>261</v>
      </c>
      <c r="AF67" s="120">
        <v>141</v>
      </c>
      <c r="AH67" s="121" t="s">
        <v>324</v>
      </c>
      <c r="AI67" s="121">
        <v>348</v>
      </c>
    </row>
    <row r="68" spans="31:35" x14ac:dyDescent="0.3">
      <c r="AE68" s="120" t="s">
        <v>323</v>
      </c>
      <c r="AF68" s="120">
        <v>93</v>
      </c>
      <c r="AH68" s="121" t="s">
        <v>259</v>
      </c>
      <c r="AI68" s="121">
        <v>27</v>
      </c>
    </row>
    <row r="69" spans="31:35" x14ac:dyDescent="0.3">
      <c r="AE69" s="120" t="s">
        <v>325</v>
      </c>
      <c r="AF69" s="120">
        <v>417</v>
      </c>
      <c r="AH69" s="121" t="s">
        <v>269</v>
      </c>
      <c r="AI69" s="121">
        <v>321</v>
      </c>
    </row>
    <row r="70" spans="31:35" x14ac:dyDescent="0.3">
      <c r="AH70" s="121" t="s">
        <v>326</v>
      </c>
      <c r="AI70" s="121">
        <v>181</v>
      </c>
    </row>
    <row r="71" spans="31:35" x14ac:dyDescent="0.3">
      <c r="AH71" s="121" t="s">
        <v>264</v>
      </c>
      <c r="AI71" s="121">
        <v>181</v>
      </c>
    </row>
    <row r="72" spans="31:35" x14ac:dyDescent="0.3">
      <c r="AH72" s="121" t="s">
        <v>114</v>
      </c>
      <c r="AI72" s="121">
        <v>154</v>
      </c>
    </row>
    <row r="73" spans="31:35" x14ac:dyDescent="0.3">
      <c r="AH73" s="121" t="s">
        <v>261</v>
      </c>
      <c r="AI73" s="121">
        <v>154</v>
      </c>
    </row>
    <row r="74" spans="31:35" x14ac:dyDescent="0.3">
      <c r="AH74" s="121" t="s">
        <v>327</v>
      </c>
      <c r="AI74" s="121">
        <v>203</v>
      </c>
    </row>
    <row r="75" spans="31:35" x14ac:dyDescent="0.3">
      <c r="AH75" s="121" t="s">
        <v>261</v>
      </c>
      <c r="AI75" s="121">
        <v>203</v>
      </c>
    </row>
    <row r="76" spans="31:35" x14ac:dyDescent="0.3">
      <c r="AH76" s="121" t="s">
        <v>328</v>
      </c>
      <c r="AI76" s="121">
        <v>94</v>
      </c>
    </row>
  </sheetData>
  <autoFilter ref="A1:O35" xr:uid="{30982B86-28F2-40FF-8C0E-8824881AD859}"/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00B050"/>
    <pageSetUpPr fitToPage="1"/>
  </sheetPr>
  <dimension ref="A1:Y27"/>
  <sheetViews>
    <sheetView topLeftCell="C1" zoomScale="55" zoomScaleNormal="55" zoomScaleSheetLayoutView="100" workbookViewId="0">
      <selection activeCell="Q19" sqref="Q19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3" max="15" width="1.9140625" customWidth="1"/>
    <col min="17" max="17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Q20</f>
        <v>337</v>
      </c>
      <c r="F1" s="17" t="s">
        <v>2</v>
      </c>
      <c r="G1" s="10">
        <f>D1/B1</f>
        <v>337</v>
      </c>
      <c r="H1" s="17" t="s">
        <v>3</v>
      </c>
      <c r="I1" s="21">
        <v>20</v>
      </c>
      <c r="J1" s="1"/>
      <c r="K1" s="23" t="s">
        <v>4</v>
      </c>
      <c r="U1" s="122" t="s">
        <v>329</v>
      </c>
      <c r="V1" s="123">
        <v>335</v>
      </c>
    </row>
    <row r="2" spans="1:25" ht="14.25" customHeight="1" x14ac:dyDescent="0.3">
      <c r="A2" s="53"/>
      <c r="B2" s="130" t="s">
        <v>217</v>
      </c>
      <c r="C2" s="130"/>
      <c r="D2" s="130"/>
      <c r="E2" s="130"/>
      <c r="F2" s="130"/>
      <c r="G2" s="130"/>
      <c r="H2" s="130"/>
      <c r="I2" s="32"/>
      <c r="J2" s="32"/>
      <c r="K2" s="33"/>
    </row>
    <row r="3" spans="1:25" ht="14.25" customHeight="1" x14ac:dyDescent="0.3">
      <c r="A3" s="54"/>
      <c r="B3" s="130" t="s">
        <v>218</v>
      </c>
      <c r="C3" s="130"/>
      <c r="D3" s="130"/>
      <c r="E3" s="130"/>
      <c r="F3" s="130"/>
      <c r="G3" s="130"/>
      <c r="H3" s="130"/>
      <c r="I3" s="31"/>
      <c r="J3" s="31"/>
      <c r="K3" s="34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0" t="s">
        <v>13</v>
      </c>
      <c r="I4" s="83" t="s">
        <v>211</v>
      </c>
      <c r="J4" s="83" t="s">
        <v>14</v>
      </c>
      <c r="K4" s="83" t="s">
        <v>15</v>
      </c>
      <c r="L4" s="83" t="s">
        <v>244</v>
      </c>
    </row>
    <row r="5" spans="1:25" ht="14.5" x14ac:dyDescent="0.35">
      <c r="A5" s="11"/>
      <c r="B5" s="11" t="s">
        <v>47</v>
      </c>
      <c r="C5" s="16" t="s">
        <v>175</v>
      </c>
      <c r="D5" s="15">
        <v>1.215066828675577</v>
      </c>
      <c r="E5" s="12">
        <f t="shared" ref="E5:E10" si="0">$G$1</f>
        <v>337</v>
      </c>
      <c r="F5" s="13">
        <v>1</v>
      </c>
      <c r="G5" s="12">
        <f t="shared" ref="G5:G10" si="1">E5*D5</f>
        <v>409.47752126366947</v>
      </c>
      <c r="H5" s="81">
        <f t="shared" ref="H5:H10" si="2">G5*F5</f>
        <v>409.47752126366947</v>
      </c>
      <c r="I5" s="86">
        <f>VLOOKUP(B5,Ordering!$A$1:$J$36,6,FALSE)</f>
        <v>1</v>
      </c>
      <c r="J5" s="84">
        <f>VLOOKUP(B5,Ordering!$A$1:$J$36,10,FALSE)</f>
        <v>5</v>
      </c>
      <c r="K5" s="15">
        <f t="shared" ref="K5:K10" si="3">((H5/(I5))/1000)</f>
        <v>0.40947752126366949</v>
      </c>
      <c r="L5" s="99">
        <f>J5*K5</f>
        <v>2.0473876063183476</v>
      </c>
    </row>
    <row r="6" spans="1:25" ht="14.5" x14ac:dyDescent="0.35">
      <c r="A6" s="11"/>
      <c r="B6" s="11" t="s">
        <v>48</v>
      </c>
      <c r="C6" s="16" t="s">
        <v>17</v>
      </c>
      <c r="D6" s="15">
        <v>2.4301336573511544E-2</v>
      </c>
      <c r="E6" s="12">
        <f t="shared" si="0"/>
        <v>337</v>
      </c>
      <c r="F6" s="13">
        <v>1</v>
      </c>
      <c r="G6" s="12">
        <f t="shared" si="1"/>
        <v>8.1895504252733904</v>
      </c>
      <c r="H6" s="81">
        <f t="shared" si="2"/>
        <v>8.1895504252733904</v>
      </c>
      <c r="I6" s="86">
        <f>VLOOKUP(B6,Ordering!$A$1:$J$36,6,FALSE)</f>
        <v>1</v>
      </c>
      <c r="J6" s="84">
        <f>VLOOKUP(B6,Ordering!$A$1:$J$36,10,FALSE)</f>
        <v>8</v>
      </c>
      <c r="K6" s="15">
        <f t="shared" si="3"/>
        <v>8.1895504252733897E-3</v>
      </c>
      <c r="L6" s="99">
        <f t="shared" ref="L6:L10" si="4">J6*K6</f>
        <v>6.5516403402187118E-2</v>
      </c>
    </row>
    <row r="7" spans="1:25" ht="14.5" x14ac:dyDescent="0.35">
      <c r="A7" s="11"/>
      <c r="B7" s="11" t="s">
        <v>49</v>
      </c>
      <c r="C7" s="16" t="s">
        <v>17</v>
      </c>
      <c r="D7" s="15">
        <v>8.910490076954232E-2</v>
      </c>
      <c r="E7" s="12">
        <f t="shared" si="0"/>
        <v>337</v>
      </c>
      <c r="F7" s="13">
        <v>1</v>
      </c>
      <c r="G7" s="12">
        <f t="shared" si="1"/>
        <v>30.028351559335761</v>
      </c>
      <c r="H7" s="81">
        <f t="shared" si="2"/>
        <v>30.028351559335761</v>
      </c>
      <c r="I7" s="86">
        <f>VLOOKUP(B7,Ordering!$A$1:$J$36,6,FALSE)</f>
        <v>1</v>
      </c>
      <c r="J7" s="84">
        <f>VLOOKUP(B7,Ordering!$A$1:$J$36,10,FALSE)</f>
        <v>0.74</v>
      </c>
      <c r="K7" s="15">
        <f t="shared" si="3"/>
        <v>3.002835155933576E-2</v>
      </c>
      <c r="L7" s="99">
        <f t="shared" si="4"/>
        <v>2.2220980153908464E-2</v>
      </c>
      <c r="P7" s="44"/>
      <c r="V7" s="97"/>
    </row>
    <row r="8" spans="1:25" ht="14.5" x14ac:dyDescent="0.35">
      <c r="A8" s="11"/>
      <c r="B8" s="11" t="s">
        <v>50</v>
      </c>
      <c r="C8" s="16" t="s">
        <v>175</v>
      </c>
      <c r="D8" s="15">
        <v>10.54678007290401</v>
      </c>
      <c r="E8" s="12">
        <f t="shared" si="0"/>
        <v>337</v>
      </c>
      <c r="F8" s="13">
        <v>1</v>
      </c>
      <c r="G8" s="12">
        <f t="shared" si="1"/>
        <v>3554.2648845686513</v>
      </c>
      <c r="H8" s="81">
        <f t="shared" si="2"/>
        <v>3554.2648845686513</v>
      </c>
      <c r="I8" s="86">
        <f>VLOOKUP(B8,Ordering!$A$1:$J$36,6,FALSE)</f>
        <v>1</v>
      </c>
      <c r="J8" s="84">
        <f>VLOOKUP(B8,Ordering!$A$1:$J$36,10,FALSE)</f>
        <v>0</v>
      </c>
      <c r="K8" s="15">
        <f t="shared" si="3"/>
        <v>3.5542648845686511</v>
      </c>
      <c r="L8" s="99">
        <f t="shared" si="4"/>
        <v>0</v>
      </c>
      <c r="V8" s="89" t="s">
        <v>243</v>
      </c>
      <c r="W8" s="90">
        <v>1</v>
      </c>
      <c r="X8" s="89" t="s">
        <v>244</v>
      </c>
      <c r="Y8" s="91">
        <f>(SUM(L5:L10)/Q20)*W8</f>
        <v>8.8093479141352779E-2</v>
      </c>
    </row>
    <row r="9" spans="1:25" ht="14.5" x14ac:dyDescent="0.35">
      <c r="A9" s="11"/>
      <c r="B9" s="11" t="s">
        <v>168</v>
      </c>
      <c r="C9" s="16" t="s">
        <v>17</v>
      </c>
      <c r="D9" s="15">
        <v>2.4301336573511544E-2</v>
      </c>
      <c r="E9" s="12">
        <f t="shared" si="0"/>
        <v>337</v>
      </c>
      <c r="F9" s="13">
        <v>1</v>
      </c>
      <c r="G9" s="12">
        <f t="shared" si="1"/>
        <v>8.1895504252733904</v>
      </c>
      <c r="H9" s="81">
        <f t="shared" si="2"/>
        <v>8.1895504252733904</v>
      </c>
      <c r="I9" s="86">
        <f>VLOOKUP(B9,Ordering!$A$1:$J$36,6,FALSE)</f>
        <v>1</v>
      </c>
      <c r="J9" s="84">
        <f>VLOOKUP(B9,Ordering!$A$1:$J$36,10,FALSE)</f>
        <v>31</v>
      </c>
      <c r="K9" s="15">
        <f t="shared" si="3"/>
        <v>8.1895504252733897E-3</v>
      </c>
      <c r="L9" s="99">
        <f t="shared" si="4"/>
        <v>0.25387606318347511</v>
      </c>
    </row>
    <row r="10" spans="1:25" ht="14.5" x14ac:dyDescent="0.35">
      <c r="A10" s="11"/>
      <c r="B10" s="11" t="s">
        <v>204</v>
      </c>
      <c r="C10" s="16" t="s">
        <v>17</v>
      </c>
      <c r="D10" s="15">
        <v>8.1004455245038471</v>
      </c>
      <c r="E10" s="12">
        <f t="shared" si="0"/>
        <v>337</v>
      </c>
      <c r="F10" s="13">
        <v>1</v>
      </c>
      <c r="G10" s="12">
        <f t="shared" si="1"/>
        <v>2729.8501417577963</v>
      </c>
      <c r="H10" s="81">
        <f t="shared" si="2"/>
        <v>2729.8501417577963</v>
      </c>
      <c r="I10" s="86">
        <f>VLOOKUP(B10,Ordering!$A$1:$J$36,6,FALSE)</f>
        <v>1</v>
      </c>
      <c r="J10" s="84">
        <f>VLOOKUP(B10,Ordering!$A$1:$J$36,10,FALSE)</f>
        <v>10</v>
      </c>
      <c r="K10" s="15">
        <f t="shared" si="3"/>
        <v>2.7298501417577965</v>
      </c>
      <c r="L10" s="99">
        <f t="shared" si="4"/>
        <v>27.298501417577967</v>
      </c>
    </row>
    <row r="11" spans="1:25" x14ac:dyDescent="0.3">
      <c r="F11" s="106" t="s">
        <v>246</v>
      </c>
      <c r="G11" s="107">
        <f>Q20</f>
        <v>337</v>
      </c>
    </row>
    <row r="12" spans="1:25" ht="14.75" customHeight="1" x14ac:dyDescent="0.3">
      <c r="M12" s="22"/>
    </row>
    <row r="13" spans="1:25" ht="14.75" customHeight="1" x14ac:dyDescent="0.3"/>
    <row r="14" spans="1:25" ht="14.75" customHeight="1" x14ac:dyDescent="0.3"/>
    <row r="15" spans="1:25" x14ac:dyDescent="0.3">
      <c r="P15" s="128"/>
      <c r="Q15" s="129"/>
    </row>
    <row r="16" spans="1:25" x14ac:dyDescent="0.3">
      <c r="P16" s="126"/>
      <c r="Q16" s="12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335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337</v>
      </c>
    </row>
    <row r="21" spans="11:17" x14ac:dyDescent="0.3">
      <c r="P21" s="87" t="s">
        <v>244</v>
      </c>
      <c r="Q21" s="96">
        <f>SUM(L5:L10)</f>
        <v>29.687502470635884</v>
      </c>
    </row>
    <row r="27" spans="11:17" x14ac:dyDescent="0.3">
      <c r="K27" s="20"/>
    </row>
  </sheetData>
  <mergeCells count="4">
    <mergeCell ref="P16:Q16"/>
    <mergeCell ref="P15:Q15"/>
    <mergeCell ref="B2:H2"/>
    <mergeCell ref="B3:H3"/>
  </mergeCells>
  <printOptions horizontalCentered="1"/>
  <pageMargins left="0.4" right="0.4" top="1" bottom="0.5" header="0.3" footer="0.3"/>
  <pageSetup paperSize="9" scale="45" orientation="landscape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00B050"/>
    <pageSetUpPr fitToPage="1"/>
  </sheetPr>
  <dimension ref="A1:Y27"/>
  <sheetViews>
    <sheetView topLeftCell="J1" zoomScale="70" zoomScaleNormal="70" zoomScaleSheetLayoutView="100" workbookViewId="0">
      <selection activeCell="Q19" sqref="Q19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3" max="15" width="2.4140625" customWidth="1"/>
    <col min="19" max="19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Q20</f>
        <v>337</v>
      </c>
      <c r="F1" s="17" t="s">
        <v>2</v>
      </c>
      <c r="G1" s="10">
        <f>D1/B1</f>
        <v>337</v>
      </c>
      <c r="H1" s="17" t="s">
        <v>3</v>
      </c>
      <c r="I1" s="21">
        <v>20</v>
      </c>
      <c r="J1" s="1"/>
      <c r="K1" s="23" t="s">
        <v>4</v>
      </c>
      <c r="U1" s="124" t="s">
        <v>329</v>
      </c>
      <c r="V1" s="125">
        <v>335</v>
      </c>
    </row>
    <row r="2" spans="1:25" ht="14.25" customHeight="1" x14ac:dyDescent="0.3">
      <c r="A2" s="52"/>
      <c r="B2" s="131" t="s">
        <v>137</v>
      </c>
      <c r="C2" s="130"/>
      <c r="D2" s="130"/>
      <c r="E2" s="130"/>
      <c r="F2" s="130"/>
      <c r="G2" s="130"/>
      <c r="H2" s="132"/>
      <c r="I2" s="32"/>
      <c r="J2" s="32"/>
      <c r="K2" s="33"/>
    </row>
    <row r="3" spans="1:25" ht="14.25" customHeight="1" x14ac:dyDescent="0.3">
      <c r="A3" s="54"/>
      <c r="B3" s="130" t="s">
        <v>218</v>
      </c>
      <c r="C3" s="130"/>
      <c r="D3" s="130"/>
      <c r="E3" s="130"/>
      <c r="F3" s="130"/>
      <c r="G3" s="130"/>
      <c r="H3" s="130"/>
      <c r="I3" s="31"/>
      <c r="J3" s="31"/>
      <c r="K3" s="34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0" t="s">
        <v>13</v>
      </c>
      <c r="I4" s="83" t="s">
        <v>211</v>
      </c>
      <c r="J4" s="83" t="s">
        <v>14</v>
      </c>
      <c r="K4" s="83" t="s">
        <v>15</v>
      </c>
      <c r="L4" s="83" t="s">
        <v>244</v>
      </c>
    </row>
    <row r="5" spans="1:25" ht="14.5" x14ac:dyDescent="0.35">
      <c r="A5" s="11"/>
      <c r="B5" s="11" t="s">
        <v>56</v>
      </c>
      <c r="C5" s="16" t="s">
        <v>17</v>
      </c>
      <c r="D5" s="15">
        <v>19.3</v>
      </c>
      <c r="E5" s="12">
        <f t="shared" ref="E5:E10" si="0">$G$1</f>
        <v>337</v>
      </c>
      <c r="F5" s="13">
        <v>1</v>
      </c>
      <c r="G5" s="12">
        <f t="shared" ref="G5:G10" si="1">E5*D5</f>
        <v>6504.1</v>
      </c>
      <c r="H5" s="81">
        <f t="shared" ref="H5:H10" si="2">G5*F5</f>
        <v>6504.1</v>
      </c>
      <c r="I5" s="11">
        <f>VLOOKUP(B5,Ordering!$A$1:$J$36,6,FALSE)</f>
        <v>0.98</v>
      </c>
      <c r="J5" s="84">
        <f>VLOOKUP(B5,Ordering!$A$1:$J$36,10,FALSE)</f>
        <v>3.5</v>
      </c>
      <c r="K5" s="15">
        <f t="shared" ref="K5:K10" si="3">((H5/(I5))/1000)</f>
        <v>6.6368367346938779</v>
      </c>
      <c r="L5" s="99">
        <f>J5*K5</f>
        <v>23.228928571428572</v>
      </c>
    </row>
    <row r="6" spans="1:25" ht="14.5" x14ac:dyDescent="0.35">
      <c r="A6" s="11"/>
      <c r="B6" s="11" t="s">
        <v>83</v>
      </c>
      <c r="C6" s="16" t="s">
        <v>17</v>
      </c>
      <c r="D6" s="15">
        <v>0.11</v>
      </c>
      <c r="E6" s="12">
        <f t="shared" si="0"/>
        <v>337</v>
      </c>
      <c r="F6" s="13">
        <v>1</v>
      </c>
      <c r="G6" s="12">
        <f t="shared" si="1"/>
        <v>37.07</v>
      </c>
      <c r="H6" s="81">
        <f t="shared" si="2"/>
        <v>37.07</v>
      </c>
      <c r="I6" s="11">
        <f>VLOOKUP(B6,Ordering!$A$1:$J$36,6,FALSE)</f>
        <v>0.96</v>
      </c>
      <c r="J6" s="84">
        <f>VLOOKUP(B6,Ordering!$A$1:$J$36,10,FALSE)</f>
        <v>4</v>
      </c>
      <c r="K6" s="15">
        <f t="shared" si="3"/>
        <v>3.8614583333333334E-2</v>
      </c>
      <c r="L6" s="99">
        <f t="shared" ref="L6:L10" si="4">J6*K6</f>
        <v>0.15445833333333334</v>
      </c>
    </row>
    <row r="7" spans="1:25" ht="14.5" x14ac:dyDescent="0.35">
      <c r="A7" s="11"/>
      <c r="B7" s="11" t="s">
        <v>172</v>
      </c>
      <c r="C7" s="16" t="s">
        <v>17</v>
      </c>
      <c r="D7" s="15">
        <v>0.12</v>
      </c>
      <c r="E7" s="12">
        <f t="shared" si="0"/>
        <v>337</v>
      </c>
      <c r="F7" s="13">
        <v>1</v>
      </c>
      <c r="G7" s="12">
        <f t="shared" si="1"/>
        <v>40.44</v>
      </c>
      <c r="H7" s="81">
        <f t="shared" si="2"/>
        <v>40.44</v>
      </c>
      <c r="I7" s="11">
        <f>VLOOKUP(B7,Ordering!$A$1:$J$36,6,FALSE)</f>
        <v>0.94</v>
      </c>
      <c r="J7" s="84">
        <f>VLOOKUP(B7,Ordering!$A$1:$J$36,10,FALSE)</f>
        <v>3.6363636363636367</v>
      </c>
      <c r="K7" s="15">
        <f t="shared" si="3"/>
        <v>4.302127659574468E-2</v>
      </c>
      <c r="L7" s="99">
        <f t="shared" si="4"/>
        <v>0.15644100580270795</v>
      </c>
      <c r="R7" s="44"/>
    </row>
    <row r="8" spans="1:25" ht="14.5" x14ac:dyDescent="0.35">
      <c r="A8" s="11"/>
      <c r="B8" s="11" t="s">
        <v>187</v>
      </c>
      <c r="C8" s="16" t="s">
        <v>17</v>
      </c>
      <c r="D8" s="100">
        <v>6.9999999999999999E-4</v>
      </c>
      <c r="E8" s="12">
        <f t="shared" si="0"/>
        <v>337</v>
      </c>
      <c r="F8" s="13">
        <v>1</v>
      </c>
      <c r="G8" s="12">
        <f t="shared" si="1"/>
        <v>0.2359</v>
      </c>
      <c r="H8" s="82">
        <f t="shared" si="2"/>
        <v>0.2359</v>
      </c>
      <c r="I8" s="11">
        <f>VLOOKUP(B8,Ordering!$A$1:$J$36,6,FALSE)</f>
        <v>1</v>
      </c>
      <c r="J8" s="84">
        <f>VLOOKUP(B8,Ordering!$A$1:$J$36,10,FALSE)</f>
        <v>35</v>
      </c>
      <c r="K8" s="100">
        <f t="shared" si="3"/>
        <v>2.3589999999999999E-4</v>
      </c>
      <c r="L8" s="99">
        <f t="shared" si="4"/>
        <v>8.2565E-3</v>
      </c>
      <c r="V8" s="89" t="s">
        <v>243</v>
      </c>
      <c r="W8" s="90">
        <v>1</v>
      </c>
      <c r="X8" s="89" t="s">
        <v>244</v>
      </c>
      <c r="Y8" s="91">
        <f>(SUM(L5:L10)/Q20)*W8</f>
        <v>6.9924461396334181E-2</v>
      </c>
    </row>
    <row r="9" spans="1:25" ht="14.5" x14ac:dyDescent="0.35">
      <c r="A9" s="11"/>
      <c r="B9" s="11" t="s">
        <v>49</v>
      </c>
      <c r="C9" s="16" t="s">
        <v>17</v>
      </c>
      <c r="D9" s="15">
        <v>6.6000000000000003E-2</v>
      </c>
      <c r="E9" s="12">
        <f t="shared" si="0"/>
        <v>337</v>
      </c>
      <c r="F9" s="13">
        <v>1</v>
      </c>
      <c r="G9" s="12">
        <f t="shared" si="1"/>
        <v>22.242000000000001</v>
      </c>
      <c r="H9" s="81">
        <f t="shared" si="2"/>
        <v>22.242000000000001</v>
      </c>
      <c r="I9" s="11">
        <f>VLOOKUP(B9,Ordering!$A$1:$J$36,6,FALSE)</f>
        <v>1</v>
      </c>
      <c r="J9" s="84">
        <f>VLOOKUP(B9,Ordering!$A$1:$J$36,10,FALSE)</f>
        <v>0.74</v>
      </c>
      <c r="K9" s="15">
        <f t="shared" si="3"/>
        <v>2.2242000000000001E-2</v>
      </c>
      <c r="L9" s="99">
        <f t="shared" si="4"/>
        <v>1.6459080000000001E-2</v>
      </c>
    </row>
    <row r="10" spans="1:25" ht="14.5" x14ac:dyDescent="0.35">
      <c r="A10" s="11"/>
      <c r="B10" s="11" t="s">
        <v>50</v>
      </c>
      <c r="C10" s="16" t="s">
        <v>175</v>
      </c>
      <c r="D10" s="15">
        <v>0.40899999999999997</v>
      </c>
      <c r="E10" s="12">
        <f t="shared" si="0"/>
        <v>337</v>
      </c>
      <c r="F10" s="13">
        <v>1</v>
      </c>
      <c r="G10" s="12">
        <f t="shared" si="1"/>
        <v>137.833</v>
      </c>
      <c r="H10" s="81">
        <f t="shared" si="2"/>
        <v>137.833</v>
      </c>
      <c r="I10" s="11">
        <f>VLOOKUP(B10,Ordering!$A$1:$J$36,6,FALSE)</f>
        <v>1</v>
      </c>
      <c r="J10" s="84">
        <f>VLOOKUP(B10,Ordering!$A$1:$J$36,10,FALSE)</f>
        <v>0</v>
      </c>
      <c r="K10" s="15">
        <f t="shared" si="3"/>
        <v>0.13783300000000001</v>
      </c>
      <c r="L10" s="102">
        <f t="shared" si="4"/>
        <v>0</v>
      </c>
    </row>
    <row r="11" spans="1:25" x14ac:dyDescent="0.3">
      <c r="F11" s="106" t="s">
        <v>246</v>
      </c>
      <c r="G11" s="107">
        <f>Q20</f>
        <v>337</v>
      </c>
      <c r="M11" s="101"/>
      <c r="N11" s="22"/>
    </row>
    <row r="12" spans="1:25" ht="14.75" customHeight="1" x14ac:dyDescent="0.3">
      <c r="M12" s="101"/>
      <c r="N12" s="22"/>
      <c r="O12" s="22"/>
    </row>
    <row r="13" spans="1:25" ht="14.75" customHeight="1" x14ac:dyDescent="0.3"/>
    <row r="14" spans="1:25" ht="14.75" customHeight="1" x14ac:dyDescent="0.3"/>
    <row r="15" spans="1:25" x14ac:dyDescent="0.3">
      <c r="P15" s="128"/>
      <c r="Q15" s="129"/>
    </row>
    <row r="16" spans="1:25" x14ac:dyDescent="0.3">
      <c r="P16" s="126"/>
      <c r="Q16" s="12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335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337</v>
      </c>
    </row>
    <row r="21" spans="11:17" x14ac:dyDescent="0.3">
      <c r="P21" s="87" t="s">
        <v>244</v>
      </c>
      <c r="Q21" s="88">
        <f>SUM(L5:L10)</f>
        <v>23.564543490564617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5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00B050"/>
    <pageSetUpPr fitToPage="1"/>
  </sheetPr>
  <dimension ref="A1:Y27"/>
  <sheetViews>
    <sheetView topLeftCell="M1" zoomScale="70" zoomScaleNormal="70" zoomScaleSheetLayoutView="100" workbookViewId="0">
      <selection activeCell="Q19" sqref="Q19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Q20</f>
        <v>213</v>
      </c>
      <c r="F1" s="17" t="s">
        <v>2</v>
      </c>
      <c r="G1" s="10">
        <f>D1/B1</f>
        <v>213</v>
      </c>
      <c r="H1" s="17" t="s">
        <v>3</v>
      </c>
      <c r="I1" s="21">
        <v>35</v>
      </c>
      <c r="J1" s="1"/>
      <c r="K1" s="23" t="s">
        <v>4</v>
      </c>
      <c r="U1" s="124" t="s">
        <v>329</v>
      </c>
      <c r="V1" s="125">
        <v>211</v>
      </c>
    </row>
    <row r="2" spans="1:25" ht="14.25" customHeight="1" x14ac:dyDescent="0.3">
      <c r="A2" s="50"/>
      <c r="B2" s="130" t="s">
        <v>219</v>
      </c>
      <c r="C2" s="130"/>
      <c r="D2" s="130"/>
      <c r="E2" s="130"/>
      <c r="F2" s="130"/>
      <c r="G2" s="130"/>
      <c r="H2" s="130"/>
      <c r="I2" s="32"/>
      <c r="J2" s="32"/>
      <c r="K2" s="33"/>
    </row>
    <row r="3" spans="1:25" ht="14.25" customHeight="1" x14ac:dyDescent="0.3">
      <c r="A3" s="51"/>
      <c r="B3" s="133" t="s">
        <v>220</v>
      </c>
      <c r="C3" s="133"/>
      <c r="D3" s="133"/>
      <c r="E3" s="133"/>
      <c r="F3" s="133"/>
      <c r="G3" s="133"/>
      <c r="H3" s="133"/>
      <c r="I3" s="31"/>
      <c r="J3" s="31"/>
      <c r="K3" s="34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0" t="s">
        <v>13</v>
      </c>
      <c r="I4" s="83" t="s">
        <v>211</v>
      </c>
      <c r="J4" s="83" t="s">
        <v>14</v>
      </c>
      <c r="K4" s="83" t="s">
        <v>15</v>
      </c>
      <c r="L4" s="83" t="s">
        <v>244</v>
      </c>
    </row>
    <row r="5" spans="1:25" ht="14.5" x14ac:dyDescent="0.35">
      <c r="A5" s="11"/>
      <c r="B5" s="11" t="s">
        <v>51</v>
      </c>
      <c r="C5" s="16" t="s">
        <v>17</v>
      </c>
      <c r="D5" s="15">
        <v>20</v>
      </c>
      <c r="E5" s="12">
        <f t="shared" ref="E5:E10" si="0">$G$1</f>
        <v>213</v>
      </c>
      <c r="F5" s="13">
        <v>1</v>
      </c>
      <c r="G5" s="12">
        <f t="shared" ref="G5:G10" si="1">E5*D5</f>
        <v>4260</v>
      </c>
      <c r="H5" s="81">
        <f t="shared" ref="H5:H10" si="2">G5*F5</f>
        <v>4260</v>
      </c>
      <c r="I5" s="11">
        <f>VLOOKUP(B5,Ordering!$A$1:$J$36,6,FALSE)</f>
        <v>1</v>
      </c>
      <c r="J5" s="84">
        <f>VLOOKUP(B5,Ordering!$A$1:$J$36,10,FALSE)</f>
        <v>6.6959999999999997</v>
      </c>
      <c r="K5" s="84">
        <f t="shared" ref="K5:K10" si="3">((H5/(I5))/1000)</f>
        <v>4.26</v>
      </c>
      <c r="L5" s="85">
        <f>J5*K5</f>
        <v>28.524959999999997</v>
      </c>
    </row>
    <row r="6" spans="1:25" ht="14.5" x14ac:dyDescent="0.35">
      <c r="A6" s="11"/>
      <c r="B6" s="11" t="s">
        <v>55</v>
      </c>
      <c r="C6" s="16" t="s">
        <v>17</v>
      </c>
      <c r="D6" s="15">
        <v>5.4</v>
      </c>
      <c r="E6" s="12">
        <f t="shared" si="0"/>
        <v>213</v>
      </c>
      <c r="F6" s="13">
        <v>1</v>
      </c>
      <c r="G6" s="12">
        <f t="shared" si="1"/>
        <v>1150.2</v>
      </c>
      <c r="H6" s="81">
        <f t="shared" si="2"/>
        <v>1150.2</v>
      </c>
      <c r="I6" s="11">
        <f>VLOOKUP(B6,Ordering!$A$1:$J$36,6,FALSE)</f>
        <v>0.8</v>
      </c>
      <c r="J6" s="84">
        <f>VLOOKUP(B6,Ordering!$A$1:$J$36,10,FALSE)</f>
        <v>3</v>
      </c>
      <c r="K6" s="84">
        <f t="shared" si="3"/>
        <v>1.4377500000000001</v>
      </c>
      <c r="L6" s="85">
        <f t="shared" ref="L6:L10" si="4">J6*K6</f>
        <v>4.31325</v>
      </c>
    </row>
    <row r="7" spans="1:25" ht="14.5" x14ac:dyDescent="0.35">
      <c r="A7" s="11"/>
      <c r="B7" s="11" t="s">
        <v>48</v>
      </c>
      <c r="C7" s="16" t="s">
        <v>17</v>
      </c>
      <c r="D7" s="15">
        <v>0.05</v>
      </c>
      <c r="E7" s="12">
        <f t="shared" si="0"/>
        <v>213</v>
      </c>
      <c r="F7" s="13">
        <v>1</v>
      </c>
      <c r="G7" s="12">
        <f t="shared" si="1"/>
        <v>10.65</v>
      </c>
      <c r="H7" s="81">
        <f t="shared" si="2"/>
        <v>10.65</v>
      </c>
      <c r="I7" s="11">
        <f>VLOOKUP(B7,Ordering!$A$1:$J$36,6,FALSE)</f>
        <v>1</v>
      </c>
      <c r="J7" s="84">
        <f>VLOOKUP(B7,Ordering!$A$1:$J$36,10,FALSE)</f>
        <v>8</v>
      </c>
      <c r="K7" s="84">
        <f t="shared" si="3"/>
        <v>1.065E-2</v>
      </c>
      <c r="L7" s="85">
        <f t="shared" si="4"/>
        <v>8.5199999999999998E-2</v>
      </c>
      <c r="R7" s="44"/>
      <c r="V7" s="98"/>
    </row>
    <row r="8" spans="1:25" ht="14.5" x14ac:dyDescent="0.35">
      <c r="A8" s="11"/>
      <c r="B8" s="11" t="s">
        <v>174</v>
      </c>
      <c r="C8" s="16" t="s">
        <v>17</v>
      </c>
      <c r="D8" s="15">
        <v>0.02</v>
      </c>
      <c r="E8" s="12">
        <f t="shared" si="0"/>
        <v>213</v>
      </c>
      <c r="F8" s="13">
        <v>1</v>
      </c>
      <c r="G8" s="12">
        <f t="shared" si="1"/>
        <v>4.26</v>
      </c>
      <c r="H8" s="81">
        <f t="shared" si="2"/>
        <v>4.26</v>
      </c>
      <c r="I8" s="11">
        <f>VLOOKUP(B8,Ordering!$A$1:$J$36,6,FALSE)</f>
        <v>1</v>
      </c>
      <c r="J8" s="84">
        <f>VLOOKUP(B8,Ordering!$A$1:$J$36,10,FALSE)</f>
        <v>20</v>
      </c>
      <c r="K8" s="84">
        <f t="shared" si="3"/>
        <v>4.2599999999999999E-3</v>
      </c>
      <c r="L8" s="85">
        <f t="shared" si="4"/>
        <v>8.5199999999999998E-2</v>
      </c>
      <c r="V8" s="89" t="s">
        <v>243</v>
      </c>
      <c r="W8" s="90">
        <v>1</v>
      </c>
      <c r="X8" s="89" t="s">
        <v>244</v>
      </c>
      <c r="Y8" s="91">
        <f>(SUM(L5:L10)/Q20)*W8</f>
        <v>0.15502919999999998</v>
      </c>
    </row>
    <row r="9" spans="1:25" ht="14.5" x14ac:dyDescent="0.35">
      <c r="A9" s="11"/>
      <c r="B9" s="11" t="s">
        <v>50</v>
      </c>
      <c r="C9" s="16" t="s">
        <v>175</v>
      </c>
      <c r="D9" s="15">
        <v>9.4499999999999993</v>
      </c>
      <c r="E9" s="12">
        <f t="shared" si="0"/>
        <v>213</v>
      </c>
      <c r="F9" s="13">
        <v>1</v>
      </c>
      <c r="G9" s="12">
        <f t="shared" si="1"/>
        <v>2012.85</v>
      </c>
      <c r="H9" s="81">
        <f t="shared" si="2"/>
        <v>2012.85</v>
      </c>
      <c r="I9" s="11">
        <f>VLOOKUP(B9,Ordering!$A$1:$J$36,6,FALSE)</f>
        <v>1</v>
      </c>
      <c r="J9" s="84">
        <f>VLOOKUP(B9,Ordering!$A$1:$J$36,10,FALSE)</f>
        <v>0</v>
      </c>
      <c r="K9" s="84">
        <f t="shared" si="3"/>
        <v>2.0128499999999998</v>
      </c>
      <c r="L9" s="85">
        <f t="shared" si="4"/>
        <v>0</v>
      </c>
    </row>
    <row r="10" spans="1:25" ht="14.5" x14ac:dyDescent="0.35">
      <c r="A10" s="11"/>
      <c r="B10" s="11" t="s">
        <v>49</v>
      </c>
      <c r="C10" s="16" t="s">
        <v>17</v>
      </c>
      <c r="D10" s="15">
        <v>0.08</v>
      </c>
      <c r="E10" s="12">
        <f t="shared" si="0"/>
        <v>213</v>
      </c>
      <c r="F10" s="13">
        <v>1</v>
      </c>
      <c r="G10" s="12">
        <f t="shared" si="1"/>
        <v>17.04</v>
      </c>
      <c r="H10" s="81">
        <f t="shared" si="2"/>
        <v>17.04</v>
      </c>
      <c r="I10" s="11">
        <f>VLOOKUP(B10,Ordering!$A$1:$J$36,6,FALSE)</f>
        <v>1</v>
      </c>
      <c r="J10" s="84">
        <f>VLOOKUP(B10,Ordering!$A$1:$J$36,10,FALSE)</f>
        <v>0.74</v>
      </c>
      <c r="K10" s="84">
        <f t="shared" si="3"/>
        <v>1.704E-2</v>
      </c>
      <c r="L10" s="85">
        <f t="shared" si="4"/>
        <v>1.26096E-2</v>
      </c>
    </row>
    <row r="11" spans="1:25" x14ac:dyDescent="0.3">
      <c r="F11" s="40" t="s">
        <v>246</v>
      </c>
      <c r="G11" s="41">
        <f>Q20</f>
        <v>213</v>
      </c>
      <c r="M11" s="101"/>
      <c r="N11" s="22"/>
    </row>
    <row r="12" spans="1:25" ht="14.75" customHeight="1" x14ac:dyDescent="0.3">
      <c r="M12" s="101"/>
      <c r="N12" s="22"/>
    </row>
    <row r="13" spans="1:25" ht="14.75" customHeight="1" x14ac:dyDescent="0.3"/>
    <row r="14" spans="1:25" ht="14.75" customHeight="1" x14ac:dyDescent="0.3"/>
    <row r="15" spans="1:25" x14ac:dyDescent="0.3">
      <c r="P15" s="128"/>
      <c r="Q15" s="129"/>
    </row>
    <row r="16" spans="1:25" x14ac:dyDescent="0.3">
      <c r="P16" s="126"/>
      <c r="Q16" s="127"/>
    </row>
    <row r="17" spans="11:17" ht="14.5" thickBot="1" x14ac:dyDescent="0.35">
      <c r="P17" s="2"/>
      <c r="Q17" s="3"/>
    </row>
    <row r="18" spans="11:17" ht="14.5" thickBot="1" x14ac:dyDescent="0.35">
      <c r="P18" s="4" t="s">
        <v>21</v>
      </c>
      <c r="Q18" s="5">
        <f>V1</f>
        <v>211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213</v>
      </c>
    </row>
    <row r="21" spans="11:17" x14ac:dyDescent="0.3">
      <c r="P21" s="87" t="s">
        <v>244</v>
      </c>
      <c r="Q21" s="96">
        <f>SUM(L5:L10)</f>
        <v>33.021219599999995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00B050"/>
    <pageSetUpPr fitToPage="1"/>
  </sheetPr>
  <dimension ref="A1:Y27"/>
  <sheetViews>
    <sheetView topLeftCell="G1" zoomScale="40" zoomScaleNormal="40" zoomScaleSheetLayoutView="100" workbookViewId="0">
      <selection activeCell="Q19" sqref="Q19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Q20</f>
        <v>173</v>
      </c>
      <c r="F1" s="17" t="s">
        <v>2</v>
      </c>
      <c r="G1" s="10">
        <f>D1/B1</f>
        <v>173</v>
      </c>
      <c r="H1" s="17" t="s">
        <v>3</v>
      </c>
      <c r="I1" s="21">
        <v>20</v>
      </c>
      <c r="J1" s="1"/>
      <c r="K1" s="23" t="s">
        <v>4</v>
      </c>
      <c r="U1" s="124" t="s">
        <v>329</v>
      </c>
      <c r="V1" s="125">
        <v>171</v>
      </c>
    </row>
    <row r="2" spans="1:25" ht="14.25" customHeight="1" x14ac:dyDescent="0.3">
      <c r="A2" s="52"/>
      <c r="B2" s="131" t="s">
        <v>60</v>
      </c>
      <c r="C2" s="130"/>
      <c r="D2" s="130"/>
      <c r="E2" s="130"/>
      <c r="F2" s="130"/>
      <c r="G2" s="130"/>
      <c r="H2" s="130"/>
      <c r="I2" s="32"/>
      <c r="J2" s="32"/>
      <c r="K2" s="33"/>
    </row>
    <row r="3" spans="1:25" ht="14.25" customHeight="1" x14ac:dyDescent="0.3">
      <c r="A3" s="54"/>
      <c r="B3" s="133" t="s">
        <v>221</v>
      </c>
      <c r="C3" s="133"/>
      <c r="D3" s="133"/>
      <c r="E3" s="133"/>
      <c r="F3" s="133"/>
      <c r="G3" s="133"/>
      <c r="H3" s="133"/>
      <c r="I3" s="31"/>
      <c r="J3" s="31"/>
      <c r="K3" s="34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0" t="s">
        <v>13</v>
      </c>
      <c r="I4" s="83" t="s">
        <v>211</v>
      </c>
      <c r="J4" s="83" t="s">
        <v>14</v>
      </c>
      <c r="K4" s="83" t="s">
        <v>15</v>
      </c>
      <c r="L4" s="83" t="s">
        <v>244</v>
      </c>
    </row>
    <row r="5" spans="1:25" ht="14.5" x14ac:dyDescent="0.35">
      <c r="A5" s="11"/>
      <c r="B5" s="11" t="s">
        <v>53</v>
      </c>
      <c r="C5" s="16" t="s">
        <v>17</v>
      </c>
      <c r="D5" s="15">
        <v>19.420000000000002</v>
      </c>
      <c r="E5" s="12">
        <f>$G$1</f>
        <v>173</v>
      </c>
      <c r="F5" s="13">
        <v>1</v>
      </c>
      <c r="G5" s="12">
        <f>E5*D5</f>
        <v>3359.6600000000003</v>
      </c>
      <c r="H5" s="81">
        <f>G5*F5</f>
        <v>3359.6600000000003</v>
      </c>
      <c r="I5" s="11">
        <f>VLOOKUP(B5,Ordering!$A$1:$J$36,6,FALSE)</f>
        <v>1</v>
      </c>
      <c r="J5" s="84">
        <f>VLOOKUP(B5,Ordering!$A$1:$J$36,10,FALSE)</f>
        <v>6.4189189189189184</v>
      </c>
      <c r="K5" s="84">
        <f t="shared" ref="K5:K9" si="0">((H5/(I5))/1000)</f>
        <v>3.3596600000000003</v>
      </c>
      <c r="L5" s="85">
        <f>J5*K5</f>
        <v>21.565385135135134</v>
      </c>
    </row>
    <row r="6" spans="1:25" ht="14.5" x14ac:dyDescent="0.35">
      <c r="A6" s="11"/>
      <c r="B6" s="11" t="s">
        <v>82</v>
      </c>
      <c r="C6" s="16" t="s">
        <v>175</v>
      </c>
      <c r="D6" s="24">
        <v>0.08</v>
      </c>
      <c r="E6" s="12">
        <f>$G$1</f>
        <v>173</v>
      </c>
      <c r="F6" s="13">
        <v>1</v>
      </c>
      <c r="G6" s="12">
        <f>E6*D6</f>
        <v>13.84</v>
      </c>
      <c r="H6" s="81">
        <f>G6*F6</f>
        <v>13.84</v>
      </c>
      <c r="I6" s="11">
        <f>VLOOKUP(B6,Ordering!$A$1:$J$36,6,FALSE)</f>
        <v>1</v>
      </c>
      <c r="J6" s="84">
        <f>VLOOKUP(B6,Ordering!$A$1:$J$36,10,FALSE)</f>
        <v>58.685446009389672</v>
      </c>
      <c r="K6" s="84">
        <f t="shared" si="0"/>
        <v>1.384E-2</v>
      </c>
      <c r="L6" s="85">
        <f t="shared" ref="L6:L9" si="1">J6*K6</f>
        <v>0.81220657276995301</v>
      </c>
    </row>
    <row r="7" spans="1:25" ht="14.5" x14ac:dyDescent="0.35">
      <c r="A7" s="11"/>
      <c r="B7" s="11" t="s">
        <v>204</v>
      </c>
      <c r="C7" s="16" t="s">
        <v>17</v>
      </c>
      <c r="D7" s="24">
        <v>0.4</v>
      </c>
      <c r="E7" s="12">
        <f>$G$1</f>
        <v>173</v>
      </c>
      <c r="F7" s="13">
        <v>1</v>
      </c>
      <c r="G7" s="12">
        <f>E7*D7</f>
        <v>69.2</v>
      </c>
      <c r="H7" s="81">
        <f>G7*F7</f>
        <v>69.2</v>
      </c>
      <c r="I7" s="11">
        <f>VLOOKUP(B7,Ordering!$A$1:$J$36,6,FALSE)</f>
        <v>1</v>
      </c>
      <c r="J7" s="84">
        <f>VLOOKUP(B7,Ordering!$A$1:$J$36,10,FALSE)</f>
        <v>10</v>
      </c>
      <c r="K7" s="84">
        <f t="shared" si="0"/>
        <v>6.9199999999999998E-2</v>
      </c>
      <c r="L7" s="85">
        <f t="shared" si="1"/>
        <v>0.69199999999999995</v>
      </c>
      <c r="V7" s="98"/>
    </row>
    <row r="8" spans="1:25" ht="14.5" x14ac:dyDescent="0.35">
      <c r="A8" s="11"/>
      <c r="B8" s="11" t="s">
        <v>170</v>
      </c>
      <c r="C8" s="16" t="s">
        <v>17</v>
      </c>
      <c r="D8" s="24">
        <v>0.01</v>
      </c>
      <c r="E8" s="12">
        <f>$G$1</f>
        <v>173</v>
      </c>
      <c r="F8" s="13">
        <v>1</v>
      </c>
      <c r="G8" s="12">
        <f>E8*D8</f>
        <v>1.73</v>
      </c>
      <c r="H8" s="81">
        <f>G8*F8</f>
        <v>1.73</v>
      </c>
      <c r="I8" s="11">
        <f>VLOOKUP(B8,Ordering!$A$1:$J$36,6,FALSE)</f>
        <v>1</v>
      </c>
      <c r="J8" s="84">
        <f>VLOOKUP(B8,Ordering!$A$1:$J$36,10,FALSE)</f>
        <v>64.243759177679877</v>
      </c>
      <c r="K8" s="84">
        <f t="shared" si="0"/>
        <v>1.73E-3</v>
      </c>
      <c r="L8" s="85">
        <f t="shared" si="1"/>
        <v>0.11114170337738619</v>
      </c>
      <c r="V8" s="89" t="s">
        <v>243</v>
      </c>
      <c r="W8" s="90">
        <v>1</v>
      </c>
      <c r="X8" s="89" t="s">
        <v>244</v>
      </c>
      <c r="Y8" s="91">
        <f>(SUM(L5:L9)/Q20)*W8</f>
        <v>0.13444267867793336</v>
      </c>
    </row>
    <row r="9" spans="1:25" ht="14.5" x14ac:dyDescent="0.35">
      <c r="A9" s="11"/>
      <c r="B9" s="11" t="s">
        <v>47</v>
      </c>
      <c r="C9" s="16" t="s">
        <v>175</v>
      </c>
      <c r="D9" s="24">
        <v>0.09</v>
      </c>
      <c r="E9" s="12">
        <f>$G$1</f>
        <v>173</v>
      </c>
      <c r="F9" s="13">
        <v>1</v>
      </c>
      <c r="G9" s="12">
        <f>E9*D9</f>
        <v>15.57</v>
      </c>
      <c r="H9" s="81">
        <f>G9*F9</f>
        <v>15.57</v>
      </c>
      <c r="I9" s="11">
        <f>VLOOKUP(B9,Ordering!$A$1:$J$36,6,FALSE)</f>
        <v>1</v>
      </c>
      <c r="J9" s="84">
        <f>VLOOKUP(B9,Ordering!$A$1:$J$36,10,FALSE)</f>
        <v>5</v>
      </c>
      <c r="K9" s="84">
        <f t="shared" si="0"/>
        <v>1.5570000000000001E-2</v>
      </c>
      <c r="L9" s="85">
        <f t="shared" si="1"/>
        <v>7.7850000000000003E-2</v>
      </c>
    </row>
    <row r="10" spans="1:25" x14ac:dyDescent="0.3">
      <c r="F10" s="106" t="s">
        <v>246</v>
      </c>
      <c r="G10" s="107">
        <f>Q20</f>
        <v>173</v>
      </c>
      <c r="J10" s="19"/>
      <c r="K10" s="19"/>
      <c r="L10" s="19"/>
    </row>
    <row r="11" spans="1:25" x14ac:dyDescent="0.3">
      <c r="M11" s="101"/>
      <c r="N11" s="22"/>
    </row>
    <row r="12" spans="1:25" ht="14.75" customHeight="1" x14ac:dyDescent="0.3">
      <c r="M12" s="101"/>
      <c r="N12" s="22"/>
    </row>
    <row r="13" spans="1:25" ht="14.75" customHeight="1" x14ac:dyDescent="0.3"/>
    <row r="14" spans="1:25" ht="14.75" customHeight="1" x14ac:dyDescent="0.3"/>
    <row r="15" spans="1:25" x14ac:dyDescent="0.3">
      <c r="P15" s="128"/>
      <c r="Q15" s="129"/>
    </row>
    <row r="16" spans="1:25" x14ac:dyDescent="0.3">
      <c r="P16" s="126"/>
      <c r="Q16" s="12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171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173</v>
      </c>
    </row>
    <row r="21" spans="11:17" x14ac:dyDescent="0.3">
      <c r="P21" s="87" t="s">
        <v>244</v>
      </c>
      <c r="Q21" s="96">
        <f>SUM(L5:L9)</f>
        <v>23.258583411282473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2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A250E-08C1-49FC-8C21-313CFF8139E3}">
  <sheetPr codeName="Sheet18">
    <tabColor rgb="FF00B050"/>
    <pageSetUpPr fitToPage="1"/>
  </sheetPr>
  <dimension ref="A1:Y27"/>
  <sheetViews>
    <sheetView topLeftCell="J1" zoomScale="63" zoomScaleNormal="63" zoomScaleSheetLayoutView="100" workbookViewId="0">
      <selection activeCell="Q19" sqref="Q19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Q20</f>
        <v>346</v>
      </c>
      <c r="F1" s="17" t="s">
        <v>2</v>
      </c>
      <c r="G1" s="10">
        <f>D1/B1</f>
        <v>346</v>
      </c>
      <c r="H1" s="17" t="s">
        <v>3</v>
      </c>
      <c r="I1" s="21">
        <v>35</v>
      </c>
      <c r="J1" s="1"/>
      <c r="K1" s="23" t="s">
        <v>4</v>
      </c>
      <c r="U1" s="124" t="s">
        <v>329</v>
      </c>
      <c r="V1" s="125">
        <v>344</v>
      </c>
    </row>
    <row r="2" spans="1:25" ht="14.25" customHeight="1" x14ac:dyDescent="0.3">
      <c r="A2" s="54"/>
      <c r="B2" s="131" t="s">
        <v>136</v>
      </c>
      <c r="C2" s="130"/>
      <c r="D2" s="130"/>
      <c r="E2" s="130"/>
      <c r="F2" s="130"/>
      <c r="G2" s="130"/>
      <c r="H2" s="132"/>
      <c r="I2" s="32"/>
      <c r="J2" s="32"/>
      <c r="K2" s="33"/>
    </row>
    <row r="3" spans="1:25" ht="14.25" customHeight="1" x14ac:dyDescent="0.3">
      <c r="A3" s="54"/>
      <c r="B3" s="134" t="s">
        <v>222</v>
      </c>
      <c r="C3" s="133"/>
      <c r="D3" s="133"/>
      <c r="E3" s="133"/>
      <c r="F3" s="133"/>
      <c r="G3" s="133"/>
      <c r="H3" s="135"/>
      <c r="I3" s="31"/>
      <c r="J3" s="31"/>
      <c r="K3" s="34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0" t="s">
        <v>13</v>
      </c>
      <c r="I4" s="83" t="s">
        <v>211</v>
      </c>
      <c r="J4" s="83" t="s">
        <v>14</v>
      </c>
      <c r="K4" s="83" t="s">
        <v>15</v>
      </c>
      <c r="L4" s="83" t="s">
        <v>244</v>
      </c>
    </row>
    <row r="5" spans="1:25" ht="14.5" x14ac:dyDescent="0.35">
      <c r="A5" s="11"/>
      <c r="B5" s="11" t="s">
        <v>56</v>
      </c>
      <c r="C5" s="16" t="s">
        <v>17</v>
      </c>
      <c r="D5" s="15">
        <v>33.700000000000003</v>
      </c>
      <c r="E5" s="12">
        <f t="shared" ref="E5:E10" si="0">$G$1</f>
        <v>346</v>
      </c>
      <c r="F5" s="13">
        <v>1</v>
      </c>
      <c r="G5" s="12">
        <f t="shared" ref="G5:G10" si="1">E5*D5</f>
        <v>11660.2</v>
      </c>
      <c r="H5" s="81">
        <f t="shared" ref="H5:H10" si="2">G5*F5</f>
        <v>11660.2</v>
      </c>
      <c r="I5" s="11">
        <f>VLOOKUP(B5,Ordering!$A$1:$J$36,6,FALSE)</f>
        <v>0.98</v>
      </c>
      <c r="J5" s="84">
        <f>VLOOKUP(B5,Ordering!$A$1:$J$36,10,FALSE)</f>
        <v>3.5</v>
      </c>
      <c r="K5" s="84">
        <f t="shared" ref="K5:K10" si="3">((H5/(I5))/1000)</f>
        <v>11.898163265306124</v>
      </c>
      <c r="L5" s="85">
        <f>J5*K5</f>
        <v>41.643571428571434</v>
      </c>
    </row>
    <row r="6" spans="1:25" ht="14.5" x14ac:dyDescent="0.35">
      <c r="A6" s="11"/>
      <c r="B6" s="11" t="s">
        <v>83</v>
      </c>
      <c r="C6" s="16" t="s">
        <v>17</v>
      </c>
      <c r="D6" s="15">
        <v>0.24</v>
      </c>
      <c r="E6" s="12">
        <f t="shared" si="0"/>
        <v>346</v>
      </c>
      <c r="F6" s="13">
        <v>1</v>
      </c>
      <c r="G6" s="12">
        <f t="shared" si="1"/>
        <v>83.039999999999992</v>
      </c>
      <c r="H6" s="81">
        <f t="shared" si="2"/>
        <v>83.039999999999992</v>
      </c>
      <c r="I6" s="11">
        <f>VLOOKUP(B6,Ordering!$A$1:$J$36,6,FALSE)</f>
        <v>0.96</v>
      </c>
      <c r="J6" s="84">
        <f>VLOOKUP(B6,Ordering!$A$1:$J$36,10,FALSE)</f>
        <v>4</v>
      </c>
      <c r="K6" s="84">
        <f t="shared" si="3"/>
        <v>8.6499999999999994E-2</v>
      </c>
      <c r="L6" s="85">
        <f t="shared" ref="L6:L10" si="4">J6*K6</f>
        <v>0.34599999999999997</v>
      </c>
    </row>
    <row r="7" spans="1:25" ht="14.5" x14ac:dyDescent="0.35">
      <c r="A7" s="11"/>
      <c r="B7" s="11" t="s">
        <v>172</v>
      </c>
      <c r="C7" s="16" t="s">
        <v>17</v>
      </c>
      <c r="D7" s="15">
        <v>0.2</v>
      </c>
      <c r="E7" s="12">
        <f t="shared" si="0"/>
        <v>346</v>
      </c>
      <c r="F7" s="13">
        <v>1</v>
      </c>
      <c r="G7" s="12">
        <f t="shared" si="1"/>
        <v>69.2</v>
      </c>
      <c r="H7" s="81">
        <f t="shared" si="2"/>
        <v>69.2</v>
      </c>
      <c r="I7" s="11">
        <f>VLOOKUP(B7,Ordering!$A$1:$J$36,6,FALSE)</f>
        <v>0.94</v>
      </c>
      <c r="J7" s="84">
        <f>VLOOKUP(B7,Ordering!$A$1:$J$36,10,FALSE)</f>
        <v>3.6363636363636367</v>
      </c>
      <c r="K7" s="84">
        <f t="shared" si="3"/>
        <v>7.3617021276595751E-2</v>
      </c>
      <c r="L7" s="85">
        <f t="shared" si="4"/>
        <v>0.26769825918762091</v>
      </c>
      <c r="R7" s="44"/>
    </row>
    <row r="8" spans="1:25" ht="14.5" x14ac:dyDescent="0.35">
      <c r="A8" s="11"/>
      <c r="B8" s="11" t="s">
        <v>187</v>
      </c>
      <c r="C8" s="16" t="s">
        <v>17</v>
      </c>
      <c r="D8" s="24">
        <v>3.0000000000000001E-3</v>
      </c>
      <c r="E8" s="12">
        <f t="shared" si="0"/>
        <v>346</v>
      </c>
      <c r="F8" s="13">
        <v>1</v>
      </c>
      <c r="G8" s="12">
        <f t="shared" si="1"/>
        <v>1.038</v>
      </c>
      <c r="H8" s="81">
        <f t="shared" si="2"/>
        <v>1.038</v>
      </c>
      <c r="I8" s="11">
        <f>VLOOKUP(B8,Ordering!$A$1:$J$36,6,FALSE)</f>
        <v>1</v>
      </c>
      <c r="J8" s="84">
        <f>VLOOKUP(B8,Ordering!$A$1:$J$36,10,FALSE)</f>
        <v>35</v>
      </c>
      <c r="K8" s="84">
        <f t="shared" si="3"/>
        <v>1.0380000000000001E-3</v>
      </c>
      <c r="L8" s="85">
        <f t="shared" si="4"/>
        <v>3.6330000000000001E-2</v>
      </c>
      <c r="V8" s="89" t="s">
        <v>243</v>
      </c>
      <c r="W8" s="90">
        <v>1</v>
      </c>
      <c r="X8" s="89" t="s">
        <v>244</v>
      </c>
      <c r="Y8" s="91">
        <f>SUM(L5:L10)/Q20</f>
        <v>0.12232463724785853</v>
      </c>
    </row>
    <row r="9" spans="1:25" ht="14.5" x14ac:dyDescent="0.35">
      <c r="A9" s="11"/>
      <c r="B9" s="11" t="s">
        <v>49</v>
      </c>
      <c r="C9" s="16" t="s">
        <v>17</v>
      </c>
      <c r="D9" s="15">
        <v>0.12</v>
      </c>
      <c r="E9" s="12">
        <f t="shared" si="0"/>
        <v>346</v>
      </c>
      <c r="F9" s="13">
        <v>1</v>
      </c>
      <c r="G9" s="12">
        <f t="shared" si="1"/>
        <v>41.519999999999996</v>
      </c>
      <c r="H9" s="81">
        <f t="shared" si="2"/>
        <v>41.519999999999996</v>
      </c>
      <c r="I9" s="11">
        <f>VLOOKUP(B9,Ordering!$A$1:$J$36,6,FALSE)</f>
        <v>1</v>
      </c>
      <c r="J9" s="84">
        <f>VLOOKUP(B9,Ordering!$A$1:$J$36,10,FALSE)</f>
        <v>0.74</v>
      </c>
      <c r="K9" s="84">
        <f t="shared" si="3"/>
        <v>4.1519999999999994E-2</v>
      </c>
      <c r="L9" s="85">
        <f t="shared" si="4"/>
        <v>3.0724799999999997E-2</v>
      </c>
    </row>
    <row r="10" spans="1:25" ht="14.5" x14ac:dyDescent="0.35">
      <c r="A10" s="11"/>
      <c r="B10" s="11" t="s">
        <v>50</v>
      </c>
      <c r="C10" s="16" t="s">
        <v>175</v>
      </c>
      <c r="D10" s="15">
        <v>0.75</v>
      </c>
      <c r="E10" s="12">
        <f t="shared" si="0"/>
        <v>346</v>
      </c>
      <c r="F10" s="13">
        <v>1</v>
      </c>
      <c r="G10" s="12">
        <f t="shared" si="1"/>
        <v>259.5</v>
      </c>
      <c r="H10" s="81">
        <f t="shared" si="2"/>
        <v>259.5</v>
      </c>
      <c r="I10" s="11">
        <f>VLOOKUP(B10,Ordering!$A$1:$J$36,6,FALSE)</f>
        <v>1</v>
      </c>
      <c r="J10" s="84">
        <f>VLOOKUP(B10,Ordering!$A$1:$J$36,10,FALSE)</f>
        <v>0</v>
      </c>
      <c r="K10" s="84">
        <f t="shared" si="3"/>
        <v>0.25950000000000001</v>
      </c>
      <c r="L10" s="85">
        <f t="shared" si="4"/>
        <v>0</v>
      </c>
    </row>
    <row r="11" spans="1:25" x14ac:dyDescent="0.3">
      <c r="F11" s="106" t="s">
        <v>246</v>
      </c>
      <c r="G11" s="107">
        <f>Q20</f>
        <v>346</v>
      </c>
      <c r="M11" s="101"/>
      <c r="N11" s="22"/>
    </row>
    <row r="12" spans="1:25" ht="14.75" customHeight="1" x14ac:dyDescent="0.3">
      <c r="M12" s="101"/>
      <c r="N12" s="22"/>
      <c r="O12" s="22"/>
    </row>
    <row r="13" spans="1:25" ht="14.75" customHeight="1" x14ac:dyDescent="0.3"/>
    <row r="14" spans="1:25" ht="14.75" customHeight="1" x14ac:dyDescent="0.3"/>
    <row r="15" spans="1:25" x14ac:dyDescent="0.3">
      <c r="P15" s="128"/>
      <c r="Q15" s="129"/>
    </row>
    <row r="16" spans="1:25" x14ac:dyDescent="0.3">
      <c r="P16" s="126"/>
      <c r="Q16" s="12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344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346</v>
      </c>
    </row>
    <row r="21" spans="11:17" x14ac:dyDescent="0.3">
      <c r="P21" s="87" t="s">
        <v>244</v>
      </c>
      <c r="Q21" s="88">
        <f>SUM(L5:L10)</f>
        <v>42.32432448775905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2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00B050"/>
    <pageSetUpPr fitToPage="1"/>
  </sheetPr>
  <dimension ref="A1:Y27"/>
  <sheetViews>
    <sheetView topLeftCell="H1" zoomScale="55" zoomScaleNormal="55" zoomScaleSheetLayoutView="100" workbookViewId="0">
      <selection activeCell="Q19" sqref="Q19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7" max="17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Q20</f>
        <v>135</v>
      </c>
      <c r="F1" s="17" t="s">
        <v>2</v>
      </c>
      <c r="G1" s="10">
        <f>D1/B1</f>
        <v>135</v>
      </c>
      <c r="H1" s="17" t="s">
        <v>3</v>
      </c>
      <c r="I1" s="21">
        <v>35</v>
      </c>
      <c r="J1" s="1"/>
      <c r="K1" s="23" t="s">
        <v>4</v>
      </c>
      <c r="U1" s="124" t="s">
        <v>329</v>
      </c>
      <c r="V1" s="125">
        <v>133</v>
      </c>
    </row>
    <row r="2" spans="1:25" ht="14.25" customHeight="1" x14ac:dyDescent="0.3">
      <c r="A2" s="52"/>
      <c r="B2" s="131" t="s">
        <v>146</v>
      </c>
      <c r="C2" s="130"/>
      <c r="D2" s="130"/>
      <c r="E2" s="130"/>
      <c r="F2" s="130"/>
      <c r="G2" s="130"/>
      <c r="H2" s="130"/>
      <c r="I2" s="32"/>
      <c r="J2" s="32"/>
      <c r="K2" s="33"/>
    </row>
    <row r="3" spans="1:25" ht="14.25" customHeight="1" x14ac:dyDescent="0.3">
      <c r="A3" s="54"/>
      <c r="B3" s="133" t="s">
        <v>223</v>
      </c>
      <c r="C3" s="133"/>
      <c r="D3" s="133"/>
      <c r="E3" s="133"/>
      <c r="F3" s="133"/>
      <c r="G3" s="133"/>
      <c r="H3" s="133"/>
      <c r="I3" s="31"/>
      <c r="J3" s="31"/>
      <c r="K3" s="34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0" t="s">
        <v>13</v>
      </c>
      <c r="I4" s="83" t="s">
        <v>211</v>
      </c>
      <c r="J4" s="83" t="s">
        <v>14</v>
      </c>
      <c r="K4" s="83" t="s">
        <v>15</v>
      </c>
      <c r="L4" s="83" t="s">
        <v>244</v>
      </c>
    </row>
    <row r="5" spans="1:25" ht="14.5" x14ac:dyDescent="0.35">
      <c r="A5" s="11"/>
      <c r="B5" s="11" t="s">
        <v>47</v>
      </c>
      <c r="C5" s="16" t="s">
        <v>175</v>
      </c>
      <c r="D5" s="15">
        <v>2.12636695018226</v>
      </c>
      <c r="E5" s="12">
        <f t="shared" ref="E5:E10" si="0">$G$1</f>
        <v>135</v>
      </c>
      <c r="F5" s="13">
        <v>1</v>
      </c>
      <c r="G5" s="12">
        <f t="shared" ref="G5:G10" si="1">E5*D5</f>
        <v>287.05953827460507</v>
      </c>
      <c r="H5" s="81">
        <f t="shared" ref="H5:H10" si="2">G5*F5</f>
        <v>287.05953827460507</v>
      </c>
      <c r="I5" s="11">
        <f>VLOOKUP(B5,Ordering!$A$1:$J$36,6,FALSE)</f>
        <v>1</v>
      </c>
      <c r="J5" s="84">
        <f>VLOOKUP(B5,Ordering!$A$1:$J$36,10,FALSE)</f>
        <v>5</v>
      </c>
      <c r="K5" s="84">
        <f t="shared" ref="K5:K10" si="3">((H5/(I5))/1000)</f>
        <v>0.28705953827460506</v>
      </c>
      <c r="L5" s="85">
        <f>J5*K5</f>
        <v>1.4352976913730253</v>
      </c>
    </row>
    <row r="6" spans="1:25" ht="14.5" x14ac:dyDescent="0.35">
      <c r="A6" s="11"/>
      <c r="B6" s="11" t="s">
        <v>48</v>
      </c>
      <c r="C6" s="16" t="s">
        <v>17</v>
      </c>
      <c r="D6" s="15">
        <v>4.25273390036452E-2</v>
      </c>
      <c r="E6" s="12">
        <f t="shared" si="0"/>
        <v>135</v>
      </c>
      <c r="F6" s="13">
        <v>1</v>
      </c>
      <c r="G6" s="12">
        <f t="shared" si="1"/>
        <v>5.7411907654921022</v>
      </c>
      <c r="H6" s="81">
        <f t="shared" si="2"/>
        <v>5.7411907654921022</v>
      </c>
      <c r="I6" s="11">
        <f>VLOOKUP(B6,Ordering!$A$1:$J$36,6,FALSE)</f>
        <v>1</v>
      </c>
      <c r="J6" s="84">
        <f>VLOOKUP(B6,Ordering!$A$1:$J$36,10,FALSE)</f>
        <v>8</v>
      </c>
      <c r="K6" s="84">
        <f t="shared" si="3"/>
        <v>5.7411907654921022E-3</v>
      </c>
      <c r="L6" s="85">
        <f t="shared" ref="L6:L10" si="4">J6*K6</f>
        <v>4.5929526123936817E-2</v>
      </c>
    </row>
    <row r="7" spans="1:25" ht="14.5" x14ac:dyDescent="0.35">
      <c r="A7" s="11"/>
      <c r="B7" s="11" t="s">
        <v>49</v>
      </c>
      <c r="C7" s="16" t="s">
        <v>17</v>
      </c>
      <c r="D7" s="15">
        <v>0.15593357634669908</v>
      </c>
      <c r="E7" s="12">
        <f t="shared" si="0"/>
        <v>135</v>
      </c>
      <c r="F7" s="13">
        <v>1</v>
      </c>
      <c r="G7" s="12">
        <f t="shared" si="1"/>
        <v>21.051032806804375</v>
      </c>
      <c r="H7" s="81">
        <f t="shared" si="2"/>
        <v>21.051032806804375</v>
      </c>
      <c r="I7" s="11">
        <f>VLOOKUP(B7,Ordering!$A$1:$J$36,6,FALSE)</f>
        <v>1</v>
      </c>
      <c r="J7" s="84">
        <f>VLOOKUP(B7,Ordering!$A$1:$J$36,10,FALSE)</f>
        <v>0.74</v>
      </c>
      <c r="K7" s="84">
        <f t="shared" si="3"/>
        <v>2.1051032806804374E-2</v>
      </c>
      <c r="L7" s="85">
        <f t="shared" si="4"/>
        <v>1.5577764277035236E-2</v>
      </c>
      <c r="P7" s="44"/>
      <c r="V7" s="98"/>
    </row>
    <row r="8" spans="1:25" ht="14.5" x14ac:dyDescent="0.35">
      <c r="A8" s="11"/>
      <c r="B8" s="11" t="s">
        <v>50</v>
      </c>
      <c r="C8" s="16" t="s">
        <v>175</v>
      </c>
      <c r="D8" s="15">
        <v>18.456865127582017</v>
      </c>
      <c r="E8" s="12">
        <f t="shared" si="0"/>
        <v>135</v>
      </c>
      <c r="F8" s="13">
        <v>1</v>
      </c>
      <c r="G8" s="12">
        <f t="shared" si="1"/>
        <v>2491.6767922235722</v>
      </c>
      <c r="H8" s="81">
        <f t="shared" si="2"/>
        <v>2491.6767922235722</v>
      </c>
      <c r="I8" s="11">
        <f>VLOOKUP(B8,Ordering!$A$1:$J$36,6,FALSE)</f>
        <v>1</v>
      </c>
      <c r="J8" s="84">
        <f>VLOOKUP(B8,Ordering!$A$1:$J$36,10,FALSE)</f>
        <v>0</v>
      </c>
      <c r="K8" s="84">
        <f t="shared" si="3"/>
        <v>2.4916767922235721</v>
      </c>
      <c r="L8" s="85">
        <f t="shared" si="4"/>
        <v>0</v>
      </c>
      <c r="V8" s="89" t="s">
        <v>243</v>
      </c>
      <c r="W8" s="90">
        <v>1</v>
      </c>
      <c r="X8" s="89" t="s">
        <v>244</v>
      </c>
      <c r="Y8" s="91">
        <f>(SUM(L5:L10)/Q20)*W8</f>
        <v>0.15416358849736736</v>
      </c>
    </row>
    <row r="9" spans="1:25" ht="14.5" x14ac:dyDescent="0.35">
      <c r="A9" s="11"/>
      <c r="B9" s="11" t="s">
        <v>168</v>
      </c>
      <c r="C9" s="16" t="s">
        <v>17</v>
      </c>
      <c r="D9" s="15">
        <v>4.25273390036452E-2</v>
      </c>
      <c r="E9" s="12">
        <f t="shared" si="0"/>
        <v>135</v>
      </c>
      <c r="F9" s="13">
        <v>1</v>
      </c>
      <c r="G9" s="12">
        <f t="shared" si="1"/>
        <v>5.7411907654921022</v>
      </c>
      <c r="H9" s="81">
        <f t="shared" si="2"/>
        <v>5.7411907654921022</v>
      </c>
      <c r="I9" s="11">
        <f>VLOOKUP(B9,Ordering!$A$1:$J$36,6,FALSE)</f>
        <v>1</v>
      </c>
      <c r="J9" s="84">
        <f>VLOOKUP(B9,Ordering!$A$1:$J$36,10,FALSE)</f>
        <v>31</v>
      </c>
      <c r="K9" s="84">
        <f t="shared" si="3"/>
        <v>5.7411907654921022E-3</v>
      </c>
      <c r="L9" s="85">
        <f t="shared" si="4"/>
        <v>0.17797691373025518</v>
      </c>
    </row>
    <row r="10" spans="1:25" ht="14.5" x14ac:dyDescent="0.35">
      <c r="A10" s="11"/>
      <c r="B10" s="11" t="s">
        <v>204</v>
      </c>
      <c r="C10" s="16" t="s">
        <v>17</v>
      </c>
      <c r="D10" s="15">
        <v>14.175779667881732</v>
      </c>
      <c r="E10" s="12">
        <f t="shared" si="0"/>
        <v>135</v>
      </c>
      <c r="F10" s="13">
        <v>1</v>
      </c>
      <c r="G10" s="12">
        <f t="shared" si="1"/>
        <v>1913.7302551640339</v>
      </c>
      <c r="H10" s="81">
        <f t="shared" si="2"/>
        <v>1913.7302551640339</v>
      </c>
      <c r="I10" s="11">
        <f>VLOOKUP(B10,Ordering!$A$1:$J$36,6,FALSE)</f>
        <v>1</v>
      </c>
      <c r="J10" s="84">
        <f>VLOOKUP(B10,Ordering!$A$1:$J$36,10,FALSE)</f>
        <v>10</v>
      </c>
      <c r="K10" s="84">
        <f t="shared" si="3"/>
        <v>1.9137302551640338</v>
      </c>
      <c r="L10" s="85">
        <f t="shared" si="4"/>
        <v>19.137302551640339</v>
      </c>
    </row>
    <row r="11" spans="1:25" x14ac:dyDescent="0.3">
      <c r="F11" s="106" t="s">
        <v>246</v>
      </c>
      <c r="G11" s="107">
        <f>Q20</f>
        <v>135</v>
      </c>
    </row>
    <row r="12" spans="1:25" ht="14.75" customHeight="1" x14ac:dyDescent="0.3">
      <c r="M12" s="22"/>
    </row>
    <row r="13" spans="1:25" ht="14.75" customHeight="1" x14ac:dyDescent="0.3"/>
    <row r="14" spans="1:25" ht="14.75" customHeight="1" x14ac:dyDescent="0.3">
      <c r="L14" s="101"/>
      <c r="M14" s="103"/>
    </row>
    <row r="15" spans="1:25" x14ac:dyDescent="0.3">
      <c r="L15" s="101"/>
      <c r="M15" s="104"/>
      <c r="P15" s="128"/>
      <c r="Q15" s="129"/>
    </row>
    <row r="16" spans="1:25" x14ac:dyDescent="0.3">
      <c r="P16" s="126"/>
      <c r="Q16" s="12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133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135</v>
      </c>
    </row>
    <row r="21" spans="11:17" x14ac:dyDescent="0.3">
      <c r="P21" s="87" t="s">
        <v>244</v>
      </c>
      <c r="Q21" s="96">
        <f>SUM(L5:L10)</f>
        <v>20.812084447144592</v>
      </c>
    </row>
    <row r="27" spans="11:17" x14ac:dyDescent="0.3">
      <c r="K27" s="20"/>
    </row>
  </sheetData>
  <mergeCells count="4">
    <mergeCell ref="P16:Q16"/>
    <mergeCell ref="P15:Q15"/>
    <mergeCell ref="B2:H2"/>
    <mergeCell ref="B3:H3"/>
  </mergeCells>
  <printOptions horizontalCentered="1"/>
  <pageMargins left="0.4" right="0.4" top="1" bottom="0.5" header="0.3" footer="0.3"/>
  <pageSetup paperSize="9" scale="4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00B050"/>
    <pageSetUpPr fitToPage="1"/>
  </sheetPr>
  <dimension ref="A1:Y27"/>
  <sheetViews>
    <sheetView topLeftCell="F1" zoomScale="40" zoomScaleNormal="40" zoomScaleSheetLayoutView="100" workbookViewId="0">
      <selection activeCell="Q19" sqref="Q19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3" max="15" width="2.75" customWidth="1"/>
    <col min="16" max="16" width="10.08203125" customWidth="1"/>
    <col min="17" max="17" width="14.83203125" customWidth="1"/>
    <col min="18" max="18" width="22.4140625" customWidth="1"/>
    <col min="19" max="19" width="14.83203125" customWidth="1"/>
  </cols>
  <sheetData>
    <row r="1" spans="1:25" ht="25" x14ac:dyDescent="0.3">
      <c r="A1" s="17" t="s">
        <v>127</v>
      </c>
      <c r="B1" s="9">
        <v>20</v>
      </c>
      <c r="E1" s="17" t="s">
        <v>128</v>
      </c>
      <c r="F1" s="10">
        <f>Q19</f>
        <v>2</v>
      </c>
      <c r="H1" s="17" t="s">
        <v>245</v>
      </c>
      <c r="I1" s="21">
        <v>30</v>
      </c>
      <c r="J1" s="1"/>
      <c r="K1" s="18" t="s">
        <v>4</v>
      </c>
      <c r="U1" s="124" t="s">
        <v>329</v>
      </c>
      <c r="V1" s="125">
        <v>187</v>
      </c>
    </row>
    <row r="2" spans="1:25" ht="14.25" customHeight="1" x14ac:dyDescent="0.3">
      <c r="A2" s="52"/>
      <c r="B2" s="131" t="s">
        <v>247</v>
      </c>
      <c r="C2" s="130"/>
      <c r="D2" s="130"/>
      <c r="E2" s="130"/>
      <c r="F2" s="130"/>
      <c r="G2" s="130"/>
      <c r="H2" s="130"/>
      <c r="I2" s="32"/>
      <c r="J2" s="32"/>
      <c r="K2" s="33"/>
    </row>
    <row r="3" spans="1:25" ht="14.25" customHeight="1" x14ac:dyDescent="0.3">
      <c r="A3" s="54"/>
      <c r="B3" s="133" t="s">
        <v>224</v>
      </c>
      <c r="C3" s="133"/>
      <c r="D3" s="133"/>
      <c r="E3" s="133"/>
      <c r="F3" s="133"/>
      <c r="G3" s="133"/>
      <c r="H3" s="133"/>
      <c r="I3" s="31"/>
      <c r="J3" s="31"/>
      <c r="K3" s="34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0" t="s">
        <v>13</v>
      </c>
      <c r="I4" s="83" t="s">
        <v>211</v>
      </c>
      <c r="J4" s="83" t="s">
        <v>14</v>
      </c>
      <c r="K4" s="83" t="s">
        <v>15</v>
      </c>
      <c r="L4" s="83" t="s">
        <v>244</v>
      </c>
    </row>
    <row r="5" spans="1:25" ht="14.5" x14ac:dyDescent="0.35">
      <c r="A5" s="11"/>
      <c r="B5" s="11" t="s">
        <v>53</v>
      </c>
      <c r="C5" s="16" t="s">
        <v>17</v>
      </c>
      <c r="D5" s="15">
        <v>16.129032258064516</v>
      </c>
      <c r="E5" s="12">
        <f>$F$1</f>
        <v>2</v>
      </c>
      <c r="F5" s="13">
        <v>1</v>
      </c>
      <c r="G5" s="12">
        <f>E5*D5</f>
        <v>32.258064516129032</v>
      </c>
      <c r="H5" s="81">
        <f>G5*F5</f>
        <v>32.258064516129032</v>
      </c>
      <c r="I5" s="11">
        <f>VLOOKUP(B5,Ordering!$A$1:$J$36,6,FALSE)</f>
        <v>1</v>
      </c>
      <c r="J5" s="84">
        <f>VLOOKUP(B5,Ordering!$A$1:$J$36,10,FALSE)</f>
        <v>6.4189189189189184</v>
      </c>
      <c r="K5" s="84">
        <f t="shared" ref="K5:K8" si="0">((H5/(I5))/1000)</f>
        <v>3.2258064516129031E-2</v>
      </c>
      <c r="L5" s="85">
        <f>J5*K5</f>
        <v>0.20706190061028767</v>
      </c>
    </row>
    <row r="6" spans="1:25" ht="14.5" x14ac:dyDescent="0.35">
      <c r="A6" s="11"/>
      <c r="B6" s="11" t="s">
        <v>169</v>
      </c>
      <c r="C6" s="16" t="s">
        <v>175</v>
      </c>
      <c r="D6" s="15">
        <v>10.96774193548387</v>
      </c>
      <c r="E6" s="12">
        <f>$F$1</f>
        <v>2</v>
      </c>
      <c r="F6" s="13">
        <v>1</v>
      </c>
      <c r="G6" s="12">
        <f>E6*D6</f>
        <v>21.93548387096774</v>
      </c>
      <c r="H6" s="81">
        <f>G6*F6</f>
        <v>21.93548387096774</v>
      </c>
      <c r="I6" s="11">
        <f>VLOOKUP(B6,Ordering!$A$1:$J$36,6,FALSE)</f>
        <v>1</v>
      </c>
      <c r="J6" s="84">
        <f>VLOOKUP(B6,Ordering!$A$1:$J$36,10,FALSE)</f>
        <v>3.25</v>
      </c>
      <c r="K6" s="84">
        <f t="shared" si="0"/>
        <v>2.1935483870967741E-2</v>
      </c>
      <c r="L6" s="85">
        <f t="shared" ref="L6:L8" si="1">J6*K6</f>
        <v>7.129032258064516E-2</v>
      </c>
    </row>
    <row r="7" spans="1:25" ht="14.5" x14ac:dyDescent="0.35">
      <c r="A7" s="11"/>
      <c r="B7" s="11" t="s">
        <v>54</v>
      </c>
      <c r="C7" s="16" t="s">
        <v>17</v>
      </c>
      <c r="D7" s="15">
        <v>1.1827956989247312</v>
      </c>
      <c r="E7" s="12">
        <f>$F$1</f>
        <v>2</v>
      </c>
      <c r="F7" s="13">
        <v>1</v>
      </c>
      <c r="G7" s="12">
        <f>E7*D7</f>
        <v>2.3655913978494625</v>
      </c>
      <c r="H7" s="81">
        <f>G7*F7</f>
        <v>2.3655913978494625</v>
      </c>
      <c r="I7" s="11">
        <f>VLOOKUP(B7,Ordering!$A$1:$J$36,6,FALSE)</f>
        <v>1</v>
      </c>
      <c r="J7" s="84">
        <f>VLOOKUP(B7,Ordering!$A$1:$J$36,10,FALSE)</f>
        <v>11.243386243386244</v>
      </c>
      <c r="K7" s="84">
        <f t="shared" si="0"/>
        <v>2.3655913978494624E-3</v>
      </c>
      <c r="L7" s="85">
        <f t="shared" si="1"/>
        <v>2.6597257780053479E-2</v>
      </c>
    </row>
    <row r="8" spans="1:25" ht="14.5" x14ac:dyDescent="0.35">
      <c r="A8" s="11"/>
      <c r="B8" s="11" t="s">
        <v>82</v>
      </c>
      <c r="C8" s="16" t="s">
        <v>175</v>
      </c>
      <c r="D8" s="15">
        <v>1.7204301075268817</v>
      </c>
      <c r="E8" s="12">
        <f>$F$1</f>
        <v>2</v>
      </c>
      <c r="F8" s="13">
        <v>1</v>
      </c>
      <c r="G8" s="12">
        <f>E8*D8</f>
        <v>3.4408602150537635</v>
      </c>
      <c r="H8" s="81">
        <f>G8*F8</f>
        <v>3.4408602150537635</v>
      </c>
      <c r="I8" s="11">
        <f>VLOOKUP(B8,Ordering!$A$1:$J$36,6,FALSE)</f>
        <v>1</v>
      </c>
      <c r="J8" s="84">
        <f>VLOOKUP(B8,Ordering!$A$1:$J$36,10,FALSE)</f>
        <v>58.685446009389672</v>
      </c>
      <c r="K8" s="84">
        <f t="shared" si="0"/>
        <v>3.4408602150537634E-3</v>
      </c>
      <c r="L8" s="85">
        <f t="shared" si="1"/>
        <v>0.20192841637639458</v>
      </c>
      <c r="R8" s="44"/>
      <c r="V8" s="89" t="s">
        <v>243</v>
      </c>
      <c r="W8" s="90">
        <v>1</v>
      </c>
      <c r="X8" s="89" t="s">
        <v>244</v>
      </c>
      <c r="Y8" s="91">
        <f>(SUM(L5:L8)/Q21)*W8*I1</f>
        <v>50.718897877072806</v>
      </c>
    </row>
    <row r="9" spans="1:25" x14ac:dyDescent="0.3">
      <c r="G9" s="40" t="s">
        <v>126</v>
      </c>
      <c r="H9" s="41">
        <f>SUM(H5:H8)</f>
        <v>59.999999999999993</v>
      </c>
      <c r="J9" s="19"/>
      <c r="K9" s="19"/>
      <c r="L9" s="19"/>
    </row>
    <row r="10" spans="1:25" x14ac:dyDescent="0.3">
      <c r="J10" s="19"/>
      <c r="K10" s="19"/>
      <c r="L10" s="19"/>
    </row>
    <row r="11" spans="1:25" x14ac:dyDescent="0.3">
      <c r="M11" s="19"/>
    </row>
    <row r="12" spans="1:25" ht="14.75" customHeight="1" x14ac:dyDescent="0.3"/>
    <row r="13" spans="1:25" ht="14.75" customHeight="1" x14ac:dyDescent="0.3"/>
    <row r="14" spans="1:25" ht="14.75" customHeight="1" x14ac:dyDescent="0.3"/>
    <row r="15" spans="1:25" ht="14.75" customHeight="1" x14ac:dyDescent="0.3">
      <c r="P15" s="128"/>
      <c r="Q15" s="128"/>
    </row>
    <row r="16" spans="1:25" x14ac:dyDescent="0.3">
      <c r="P16" s="126"/>
      <c r="Q16" s="126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187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189</v>
      </c>
    </row>
    <row r="21" spans="11:17" x14ac:dyDescent="0.3">
      <c r="P21" s="87" t="s">
        <v>244</v>
      </c>
      <c r="Q21" s="96">
        <f>SUM(L6:L11)</f>
        <v>0.29981599673709325</v>
      </c>
    </row>
    <row r="27" spans="11:17" x14ac:dyDescent="0.3">
      <c r="K27" s="20"/>
    </row>
  </sheetData>
  <mergeCells count="4">
    <mergeCell ref="P15:Q15"/>
    <mergeCell ref="B2:H2"/>
    <mergeCell ref="B3:H3"/>
    <mergeCell ref="P16:Q16"/>
  </mergeCells>
  <printOptions horizontalCentered="1"/>
  <pageMargins left="0.4" right="0.4" top="1" bottom="0.5" header="0.3" footer="0.3"/>
  <pageSetup paperSize="9" scale="42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D2386-8AD2-4722-9A48-A497C6BC6D4A}">
  <sheetPr codeName="Sheet16">
    <tabColor theme="8" tint="-0.249977111117893"/>
    <pageSetUpPr fitToPage="1"/>
  </sheetPr>
  <dimension ref="A1:V27"/>
  <sheetViews>
    <sheetView topLeftCell="H1" zoomScale="94" zoomScaleNormal="130" zoomScaleSheetLayoutView="100" workbookViewId="0">
      <selection activeCell="Q19" sqref="Q19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3" max="15" width="2.9140625" customWidth="1"/>
    <col min="19" max="19" width="8.5" bestFit="1" customWidth="1"/>
  </cols>
  <sheetData>
    <row r="1" spans="1:22" ht="25" x14ac:dyDescent="0.3">
      <c r="A1" s="17" t="s">
        <v>0</v>
      </c>
      <c r="B1" s="9">
        <v>1</v>
      </c>
      <c r="E1" s="17" t="s">
        <v>1</v>
      </c>
      <c r="F1" s="10">
        <f>Q20</f>
        <v>285</v>
      </c>
      <c r="H1" s="17" t="s">
        <v>2</v>
      </c>
      <c r="I1" s="10">
        <f>F1/B1</f>
        <v>285</v>
      </c>
      <c r="J1" s="1"/>
      <c r="K1" s="17" t="s">
        <v>245</v>
      </c>
      <c r="L1" s="21">
        <v>20</v>
      </c>
      <c r="U1" s="124" t="s">
        <v>329</v>
      </c>
      <c r="V1" s="125">
        <v>283</v>
      </c>
    </row>
    <row r="2" spans="1:22" ht="14.25" customHeight="1" x14ac:dyDescent="0.3">
      <c r="A2" s="52"/>
      <c r="B2" s="131" t="s">
        <v>248</v>
      </c>
      <c r="C2" s="130"/>
      <c r="D2" s="130"/>
      <c r="E2" s="130"/>
      <c r="F2" s="130"/>
      <c r="G2" s="130"/>
      <c r="H2" s="130"/>
      <c r="I2" s="32"/>
      <c r="J2" s="32"/>
      <c r="K2" s="33"/>
    </row>
    <row r="3" spans="1:22" ht="14.25" customHeight="1" x14ac:dyDescent="0.3">
      <c r="A3" s="54"/>
      <c r="B3" s="133" t="s">
        <v>225</v>
      </c>
      <c r="C3" s="133"/>
      <c r="D3" s="133"/>
      <c r="E3" s="133"/>
      <c r="F3" s="133"/>
      <c r="G3" s="133"/>
      <c r="H3" s="133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0" t="s">
        <v>13</v>
      </c>
      <c r="I4" s="83" t="s">
        <v>211</v>
      </c>
      <c r="J4" s="83" t="s">
        <v>14</v>
      </c>
      <c r="K4" s="83" t="s">
        <v>15</v>
      </c>
      <c r="L4" s="83" t="s">
        <v>244</v>
      </c>
    </row>
    <row r="5" spans="1:22" ht="14.5" x14ac:dyDescent="0.35">
      <c r="A5" s="11"/>
      <c r="B5" s="11" t="s">
        <v>53</v>
      </c>
      <c r="C5" s="16" t="s">
        <v>17</v>
      </c>
      <c r="D5" s="15">
        <v>16.7</v>
      </c>
      <c r="E5" s="12">
        <f>$I$1</f>
        <v>285</v>
      </c>
      <c r="F5" s="13">
        <v>1</v>
      </c>
      <c r="G5" s="12">
        <f>E5*D5</f>
        <v>4759.5</v>
      </c>
      <c r="H5" s="81">
        <f>G5*F5</f>
        <v>4759.5</v>
      </c>
      <c r="I5" s="11">
        <f>VLOOKUP(B5,Ordering!$A$1:$J$36,6,FALSE)</f>
        <v>1</v>
      </c>
      <c r="J5" s="84">
        <f>VLOOKUP(B5,Ordering!$A$1:$J$36,10,FALSE)</f>
        <v>6.4189189189189184</v>
      </c>
      <c r="K5" s="84">
        <f>H5/I5</f>
        <v>4759.5</v>
      </c>
      <c r="L5" s="85">
        <f>J5*K5</f>
        <v>30550.844594594593</v>
      </c>
    </row>
    <row r="6" spans="1:22" ht="14.5" x14ac:dyDescent="0.35">
      <c r="A6" s="11"/>
      <c r="B6" s="11" t="s">
        <v>169</v>
      </c>
      <c r="C6" s="16" t="s">
        <v>175</v>
      </c>
      <c r="D6" s="15">
        <v>0.3</v>
      </c>
      <c r="E6" s="12">
        <f>$I$1</f>
        <v>285</v>
      </c>
      <c r="F6" s="13">
        <v>1</v>
      </c>
      <c r="G6" s="12">
        <f>E6*D6</f>
        <v>85.5</v>
      </c>
      <c r="H6" s="81">
        <f>G6*F6</f>
        <v>85.5</v>
      </c>
      <c r="I6" s="11">
        <f>VLOOKUP(B6,Ordering!$A$1:$J$36,6,FALSE)</f>
        <v>1</v>
      </c>
      <c r="J6" s="84">
        <f>VLOOKUP(B6,Ordering!$A$1:$J$36,10,FALSE)</f>
        <v>3.25</v>
      </c>
      <c r="K6" s="84">
        <f t="shared" ref="K6:K8" si="0">H6/I6</f>
        <v>85.5</v>
      </c>
      <c r="L6" s="85">
        <f t="shared" ref="L6:L8" si="1">J6*K6</f>
        <v>277.875</v>
      </c>
    </row>
    <row r="7" spans="1:22" ht="14.5" x14ac:dyDescent="0.35">
      <c r="A7" s="11"/>
      <c r="B7" s="11" t="s">
        <v>54</v>
      </c>
      <c r="C7" s="16" t="s">
        <v>17</v>
      </c>
      <c r="D7" s="15">
        <v>1</v>
      </c>
      <c r="E7" s="12">
        <f>$I$1</f>
        <v>285</v>
      </c>
      <c r="F7" s="13">
        <v>1</v>
      </c>
      <c r="G7" s="12">
        <f>E7*D7</f>
        <v>285</v>
      </c>
      <c r="H7" s="81">
        <f>G7*F7</f>
        <v>285</v>
      </c>
      <c r="I7" s="11">
        <f>VLOOKUP(B7,Ordering!$A$1:$J$36,6,FALSE)</f>
        <v>1</v>
      </c>
      <c r="J7" s="84">
        <f>VLOOKUP(B7,Ordering!$A$1:$J$36,10,FALSE)</f>
        <v>11.243386243386244</v>
      </c>
      <c r="K7" s="84">
        <f t="shared" si="0"/>
        <v>285</v>
      </c>
      <c r="L7" s="85">
        <f t="shared" si="1"/>
        <v>3204.3650793650795</v>
      </c>
    </row>
    <row r="8" spans="1:22" ht="14.5" x14ac:dyDescent="0.35">
      <c r="A8" s="11"/>
      <c r="B8" s="11" t="s">
        <v>82</v>
      </c>
      <c r="C8" s="16" t="s">
        <v>175</v>
      </c>
      <c r="D8" s="15">
        <v>2</v>
      </c>
      <c r="E8" s="12">
        <f>$I$1</f>
        <v>285</v>
      </c>
      <c r="F8" s="13">
        <v>1</v>
      </c>
      <c r="G8" s="12">
        <f>E8*D8</f>
        <v>570</v>
      </c>
      <c r="H8" s="81">
        <f>G8*F8</f>
        <v>570</v>
      </c>
      <c r="I8" s="108">
        <f>VLOOKUP(B8,Ordering!$A$1:$J$36,6,FALSE)</f>
        <v>1</v>
      </c>
      <c r="J8" s="109">
        <f>VLOOKUP(B8,Ordering!$A$1:$J$36,10,FALSE)</f>
        <v>58.685446009389672</v>
      </c>
      <c r="K8" s="109">
        <f t="shared" si="0"/>
        <v>570</v>
      </c>
      <c r="L8" s="110">
        <f t="shared" si="1"/>
        <v>33450.704225352114</v>
      </c>
    </row>
    <row r="9" spans="1:22" x14ac:dyDescent="0.3">
      <c r="I9" s="32"/>
      <c r="J9" s="32"/>
      <c r="K9" s="32"/>
      <c r="L9" s="32"/>
    </row>
    <row r="12" spans="1:22" ht="14.75" customHeight="1" x14ac:dyDescent="0.3">
      <c r="P12" s="44"/>
    </row>
    <row r="13" spans="1:22" ht="14.75" customHeight="1" x14ac:dyDescent="0.3"/>
    <row r="14" spans="1:22" ht="14.75" customHeight="1" x14ac:dyDescent="0.3"/>
    <row r="15" spans="1:22" x14ac:dyDescent="0.3">
      <c r="P15" s="128"/>
      <c r="Q15" s="128"/>
    </row>
    <row r="16" spans="1:22" x14ac:dyDescent="0.3">
      <c r="P16" s="126"/>
      <c r="Q16" s="126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283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285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58" orientation="landscape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B9C98-D1A8-41C2-9060-1C31D11A1CEC}">
  <sheetPr codeName="Sheet31">
    <tabColor theme="8" tint="-0.249977111117893"/>
    <pageSetUpPr fitToPage="1"/>
  </sheetPr>
  <dimension ref="A1:V27"/>
  <sheetViews>
    <sheetView topLeftCell="C1" zoomScale="70" zoomScaleNormal="70" zoomScaleSheetLayoutView="100" workbookViewId="0">
      <selection activeCell="Q19" sqref="Q19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6" max="16" width="13.6640625" customWidth="1"/>
    <col min="18" max="18" width="22.4140625" customWidth="1"/>
    <col min="19" max="19" width="14.83203125" customWidth="1"/>
  </cols>
  <sheetData>
    <row r="1" spans="1:22" ht="25" x14ac:dyDescent="0.3">
      <c r="A1" s="17" t="s">
        <v>127</v>
      </c>
      <c r="B1" s="9">
        <v>20</v>
      </c>
      <c r="E1" s="17" t="s">
        <v>128</v>
      </c>
      <c r="F1" s="10">
        <f>Q20</f>
        <v>2</v>
      </c>
      <c r="H1" s="17" t="s">
        <v>3</v>
      </c>
      <c r="I1" s="21">
        <v>20</v>
      </c>
      <c r="J1" s="1"/>
      <c r="K1" s="18" t="s">
        <v>4</v>
      </c>
      <c r="U1" s="124" t="s">
        <v>329</v>
      </c>
      <c r="V1" s="125">
        <v>283</v>
      </c>
    </row>
    <row r="2" spans="1:22" ht="14.25" customHeight="1" x14ac:dyDescent="0.3">
      <c r="A2" s="52"/>
      <c r="B2" s="131" t="s">
        <v>247</v>
      </c>
      <c r="C2" s="130"/>
      <c r="D2" s="130"/>
      <c r="E2" s="130"/>
      <c r="F2" s="130"/>
      <c r="G2" s="130"/>
      <c r="H2" s="130"/>
      <c r="I2" s="32"/>
      <c r="J2" s="32"/>
      <c r="K2" s="33"/>
    </row>
    <row r="3" spans="1:22" ht="14.25" customHeight="1" x14ac:dyDescent="0.3">
      <c r="A3" s="54"/>
      <c r="B3" s="133" t="s">
        <v>225</v>
      </c>
      <c r="C3" s="133"/>
      <c r="D3" s="133"/>
      <c r="E3" s="133"/>
      <c r="F3" s="133"/>
      <c r="G3" s="133"/>
      <c r="H3" s="133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0" t="s">
        <v>13</v>
      </c>
      <c r="I4" s="83" t="s">
        <v>211</v>
      </c>
      <c r="J4" s="83" t="s">
        <v>14</v>
      </c>
      <c r="K4" s="83" t="s">
        <v>15</v>
      </c>
      <c r="L4" s="83" t="s">
        <v>244</v>
      </c>
    </row>
    <row r="5" spans="1:22" ht="14.5" x14ac:dyDescent="0.35">
      <c r="A5" s="11"/>
      <c r="B5" s="11" t="s">
        <v>53</v>
      </c>
      <c r="C5" s="16" t="s">
        <v>17</v>
      </c>
      <c r="D5" s="15">
        <v>10.75268817204301</v>
      </c>
      <c r="E5" s="12">
        <f>$F$1</f>
        <v>2</v>
      </c>
      <c r="F5" s="13">
        <v>1</v>
      </c>
      <c r="G5" s="12">
        <f>E5*D5</f>
        <v>21.50537634408602</v>
      </c>
      <c r="H5" s="81">
        <f>G5*F5</f>
        <v>21.50537634408602</v>
      </c>
      <c r="I5" s="11">
        <f>VLOOKUP(B5,Ordering!$A$1:$J$36,6,FALSE)</f>
        <v>1</v>
      </c>
      <c r="J5" s="84">
        <f>VLOOKUP(B5,Ordering!$A$1:$J$36,10,FALSE)</f>
        <v>6.4189189189189184</v>
      </c>
      <c r="K5" s="84">
        <f>H5/I5</f>
        <v>21.50537634408602</v>
      </c>
      <c r="L5" s="85">
        <f>J5*K5</f>
        <v>138.04126707352512</v>
      </c>
    </row>
    <row r="6" spans="1:22" ht="14.5" x14ac:dyDescent="0.35">
      <c r="A6" s="11"/>
      <c r="B6" s="11" t="s">
        <v>169</v>
      </c>
      <c r="C6" s="16" t="s">
        <v>175</v>
      </c>
      <c r="D6" s="15">
        <v>7.311827956989247</v>
      </c>
      <c r="E6" s="12">
        <f>$F$1</f>
        <v>2</v>
      </c>
      <c r="F6" s="13">
        <v>1</v>
      </c>
      <c r="G6" s="12">
        <f>E6*D6</f>
        <v>14.623655913978494</v>
      </c>
      <c r="H6" s="81">
        <f>G6*F6</f>
        <v>14.623655913978494</v>
      </c>
      <c r="I6" s="11">
        <f>VLOOKUP(B6,Ordering!$A$1:$J$36,6,FALSE)</f>
        <v>1</v>
      </c>
      <c r="J6" s="84">
        <f>VLOOKUP(B6,Ordering!$A$1:$J$36,10,FALSE)</f>
        <v>3.25</v>
      </c>
      <c r="K6" s="84">
        <f t="shared" ref="K6:K8" si="0">H6/I6</f>
        <v>14.623655913978494</v>
      </c>
      <c r="L6" s="85">
        <f t="shared" ref="L6:L8" si="1">J6*K6</f>
        <v>47.526881720430104</v>
      </c>
    </row>
    <row r="7" spans="1:22" ht="14.5" x14ac:dyDescent="0.35">
      <c r="A7" s="11"/>
      <c r="B7" s="11" t="s">
        <v>54</v>
      </c>
      <c r="C7" s="16" t="s">
        <v>17</v>
      </c>
      <c r="D7" s="15">
        <v>0.78853046594982079</v>
      </c>
      <c r="E7" s="12">
        <f>$F$1</f>
        <v>2</v>
      </c>
      <c r="F7" s="13">
        <v>1</v>
      </c>
      <c r="G7" s="12">
        <f>E7*D7</f>
        <v>1.5770609318996416</v>
      </c>
      <c r="H7" s="81">
        <f>G7*F7</f>
        <v>1.5770609318996416</v>
      </c>
      <c r="I7" s="11">
        <f>VLOOKUP(B7,Ordering!$A$1:$J$36,6,FALSE)</f>
        <v>1</v>
      </c>
      <c r="J7" s="84">
        <f>VLOOKUP(B7,Ordering!$A$1:$J$36,10,FALSE)</f>
        <v>11.243386243386244</v>
      </c>
      <c r="K7" s="84">
        <f t="shared" si="0"/>
        <v>1.5770609318996416</v>
      </c>
      <c r="L7" s="85">
        <f t="shared" si="1"/>
        <v>17.731505186702321</v>
      </c>
    </row>
    <row r="8" spans="1:22" ht="14.5" x14ac:dyDescent="0.35">
      <c r="A8" s="11"/>
      <c r="B8" s="11" t="s">
        <v>82</v>
      </c>
      <c r="C8" s="16" t="s">
        <v>175</v>
      </c>
      <c r="D8" s="15">
        <v>1.1469534050179211</v>
      </c>
      <c r="E8" s="12">
        <f>$F$1</f>
        <v>2</v>
      </c>
      <c r="F8" s="13">
        <v>1</v>
      </c>
      <c r="G8" s="12">
        <f>E8*D8</f>
        <v>2.2939068100358422</v>
      </c>
      <c r="H8" s="81">
        <f>G8*F8</f>
        <v>2.2939068100358422</v>
      </c>
      <c r="I8" s="11">
        <f>VLOOKUP(B8,Ordering!$A$1:$J$36,6,FALSE)</f>
        <v>1</v>
      </c>
      <c r="J8" s="84">
        <f>VLOOKUP(B8,Ordering!$A$1:$J$36,10,FALSE)</f>
        <v>58.685446009389672</v>
      </c>
      <c r="K8" s="84">
        <f t="shared" si="0"/>
        <v>2.2939068100358422</v>
      </c>
      <c r="L8" s="85">
        <f t="shared" si="1"/>
        <v>134.6189442509297</v>
      </c>
      <c r="R8" s="44"/>
    </row>
    <row r="9" spans="1:22" x14ac:dyDescent="0.3">
      <c r="G9" s="40" t="s">
        <v>126</v>
      </c>
      <c r="H9" s="41">
        <f>SUM(H5:H8)</f>
        <v>40</v>
      </c>
    </row>
    <row r="11" spans="1:22" x14ac:dyDescent="0.3">
      <c r="M11" s="19"/>
    </row>
    <row r="12" spans="1:22" ht="14.75" customHeight="1" x14ac:dyDescent="0.3"/>
    <row r="13" spans="1:22" ht="14.75" customHeight="1" x14ac:dyDescent="0.3"/>
    <row r="14" spans="1:22" ht="14.75" customHeight="1" x14ac:dyDescent="0.3"/>
    <row r="15" spans="1:22" ht="14.75" customHeight="1" x14ac:dyDescent="0.3">
      <c r="P15" s="128"/>
      <c r="Q15" s="129"/>
    </row>
    <row r="16" spans="1:22" x14ac:dyDescent="0.3">
      <c r="P16" s="128"/>
      <c r="Q16" s="129"/>
    </row>
    <row r="17" spans="11:17" x14ac:dyDescent="0.3">
      <c r="P17" s="126"/>
      <c r="Q17" s="127"/>
    </row>
    <row r="18" spans="11:17" ht="14.5" thickBot="1" x14ac:dyDescent="0.35">
      <c r="P18" s="2" t="s">
        <v>19</v>
      </c>
      <c r="Q18" s="3">
        <f>V1</f>
        <v>283</v>
      </c>
    </row>
    <row r="19" spans="11:17" ht="14.5" thickBot="1" x14ac:dyDescent="0.35">
      <c r="P19" s="4" t="s">
        <v>21</v>
      </c>
      <c r="Q19" s="5">
        <f>'Coctail Sauce Dip In  (2)'!Q18</f>
        <v>283</v>
      </c>
    </row>
    <row r="20" spans="11:17" ht="14.5" thickBot="1" x14ac:dyDescent="0.35">
      <c r="P20" s="4" t="s">
        <v>22</v>
      </c>
      <c r="Q20" s="6">
        <v>2</v>
      </c>
    </row>
    <row r="21" spans="11:17" x14ac:dyDescent="0.3">
      <c r="P21" s="7" t="s">
        <v>23</v>
      </c>
      <c r="Q21" s="8">
        <f>Q19+Q20</f>
        <v>285</v>
      </c>
    </row>
    <row r="22" spans="11:17" x14ac:dyDescent="0.3">
      <c r="P22" s="87" t="s">
        <v>244</v>
      </c>
      <c r="Q22" s="96">
        <f>SUM(L6:L11)</f>
        <v>199.87733115806213</v>
      </c>
    </row>
    <row r="27" spans="11:17" x14ac:dyDescent="0.3">
      <c r="K27" s="20"/>
    </row>
  </sheetData>
  <mergeCells count="5">
    <mergeCell ref="P15:Q15"/>
    <mergeCell ref="P16:Q16"/>
    <mergeCell ref="B2:H2"/>
    <mergeCell ref="B3:H3"/>
    <mergeCell ref="P17:Q17"/>
  </mergeCells>
  <printOptions horizontalCentered="1"/>
  <pageMargins left="0.4" right="0.4" top="1" bottom="0.5" header="0.3" footer="0.3"/>
  <pageSetup paperSize="9" scale="54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8" tint="-0.249977111117893"/>
    <pageSetUpPr fitToPage="1"/>
  </sheetPr>
  <dimension ref="A1:Y27"/>
  <sheetViews>
    <sheetView topLeftCell="H1" zoomScale="70" zoomScaleNormal="70" zoomScaleSheetLayoutView="100" workbookViewId="0">
      <selection activeCell="Q19" sqref="Q19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3" max="15" width="5" customWidth="1"/>
    <col min="16" max="16" width="16.9140625" customWidth="1"/>
    <col min="17" max="17" width="13.6640625" customWidth="1"/>
    <col min="19" max="19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Q20</f>
        <v>285</v>
      </c>
      <c r="F1" s="17" t="s">
        <v>2</v>
      </c>
      <c r="G1" s="10">
        <f>D1/B1</f>
        <v>285</v>
      </c>
      <c r="H1" s="17" t="s">
        <v>3</v>
      </c>
      <c r="I1" s="21">
        <v>12</v>
      </c>
      <c r="J1" s="1"/>
      <c r="K1" s="23" t="s">
        <v>4</v>
      </c>
      <c r="U1" s="124" t="s">
        <v>329</v>
      </c>
      <c r="V1" s="125">
        <v>283</v>
      </c>
    </row>
    <row r="2" spans="1:25" ht="14.25" customHeight="1" x14ac:dyDescent="0.3">
      <c r="A2" s="52"/>
      <c r="B2" s="131" t="s">
        <v>16</v>
      </c>
      <c r="C2" s="130"/>
      <c r="D2" s="130"/>
      <c r="E2" s="130"/>
      <c r="F2" s="130"/>
      <c r="G2" s="130"/>
      <c r="H2" s="130"/>
      <c r="I2" s="32"/>
      <c r="J2" s="32"/>
      <c r="K2" s="33"/>
    </row>
    <row r="3" spans="1:25" ht="14.25" customHeight="1" x14ac:dyDescent="0.3">
      <c r="A3" s="54"/>
      <c r="B3" s="133" t="s">
        <v>225</v>
      </c>
      <c r="C3" s="133"/>
      <c r="D3" s="133"/>
      <c r="E3" s="133"/>
      <c r="F3" s="133"/>
      <c r="G3" s="133"/>
      <c r="H3" s="133"/>
      <c r="I3" s="31"/>
      <c r="J3" s="31"/>
      <c r="K3" s="34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0" t="s">
        <v>13</v>
      </c>
      <c r="I4" s="83" t="s">
        <v>211</v>
      </c>
      <c r="J4" s="83" t="s">
        <v>14</v>
      </c>
      <c r="K4" s="83" t="s">
        <v>15</v>
      </c>
      <c r="L4" s="83" t="s">
        <v>244</v>
      </c>
    </row>
    <row r="5" spans="1:25" ht="14.5" x14ac:dyDescent="0.35">
      <c r="A5" s="11"/>
      <c r="B5" s="11" t="s">
        <v>16</v>
      </c>
      <c r="C5" s="16" t="s">
        <v>17</v>
      </c>
      <c r="D5" s="15">
        <v>13</v>
      </c>
      <c r="E5" s="12">
        <f>$G$1</f>
        <v>285</v>
      </c>
      <c r="F5" s="13">
        <v>1</v>
      </c>
      <c r="G5" s="12">
        <f>E5*D5</f>
        <v>3705</v>
      </c>
      <c r="H5" s="81">
        <f>G5*F5</f>
        <v>3705</v>
      </c>
      <c r="I5" s="11">
        <f>VLOOKUP(B5,Ordering!$A$1:$J$36,6,FALSE)</f>
        <v>1</v>
      </c>
      <c r="J5" s="84">
        <f>VLOOKUP(B5,Ordering!$A$1:$J$36,10,FALSE)</f>
        <v>6</v>
      </c>
      <c r="K5" s="84">
        <f t="shared" ref="K5" si="0">((H5/(I5))/1000)</f>
        <v>3.7050000000000001</v>
      </c>
      <c r="L5" s="85">
        <f>J5*K5</f>
        <v>22.23</v>
      </c>
    </row>
    <row r="6" spans="1:25" x14ac:dyDescent="0.3">
      <c r="F6" s="106" t="s">
        <v>246</v>
      </c>
      <c r="G6" s="107">
        <f>Q20</f>
        <v>285</v>
      </c>
      <c r="J6" s="19"/>
      <c r="K6" s="19"/>
      <c r="L6" s="19"/>
    </row>
    <row r="7" spans="1:25" x14ac:dyDescent="0.3">
      <c r="J7" s="19"/>
      <c r="K7" s="19"/>
      <c r="L7" s="19"/>
    </row>
    <row r="8" spans="1:25" x14ac:dyDescent="0.3">
      <c r="J8" s="19"/>
      <c r="K8" s="19"/>
      <c r="L8" s="19"/>
      <c r="S8" s="44"/>
      <c r="V8" s="89" t="s">
        <v>243</v>
      </c>
      <c r="W8" s="90">
        <v>1</v>
      </c>
      <c r="X8" s="89" t="s">
        <v>244</v>
      </c>
      <c r="Y8" s="91">
        <f>SUM(L5)/Q20</f>
        <v>7.8E-2</v>
      </c>
    </row>
    <row r="9" spans="1:25" x14ac:dyDescent="0.3">
      <c r="J9" s="19"/>
      <c r="K9" s="19"/>
      <c r="L9" s="19"/>
    </row>
    <row r="10" spans="1:25" x14ac:dyDescent="0.3">
      <c r="J10" s="19"/>
      <c r="K10" s="19"/>
      <c r="L10" s="19"/>
    </row>
    <row r="11" spans="1:25" x14ac:dyDescent="0.3">
      <c r="M11" s="101"/>
      <c r="N11" s="22"/>
    </row>
    <row r="12" spans="1:25" ht="14.75" customHeight="1" x14ac:dyDescent="0.3">
      <c r="M12" s="101"/>
      <c r="N12" s="22"/>
      <c r="O12" s="22"/>
    </row>
    <row r="13" spans="1:25" ht="14.75" customHeight="1" x14ac:dyDescent="0.3"/>
    <row r="14" spans="1:25" ht="14.75" customHeight="1" x14ac:dyDescent="0.3"/>
    <row r="15" spans="1:25" x14ac:dyDescent="0.3">
      <c r="P15" s="128" t="s">
        <v>5</v>
      </c>
      <c r="Q15" s="129"/>
    </row>
    <row r="16" spans="1:25" x14ac:dyDescent="0.3">
      <c r="P16" s="126" t="s">
        <v>18</v>
      </c>
      <c r="Q16" s="12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283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285</v>
      </c>
    </row>
    <row r="21" spans="11:17" x14ac:dyDescent="0.3">
      <c r="P21" s="87" t="s">
        <v>244</v>
      </c>
      <c r="Q21" s="88">
        <f>SUM(L5)</f>
        <v>22.23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50BA4-3299-496F-B9EC-EDC491E48E30}">
  <sheetPr codeName="Sheet17">
    <tabColor theme="8" tint="-0.249977111117893"/>
    <pageSetUpPr fitToPage="1"/>
  </sheetPr>
  <dimension ref="A1:V27"/>
  <sheetViews>
    <sheetView topLeftCell="N1" zoomScale="85" zoomScaleNormal="85" zoomScaleSheetLayoutView="100" workbookViewId="0">
      <selection activeCell="Q19" sqref="Q19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22" ht="26.25" customHeight="1" x14ac:dyDescent="0.3">
      <c r="A1" s="17" t="s">
        <v>0</v>
      </c>
      <c r="B1" s="9">
        <v>1</v>
      </c>
      <c r="C1" s="17" t="s">
        <v>1</v>
      </c>
      <c r="D1" s="10">
        <f>Q20</f>
        <v>306</v>
      </c>
      <c r="F1" s="17" t="s">
        <v>2</v>
      </c>
      <c r="G1" s="10">
        <f>D1/B1</f>
        <v>306</v>
      </c>
      <c r="H1" s="17" t="s">
        <v>3</v>
      </c>
      <c r="I1" s="21">
        <v>35</v>
      </c>
      <c r="J1" s="1"/>
      <c r="K1" s="23" t="s">
        <v>4</v>
      </c>
      <c r="U1" s="124" t="s">
        <v>329</v>
      </c>
      <c r="V1" s="125">
        <v>304</v>
      </c>
    </row>
    <row r="2" spans="1:22" ht="14.25" customHeight="1" x14ac:dyDescent="0.3">
      <c r="A2" s="50"/>
      <c r="B2" s="130" t="s">
        <v>62</v>
      </c>
      <c r="C2" s="130"/>
      <c r="D2" s="130"/>
      <c r="E2" s="130"/>
      <c r="F2" s="130"/>
      <c r="G2" s="130"/>
      <c r="H2" s="130"/>
      <c r="I2" s="32"/>
      <c r="J2" s="32"/>
      <c r="K2" s="33"/>
    </row>
    <row r="3" spans="1:22" ht="14.25" customHeight="1" x14ac:dyDescent="0.3">
      <c r="A3" s="51"/>
      <c r="B3" s="133" t="s">
        <v>226</v>
      </c>
      <c r="C3" s="133"/>
      <c r="D3" s="133"/>
      <c r="E3" s="133"/>
      <c r="F3" s="133"/>
      <c r="G3" s="133"/>
      <c r="H3" s="133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0" t="s">
        <v>13</v>
      </c>
      <c r="I4" s="83" t="s">
        <v>211</v>
      </c>
      <c r="J4" s="83" t="s">
        <v>14</v>
      </c>
      <c r="K4" s="83" t="s">
        <v>15</v>
      </c>
      <c r="L4" s="83" t="s">
        <v>244</v>
      </c>
    </row>
    <row r="5" spans="1:22" ht="14.5" x14ac:dyDescent="0.35">
      <c r="A5" s="11"/>
      <c r="B5" s="11" t="s">
        <v>51</v>
      </c>
      <c r="C5" s="16" t="s">
        <v>17</v>
      </c>
      <c r="D5" s="15">
        <v>20</v>
      </c>
      <c r="E5" s="12">
        <f t="shared" ref="E5:E10" si="0">$G$1</f>
        <v>306</v>
      </c>
      <c r="F5" s="13">
        <v>1</v>
      </c>
      <c r="G5" s="12">
        <f t="shared" ref="G5:G10" si="1">E5*D5</f>
        <v>6120</v>
      </c>
      <c r="H5" s="81">
        <f t="shared" ref="H5:H10" si="2">G5*F5</f>
        <v>6120</v>
      </c>
      <c r="I5" s="11">
        <f>VLOOKUP(B5,Ordering!$A$1:$J$36,6,FALSE)</f>
        <v>1</v>
      </c>
      <c r="J5" s="84">
        <f>VLOOKUP(B5,Ordering!$A$1:$J$36,10,FALSE)</f>
        <v>6.6959999999999997</v>
      </c>
      <c r="K5" s="84">
        <f t="shared" ref="K5:K10" si="3">((H5/(I5))/1000)</f>
        <v>6.12</v>
      </c>
      <c r="L5" s="85">
        <f>J5*K5</f>
        <v>40.979520000000001</v>
      </c>
    </row>
    <row r="6" spans="1:22" ht="14.5" x14ac:dyDescent="0.35">
      <c r="A6" s="11"/>
      <c r="B6" s="11" t="s">
        <v>55</v>
      </c>
      <c r="C6" s="16" t="s">
        <v>17</v>
      </c>
      <c r="D6" s="15">
        <v>5.4</v>
      </c>
      <c r="E6" s="12">
        <f t="shared" si="0"/>
        <v>306</v>
      </c>
      <c r="F6" s="13">
        <v>1</v>
      </c>
      <c r="G6" s="12">
        <f t="shared" si="1"/>
        <v>1652.4</v>
      </c>
      <c r="H6" s="81">
        <f t="shared" si="2"/>
        <v>1652.4</v>
      </c>
      <c r="I6" s="11">
        <f>VLOOKUP(B6,Ordering!$A$1:$J$36,6,FALSE)</f>
        <v>0.8</v>
      </c>
      <c r="J6" s="84">
        <f>VLOOKUP(B6,Ordering!$A$1:$J$36,10,FALSE)</f>
        <v>3</v>
      </c>
      <c r="K6" s="84">
        <f t="shared" si="3"/>
        <v>2.0655000000000001</v>
      </c>
      <c r="L6" s="85">
        <f t="shared" ref="L6:L10" si="4">J6*K6</f>
        <v>6.1965000000000003</v>
      </c>
    </row>
    <row r="7" spans="1:22" ht="14.5" x14ac:dyDescent="0.35">
      <c r="A7" s="11"/>
      <c r="B7" s="11" t="s">
        <v>48</v>
      </c>
      <c r="C7" s="16" t="s">
        <v>17</v>
      </c>
      <c r="D7" s="15">
        <v>0.05</v>
      </c>
      <c r="E7" s="12">
        <f t="shared" si="0"/>
        <v>306</v>
      </c>
      <c r="F7" s="13">
        <v>1</v>
      </c>
      <c r="G7" s="12">
        <f t="shared" si="1"/>
        <v>15.3</v>
      </c>
      <c r="H7" s="81">
        <f t="shared" si="2"/>
        <v>15.3</v>
      </c>
      <c r="I7" s="11">
        <f>VLOOKUP(B7,Ordering!$A$1:$J$36,6,FALSE)</f>
        <v>1</v>
      </c>
      <c r="J7" s="84">
        <f>VLOOKUP(B7,Ordering!$A$1:$J$36,10,FALSE)</f>
        <v>8</v>
      </c>
      <c r="K7" s="84">
        <f t="shared" si="3"/>
        <v>1.5300000000000001E-2</v>
      </c>
      <c r="L7" s="85">
        <f t="shared" si="4"/>
        <v>0.12240000000000001</v>
      </c>
      <c r="R7" s="44"/>
    </row>
    <row r="8" spans="1:22" ht="14.5" x14ac:dyDescent="0.35">
      <c r="A8" s="11"/>
      <c r="B8" s="11" t="s">
        <v>174</v>
      </c>
      <c r="C8" s="16" t="s">
        <v>17</v>
      </c>
      <c r="D8" s="15">
        <v>0.02</v>
      </c>
      <c r="E8" s="12">
        <f t="shared" si="0"/>
        <v>306</v>
      </c>
      <c r="F8" s="13">
        <v>1</v>
      </c>
      <c r="G8" s="12">
        <f t="shared" si="1"/>
        <v>6.12</v>
      </c>
      <c r="H8" s="81">
        <f t="shared" si="2"/>
        <v>6.12</v>
      </c>
      <c r="I8" s="11">
        <f>VLOOKUP(B8,Ordering!$A$1:$J$36,6,FALSE)</f>
        <v>1</v>
      </c>
      <c r="J8" s="84">
        <f>VLOOKUP(B8,Ordering!$A$1:$J$36,10,FALSE)</f>
        <v>20</v>
      </c>
      <c r="K8" s="84">
        <f t="shared" si="3"/>
        <v>6.1200000000000004E-3</v>
      </c>
      <c r="L8" s="85">
        <f t="shared" si="4"/>
        <v>0.12240000000000001</v>
      </c>
    </row>
    <row r="9" spans="1:22" ht="14.5" x14ac:dyDescent="0.35">
      <c r="A9" s="11"/>
      <c r="B9" s="11" t="s">
        <v>50</v>
      </c>
      <c r="C9" s="16" t="s">
        <v>175</v>
      </c>
      <c r="D9" s="15">
        <v>9.4499999999999993</v>
      </c>
      <c r="E9" s="12">
        <f t="shared" si="0"/>
        <v>306</v>
      </c>
      <c r="F9" s="13">
        <v>1</v>
      </c>
      <c r="G9" s="12">
        <f t="shared" si="1"/>
        <v>2891.7</v>
      </c>
      <c r="H9" s="81">
        <f t="shared" si="2"/>
        <v>2891.7</v>
      </c>
      <c r="I9" s="11">
        <f>VLOOKUP(B9,Ordering!$A$1:$J$36,6,FALSE)</f>
        <v>1</v>
      </c>
      <c r="J9" s="84">
        <f>VLOOKUP(B9,Ordering!$A$1:$J$36,10,FALSE)</f>
        <v>0</v>
      </c>
      <c r="K9" s="84">
        <f t="shared" si="3"/>
        <v>2.8916999999999997</v>
      </c>
      <c r="L9" s="85">
        <f t="shared" si="4"/>
        <v>0</v>
      </c>
    </row>
    <row r="10" spans="1:22" ht="14.5" x14ac:dyDescent="0.35">
      <c r="A10" s="11"/>
      <c r="B10" s="11" t="s">
        <v>49</v>
      </c>
      <c r="C10" s="16" t="s">
        <v>17</v>
      </c>
      <c r="D10" s="15">
        <v>0.08</v>
      </c>
      <c r="E10" s="12">
        <f t="shared" si="0"/>
        <v>306</v>
      </c>
      <c r="F10" s="13">
        <v>1</v>
      </c>
      <c r="G10" s="12">
        <f t="shared" si="1"/>
        <v>24.48</v>
      </c>
      <c r="H10" s="81">
        <f t="shared" si="2"/>
        <v>24.48</v>
      </c>
      <c r="I10" s="11">
        <f>VLOOKUP(B10,Ordering!$A$1:$J$36,6,FALSE)</f>
        <v>1</v>
      </c>
      <c r="J10" s="84">
        <f>VLOOKUP(B10,Ordering!$A$1:$J$36,10,FALSE)</f>
        <v>0.74</v>
      </c>
      <c r="K10" s="84">
        <f t="shared" si="3"/>
        <v>2.4480000000000002E-2</v>
      </c>
      <c r="L10" s="85">
        <f t="shared" si="4"/>
        <v>1.8115200000000001E-2</v>
      </c>
    </row>
    <row r="11" spans="1:22" x14ac:dyDescent="0.3">
      <c r="F11" s="106" t="s">
        <v>246</v>
      </c>
      <c r="G11" s="107">
        <f>Q20</f>
        <v>306</v>
      </c>
      <c r="M11" s="101"/>
      <c r="N11" s="22"/>
    </row>
    <row r="12" spans="1:22" ht="14.75" customHeight="1" x14ac:dyDescent="0.3">
      <c r="M12" s="101"/>
      <c r="N12" s="22"/>
    </row>
    <row r="13" spans="1:22" ht="14.75" customHeight="1" x14ac:dyDescent="0.3"/>
    <row r="14" spans="1:22" ht="14.75" customHeight="1" x14ac:dyDescent="0.3"/>
    <row r="15" spans="1:22" x14ac:dyDescent="0.3">
      <c r="P15" s="128"/>
      <c r="Q15" s="129"/>
    </row>
    <row r="16" spans="1:22" x14ac:dyDescent="0.3">
      <c r="P16" s="126"/>
      <c r="Q16" s="12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304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306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53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8" tint="-0.249977111117893"/>
    <pageSetUpPr fitToPage="1"/>
  </sheetPr>
  <dimension ref="A1:V27"/>
  <sheetViews>
    <sheetView topLeftCell="H1" zoomScale="85" zoomScaleNormal="85" zoomScaleSheetLayoutView="100" workbookViewId="0">
      <selection activeCell="Q19" sqref="Q19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3" max="15" width="3.58203125" customWidth="1"/>
    <col min="19" max="19" width="8.5" bestFit="1" customWidth="1"/>
  </cols>
  <sheetData>
    <row r="1" spans="1:22" ht="26.25" customHeight="1" x14ac:dyDescent="0.3">
      <c r="A1" s="17" t="s">
        <v>0</v>
      </c>
      <c r="B1" s="9">
        <v>1</v>
      </c>
      <c r="C1" s="17" t="s">
        <v>1</v>
      </c>
      <c r="D1" s="10">
        <f>Q20</f>
        <v>306</v>
      </c>
      <c r="F1" s="17" t="s">
        <v>2</v>
      </c>
      <c r="G1" s="10">
        <f>D1/B1</f>
        <v>306</v>
      </c>
      <c r="H1" s="17" t="s">
        <v>3</v>
      </c>
      <c r="I1" s="21">
        <v>35</v>
      </c>
      <c r="J1" s="1"/>
      <c r="K1" s="23" t="s">
        <v>4</v>
      </c>
      <c r="U1" s="124" t="s">
        <v>329</v>
      </c>
      <c r="V1" s="125">
        <v>304</v>
      </c>
    </row>
    <row r="2" spans="1:22" ht="14.25" customHeight="1" x14ac:dyDescent="0.3">
      <c r="A2" s="54"/>
      <c r="B2" s="131" t="s">
        <v>136</v>
      </c>
      <c r="C2" s="130"/>
      <c r="D2" s="130"/>
      <c r="E2" s="130"/>
      <c r="F2" s="130"/>
      <c r="G2" s="130"/>
      <c r="H2" s="132"/>
      <c r="I2" s="32"/>
      <c r="J2" s="32"/>
      <c r="K2" s="33"/>
    </row>
    <row r="3" spans="1:22" ht="14.25" customHeight="1" x14ac:dyDescent="0.3">
      <c r="A3" s="54"/>
      <c r="B3" s="133" t="s">
        <v>226</v>
      </c>
      <c r="C3" s="133"/>
      <c r="D3" s="133"/>
      <c r="E3" s="133"/>
      <c r="F3" s="133"/>
      <c r="G3" s="133"/>
      <c r="H3" s="133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0" t="s">
        <v>13</v>
      </c>
      <c r="I4" s="83" t="s">
        <v>211</v>
      </c>
      <c r="J4" s="83" t="s">
        <v>14</v>
      </c>
      <c r="K4" s="83" t="s">
        <v>15</v>
      </c>
      <c r="L4" s="83" t="s">
        <v>244</v>
      </c>
    </row>
    <row r="5" spans="1:22" ht="14.5" x14ac:dyDescent="0.35">
      <c r="A5" s="11"/>
      <c r="B5" s="11" t="s">
        <v>56</v>
      </c>
      <c r="C5" s="16" t="s">
        <v>17</v>
      </c>
      <c r="D5" s="15">
        <v>33.700000000000003</v>
      </c>
      <c r="E5" s="12">
        <f t="shared" ref="E5:E10" si="0">$G$1</f>
        <v>306</v>
      </c>
      <c r="F5" s="13">
        <v>1</v>
      </c>
      <c r="G5" s="12">
        <f t="shared" ref="G5:G10" si="1">E5*D5</f>
        <v>10312.200000000001</v>
      </c>
      <c r="H5" s="81">
        <f t="shared" ref="H5:H10" si="2">G5*F5</f>
        <v>10312.200000000001</v>
      </c>
      <c r="I5" s="11">
        <f>VLOOKUP(B5,Ordering!$A$1:$J$36,6,FALSE)</f>
        <v>0.98</v>
      </c>
      <c r="J5" s="84">
        <f>VLOOKUP(B5,Ordering!$A$1:$J$36,10,FALSE)</f>
        <v>3.5</v>
      </c>
      <c r="K5" s="84">
        <f>H5/I5</f>
        <v>10522.653061224491</v>
      </c>
      <c r="L5" s="85">
        <f>J5*K5</f>
        <v>36829.285714285717</v>
      </c>
    </row>
    <row r="6" spans="1:22" ht="14.5" x14ac:dyDescent="0.35">
      <c r="A6" s="11"/>
      <c r="B6" s="11" t="s">
        <v>83</v>
      </c>
      <c r="C6" s="16" t="s">
        <v>17</v>
      </c>
      <c r="D6" s="15">
        <v>0.24</v>
      </c>
      <c r="E6" s="12">
        <f t="shared" si="0"/>
        <v>306</v>
      </c>
      <c r="F6" s="13">
        <v>1</v>
      </c>
      <c r="G6" s="12">
        <f t="shared" si="1"/>
        <v>73.44</v>
      </c>
      <c r="H6" s="81">
        <f t="shared" si="2"/>
        <v>73.44</v>
      </c>
      <c r="I6" s="11">
        <f>VLOOKUP(B6,Ordering!$A$1:$J$36,6,FALSE)</f>
        <v>0.96</v>
      </c>
      <c r="J6" s="84">
        <f>VLOOKUP(B6,Ordering!$A$1:$J$36,10,FALSE)</f>
        <v>4</v>
      </c>
      <c r="K6" s="84">
        <f t="shared" ref="K6:K10" si="3">H6/I6</f>
        <v>76.5</v>
      </c>
      <c r="L6" s="85">
        <f t="shared" ref="L6:L10" si="4">J6*K6</f>
        <v>306</v>
      </c>
    </row>
    <row r="7" spans="1:22" ht="14.5" x14ac:dyDescent="0.35">
      <c r="A7" s="11"/>
      <c r="B7" s="11" t="s">
        <v>172</v>
      </c>
      <c r="C7" s="16" t="s">
        <v>17</v>
      </c>
      <c r="D7" s="15">
        <v>0.2</v>
      </c>
      <c r="E7" s="12">
        <f t="shared" si="0"/>
        <v>306</v>
      </c>
      <c r="F7" s="13">
        <v>1</v>
      </c>
      <c r="G7" s="12">
        <f t="shared" si="1"/>
        <v>61.2</v>
      </c>
      <c r="H7" s="81">
        <f t="shared" si="2"/>
        <v>61.2</v>
      </c>
      <c r="I7" s="11">
        <f>VLOOKUP(B7,Ordering!$A$1:$J$36,6,FALSE)</f>
        <v>0.94</v>
      </c>
      <c r="J7" s="84">
        <f>VLOOKUP(B7,Ordering!$A$1:$J$36,10,FALSE)</f>
        <v>3.6363636363636367</v>
      </c>
      <c r="K7" s="84">
        <f t="shared" si="3"/>
        <v>65.106382978723417</v>
      </c>
      <c r="L7" s="85">
        <f t="shared" si="4"/>
        <v>236.75048355899426</v>
      </c>
      <c r="R7" s="44"/>
    </row>
    <row r="8" spans="1:22" ht="14.5" x14ac:dyDescent="0.35">
      <c r="A8" s="11"/>
      <c r="B8" s="11" t="s">
        <v>187</v>
      </c>
      <c r="C8" s="16" t="s">
        <v>17</v>
      </c>
      <c r="D8" s="24">
        <v>3.0000000000000001E-3</v>
      </c>
      <c r="E8" s="12">
        <f t="shared" si="0"/>
        <v>306</v>
      </c>
      <c r="F8" s="13">
        <v>1</v>
      </c>
      <c r="G8" s="12">
        <f t="shared" si="1"/>
        <v>0.91800000000000004</v>
      </c>
      <c r="H8" s="81">
        <f t="shared" si="2"/>
        <v>0.91800000000000004</v>
      </c>
      <c r="I8" s="11">
        <f>VLOOKUP(B8,Ordering!$A$1:$J$36,6,FALSE)</f>
        <v>1</v>
      </c>
      <c r="J8" s="84">
        <f>VLOOKUP(B8,Ordering!$A$1:$J$36,10,FALSE)</f>
        <v>35</v>
      </c>
      <c r="K8" s="84">
        <f t="shared" si="3"/>
        <v>0.91800000000000004</v>
      </c>
      <c r="L8" s="85">
        <f t="shared" si="4"/>
        <v>32.130000000000003</v>
      </c>
    </row>
    <row r="9" spans="1:22" ht="14.5" x14ac:dyDescent="0.35">
      <c r="A9" s="11"/>
      <c r="B9" s="11" t="s">
        <v>49</v>
      </c>
      <c r="C9" s="16" t="s">
        <v>17</v>
      </c>
      <c r="D9" s="15">
        <v>0.12</v>
      </c>
      <c r="E9" s="12">
        <f t="shared" si="0"/>
        <v>306</v>
      </c>
      <c r="F9" s="13">
        <v>1</v>
      </c>
      <c r="G9" s="12">
        <f t="shared" si="1"/>
        <v>36.72</v>
      </c>
      <c r="H9" s="81">
        <f t="shared" si="2"/>
        <v>36.72</v>
      </c>
      <c r="I9" s="11">
        <f>VLOOKUP(B9,Ordering!$A$1:$J$36,6,FALSE)</f>
        <v>1</v>
      </c>
      <c r="J9" s="84">
        <f>VLOOKUP(B9,Ordering!$A$1:$J$36,10,FALSE)</f>
        <v>0.74</v>
      </c>
      <c r="K9" s="84">
        <f t="shared" si="3"/>
        <v>36.72</v>
      </c>
      <c r="L9" s="85">
        <f t="shared" si="4"/>
        <v>27.172799999999999</v>
      </c>
    </row>
    <row r="10" spans="1:22" ht="14.5" x14ac:dyDescent="0.35">
      <c r="A10" s="11"/>
      <c r="B10" s="11" t="s">
        <v>50</v>
      </c>
      <c r="C10" s="16" t="s">
        <v>175</v>
      </c>
      <c r="D10" s="15">
        <v>0.75</v>
      </c>
      <c r="E10" s="12">
        <f t="shared" si="0"/>
        <v>306</v>
      </c>
      <c r="F10" s="13">
        <v>1</v>
      </c>
      <c r="G10" s="12">
        <f t="shared" si="1"/>
        <v>229.5</v>
      </c>
      <c r="H10" s="81">
        <f t="shared" si="2"/>
        <v>229.5</v>
      </c>
      <c r="I10" s="11">
        <f>VLOOKUP(B10,Ordering!$A$1:$J$36,6,FALSE)</f>
        <v>1</v>
      </c>
      <c r="J10" s="84">
        <f>VLOOKUP(B10,Ordering!$A$1:$J$36,10,FALSE)</f>
        <v>0</v>
      </c>
      <c r="K10" s="84">
        <f t="shared" si="3"/>
        <v>229.5</v>
      </c>
      <c r="L10" s="85">
        <f t="shared" si="4"/>
        <v>0</v>
      </c>
    </row>
    <row r="11" spans="1:22" x14ac:dyDescent="0.3">
      <c r="F11" s="106" t="s">
        <v>246</v>
      </c>
      <c r="G11" s="107">
        <f>Q20</f>
        <v>306</v>
      </c>
      <c r="M11" s="101"/>
      <c r="N11" s="22"/>
    </row>
    <row r="12" spans="1:22" ht="14.75" customHeight="1" x14ac:dyDescent="0.3">
      <c r="M12" s="101"/>
      <c r="N12" s="22"/>
      <c r="O12" s="22"/>
    </row>
    <row r="13" spans="1:22" ht="14.75" customHeight="1" x14ac:dyDescent="0.3"/>
    <row r="14" spans="1:22" ht="14.75" customHeight="1" x14ac:dyDescent="0.3"/>
    <row r="15" spans="1:22" x14ac:dyDescent="0.3">
      <c r="P15" s="128"/>
      <c r="Q15" s="129"/>
    </row>
    <row r="16" spans="1:22" x14ac:dyDescent="0.3">
      <c r="P16" s="126"/>
      <c r="Q16" s="12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304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306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57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22CEF-E40F-4554-BC19-9FD4DFF12DEA}">
  <sheetPr codeName="Sheet20">
    <tabColor theme="7" tint="-0.249977111117893"/>
    <pageSetUpPr fitToPage="1"/>
  </sheetPr>
  <dimension ref="A1:V27"/>
  <sheetViews>
    <sheetView topLeftCell="H1" zoomScale="85" zoomScaleNormal="85" zoomScaleSheetLayoutView="100" workbookViewId="0">
      <selection activeCell="Q19" sqref="Q19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3" max="15" width="4.25" customWidth="1"/>
    <col min="17" max="17" width="8.5" bestFit="1" customWidth="1"/>
  </cols>
  <sheetData>
    <row r="1" spans="1:22" ht="26.25" customHeight="1" x14ac:dyDescent="0.3">
      <c r="A1" s="17" t="s">
        <v>0</v>
      </c>
      <c r="B1" s="9">
        <v>1</v>
      </c>
      <c r="C1" s="17" t="s">
        <v>1</v>
      </c>
      <c r="D1" s="10">
        <f>Q20</f>
        <v>143</v>
      </c>
      <c r="F1" s="17" t="s">
        <v>2</v>
      </c>
      <c r="G1" s="10">
        <f>D1/B1</f>
        <v>143</v>
      </c>
      <c r="H1" s="17" t="s">
        <v>3</v>
      </c>
      <c r="I1" s="21">
        <v>35</v>
      </c>
      <c r="J1" s="1"/>
      <c r="K1" s="23" t="s">
        <v>4</v>
      </c>
      <c r="U1" s="124" t="s">
        <v>329</v>
      </c>
      <c r="V1" s="125">
        <v>141</v>
      </c>
    </row>
    <row r="2" spans="1:22" ht="14.25" customHeight="1" x14ac:dyDescent="0.3">
      <c r="A2" s="52"/>
      <c r="B2" s="131" t="s">
        <v>146</v>
      </c>
      <c r="C2" s="130"/>
      <c r="D2" s="130"/>
      <c r="E2" s="130"/>
      <c r="F2" s="130"/>
      <c r="G2" s="130"/>
      <c r="H2" s="130"/>
      <c r="I2" s="32"/>
      <c r="J2" s="32"/>
      <c r="K2" s="33"/>
    </row>
    <row r="3" spans="1:22" ht="14.25" customHeight="1" x14ac:dyDescent="0.3">
      <c r="A3" s="54"/>
      <c r="B3" s="133" t="s">
        <v>223</v>
      </c>
      <c r="C3" s="133"/>
      <c r="D3" s="133"/>
      <c r="E3" s="133"/>
      <c r="F3" s="133"/>
      <c r="G3" s="133"/>
      <c r="H3" s="133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0" t="s">
        <v>13</v>
      </c>
      <c r="I4" s="83" t="s">
        <v>211</v>
      </c>
      <c r="J4" s="83" t="s">
        <v>14</v>
      </c>
      <c r="K4" s="83" t="s">
        <v>15</v>
      </c>
      <c r="L4" s="83" t="s">
        <v>244</v>
      </c>
    </row>
    <row r="5" spans="1:22" ht="14.5" x14ac:dyDescent="0.35">
      <c r="A5" s="11"/>
      <c r="B5" s="11" t="s">
        <v>47</v>
      </c>
      <c r="C5" s="16" t="s">
        <v>175</v>
      </c>
      <c r="D5" s="15">
        <v>2.12636695018226</v>
      </c>
      <c r="E5" s="12">
        <f t="shared" ref="E5:E10" si="0">$G$1</f>
        <v>143</v>
      </c>
      <c r="F5" s="13">
        <v>1</v>
      </c>
      <c r="G5" s="12">
        <f t="shared" ref="G5:G10" si="1">E5*D5</f>
        <v>304.07047387606315</v>
      </c>
      <c r="H5" s="81">
        <f t="shared" ref="H5:H10" si="2">G5*F5</f>
        <v>304.07047387606315</v>
      </c>
      <c r="I5" s="11">
        <f>VLOOKUP(B5,Ordering!$A$1:$J$36,6,FALSE)</f>
        <v>1</v>
      </c>
      <c r="J5" s="84">
        <f>VLOOKUP(B5,Ordering!$A$1:$J$36,10,FALSE)</f>
        <v>5</v>
      </c>
      <c r="K5" s="84">
        <f>H5/I5</f>
        <v>304.07047387606315</v>
      </c>
      <c r="L5" s="85">
        <f>J5*K5</f>
        <v>1520.3523693803158</v>
      </c>
    </row>
    <row r="6" spans="1:22" ht="14.5" x14ac:dyDescent="0.35">
      <c r="A6" s="11"/>
      <c r="B6" s="11" t="s">
        <v>48</v>
      </c>
      <c r="C6" s="16" t="s">
        <v>17</v>
      </c>
      <c r="D6" s="15">
        <v>4.25273390036452E-2</v>
      </c>
      <c r="E6" s="12">
        <f t="shared" si="0"/>
        <v>143</v>
      </c>
      <c r="F6" s="13">
        <v>1</v>
      </c>
      <c r="G6" s="12">
        <f t="shared" si="1"/>
        <v>6.0814094775212633</v>
      </c>
      <c r="H6" s="81">
        <f t="shared" si="2"/>
        <v>6.0814094775212633</v>
      </c>
      <c r="I6" s="11">
        <f>VLOOKUP(B6,Ordering!$A$1:$J$36,6,FALSE)</f>
        <v>1</v>
      </c>
      <c r="J6" s="84">
        <f>VLOOKUP(B6,Ordering!$A$1:$J$36,10,FALSE)</f>
        <v>8</v>
      </c>
      <c r="K6" s="84">
        <f t="shared" ref="K6:K10" si="3">H6/I6</f>
        <v>6.0814094775212633</v>
      </c>
      <c r="L6" s="85">
        <f t="shared" ref="L6:L10" si="4">J6*K6</f>
        <v>48.651275820170106</v>
      </c>
    </row>
    <row r="7" spans="1:22" ht="14.5" x14ac:dyDescent="0.35">
      <c r="A7" s="11"/>
      <c r="B7" s="11" t="s">
        <v>49</v>
      </c>
      <c r="C7" s="16" t="s">
        <v>17</v>
      </c>
      <c r="D7" s="15">
        <v>0.15593357634669908</v>
      </c>
      <c r="E7" s="12">
        <f t="shared" si="0"/>
        <v>143</v>
      </c>
      <c r="F7" s="13">
        <v>1</v>
      </c>
      <c r="G7" s="12">
        <f t="shared" si="1"/>
        <v>22.298501417577967</v>
      </c>
      <c r="H7" s="81">
        <f t="shared" si="2"/>
        <v>22.298501417577967</v>
      </c>
      <c r="I7" s="11">
        <f>VLOOKUP(B7,Ordering!$A$1:$J$36,6,FALSE)</f>
        <v>1</v>
      </c>
      <c r="J7" s="84">
        <f>VLOOKUP(B7,Ordering!$A$1:$J$36,10,FALSE)</f>
        <v>0.74</v>
      </c>
      <c r="K7" s="84">
        <f t="shared" si="3"/>
        <v>22.298501417577967</v>
      </c>
      <c r="L7" s="85">
        <f t="shared" si="4"/>
        <v>16.500891049007695</v>
      </c>
      <c r="P7" s="44"/>
    </row>
    <row r="8" spans="1:22" ht="14.5" x14ac:dyDescent="0.35">
      <c r="A8" s="11"/>
      <c r="B8" s="11" t="s">
        <v>50</v>
      </c>
      <c r="C8" s="16" t="s">
        <v>175</v>
      </c>
      <c r="D8" s="15">
        <v>18.456865127582017</v>
      </c>
      <c r="E8" s="12">
        <f t="shared" si="0"/>
        <v>143</v>
      </c>
      <c r="F8" s="13">
        <v>1</v>
      </c>
      <c r="G8" s="12">
        <f t="shared" si="1"/>
        <v>2639.3317132442285</v>
      </c>
      <c r="H8" s="81">
        <f t="shared" si="2"/>
        <v>2639.3317132442285</v>
      </c>
      <c r="I8" s="11">
        <f>VLOOKUP(B8,Ordering!$A$1:$J$36,6,FALSE)</f>
        <v>1</v>
      </c>
      <c r="J8" s="84">
        <f>VLOOKUP(B8,Ordering!$A$1:$J$36,10,FALSE)</f>
        <v>0</v>
      </c>
      <c r="K8" s="84">
        <f t="shared" si="3"/>
        <v>2639.3317132442285</v>
      </c>
      <c r="L8" s="85">
        <f t="shared" si="4"/>
        <v>0</v>
      </c>
    </row>
    <row r="9" spans="1:22" ht="14.5" x14ac:dyDescent="0.35">
      <c r="A9" s="11"/>
      <c r="B9" s="11" t="s">
        <v>168</v>
      </c>
      <c r="C9" s="16" t="s">
        <v>17</v>
      </c>
      <c r="D9" s="15">
        <v>4.25273390036452E-2</v>
      </c>
      <c r="E9" s="12">
        <f t="shared" si="0"/>
        <v>143</v>
      </c>
      <c r="F9" s="13">
        <v>1</v>
      </c>
      <c r="G9" s="12">
        <f t="shared" si="1"/>
        <v>6.0814094775212633</v>
      </c>
      <c r="H9" s="81">
        <f t="shared" si="2"/>
        <v>6.0814094775212633</v>
      </c>
      <c r="I9" s="11">
        <f>VLOOKUP(B9,Ordering!$A$1:$J$36,6,FALSE)</f>
        <v>1</v>
      </c>
      <c r="J9" s="84">
        <f>VLOOKUP(B9,Ordering!$A$1:$J$36,10,FALSE)</f>
        <v>31</v>
      </c>
      <c r="K9" s="84">
        <f t="shared" si="3"/>
        <v>6.0814094775212633</v>
      </c>
      <c r="L9" s="85">
        <f t="shared" si="4"/>
        <v>188.52369380315915</v>
      </c>
    </row>
    <row r="10" spans="1:22" ht="14.5" x14ac:dyDescent="0.35">
      <c r="A10" s="11"/>
      <c r="B10" s="11" t="s">
        <v>204</v>
      </c>
      <c r="C10" s="16" t="s">
        <v>17</v>
      </c>
      <c r="D10" s="15">
        <v>14.175779667881732</v>
      </c>
      <c r="E10" s="12">
        <f t="shared" si="0"/>
        <v>143</v>
      </c>
      <c r="F10" s="13">
        <v>1</v>
      </c>
      <c r="G10" s="12">
        <f t="shared" si="1"/>
        <v>2027.1364925070877</v>
      </c>
      <c r="H10" s="81">
        <f t="shared" si="2"/>
        <v>2027.1364925070877</v>
      </c>
      <c r="I10" s="11">
        <f>VLOOKUP(B10,Ordering!$A$1:$J$36,6,FALSE)</f>
        <v>1</v>
      </c>
      <c r="J10" s="84">
        <f>VLOOKUP(B10,Ordering!$A$1:$J$36,10,FALSE)</f>
        <v>10</v>
      </c>
      <c r="K10" s="84">
        <f t="shared" si="3"/>
        <v>2027.1364925070877</v>
      </c>
      <c r="L10" s="85">
        <f t="shared" si="4"/>
        <v>20271.364925070877</v>
      </c>
    </row>
    <row r="11" spans="1:22" x14ac:dyDescent="0.3">
      <c r="F11" s="106" t="s">
        <v>246</v>
      </c>
      <c r="G11" s="107">
        <f>Q20</f>
        <v>143</v>
      </c>
    </row>
    <row r="12" spans="1:22" ht="14.75" customHeight="1" x14ac:dyDescent="0.3">
      <c r="M12" s="22"/>
    </row>
    <row r="13" spans="1:22" ht="14.75" customHeight="1" x14ac:dyDescent="0.3"/>
    <row r="14" spans="1:22" ht="14.75" customHeight="1" x14ac:dyDescent="0.3">
      <c r="L14" s="101"/>
      <c r="M14" s="103"/>
    </row>
    <row r="15" spans="1:22" x14ac:dyDescent="0.3">
      <c r="L15" s="101"/>
      <c r="M15" s="104"/>
      <c r="P15" s="128"/>
      <c r="Q15" s="129"/>
    </row>
    <row r="16" spans="1:22" x14ac:dyDescent="0.3">
      <c r="P16" s="126"/>
      <c r="Q16" s="12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141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143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57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B8F68-7783-48A8-86FB-5E7AA4D85A02}">
  <sheetPr codeName="Sheet19">
    <tabColor theme="7" tint="-0.249977111117893"/>
    <pageSetUpPr fitToPage="1"/>
  </sheetPr>
  <dimension ref="A1:V27"/>
  <sheetViews>
    <sheetView topLeftCell="J1" zoomScale="85" zoomScaleNormal="85" zoomScaleSheetLayoutView="100" workbookViewId="0">
      <selection activeCell="Q19" sqref="Q19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22" ht="26.25" customHeight="1" x14ac:dyDescent="0.3">
      <c r="A1" s="17" t="s">
        <v>0</v>
      </c>
      <c r="B1" s="9">
        <v>1</v>
      </c>
      <c r="C1" s="17" t="s">
        <v>1</v>
      </c>
      <c r="D1" s="10">
        <f>Q20</f>
        <v>274</v>
      </c>
      <c r="F1" s="17" t="s">
        <v>2</v>
      </c>
      <c r="G1" s="10">
        <f>D1/B1</f>
        <v>274</v>
      </c>
      <c r="H1" s="17" t="s">
        <v>3</v>
      </c>
      <c r="I1" s="21">
        <v>35</v>
      </c>
      <c r="J1" s="1"/>
      <c r="K1" s="23" t="s">
        <v>4</v>
      </c>
      <c r="U1" s="124" t="s">
        <v>329</v>
      </c>
      <c r="V1" s="125">
        <v>272</v>
      </c>
    </row>
    <row r="2" spans="1:22" ht="14.25" customHeight="1" x14ac:dyDescent="0.3">
      <c r="A2" s="54"/>
      <c r="B2" s="131" t="s">
        <v>136</v>
      </c>
      <c r="C2" s="130"/>
      <c r="D2" s="130"/>
      <c r="E2" s="130"/>
      <c r="F2" s="130"/>
      <c r="G2" s="130"/>
      <c r="H2" s="132"/>
      <c r="I2" s="32"/>
      <c r="J2" s="32"/>
      <c r="K2" s="33"/>
    </row>
    <row r="3" spans="1:22" ht="14.25" customHeight="1" x14ac:dyDescent="0.3">
      <c r="A3" s="54"/>
      <c r="B3" s="134" t="s">
        <v>227</v>
      </c>
      <c r="C3" s="133"/>
      <c r="D3" s="133"/>
      <c r="E3" s="133"/>
      <c r="F3" s="133"/>
      <c r="G3" s="133"/>
      <c r="H3" s="135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0" t="s">
        <v>13</v>
      </c>
      <c r="I4" s="83" t="s">
        <v>211</v>
      </c>
      <c r="J4" s="83" t="s">
        <v>14</v>
      </c>
      <c r="K4" s="83" t="s">
        <v>15</v>
      </c>
      <c r="L4" s="83" t="s">
        <v>244</v>
      </c>
    </row>
    <row r="5" spans="1:22" ht="14.5" x14ac:dyDescent="0.35">
      <c r="A5" s="11"/>
      <c r="B5" s="11" t="s">
        <v>56</v>
      </c>
      <c r="C5" s="16" t="s">
        <v>17</v>
      </c>
      <c r="D5" s="15">
        <v>33.700000000000003</v>
      </c>
      <c r="E5" s="12">
        <f t="shared" ref="E5:E10" si="0">$G$1</f>
        <v>274</v>
      </c>
      <c r="F5" s="13">
        <v>1</v>
      </c>
      <c r="G5" s="12">
        <f t="shared" ref="G5:G10" si="1">E5*D5</f>
        <v>9233.8000000000011</v>
      </c>
      <c r="H5" s="81">
        <f t="shared" ref="H5:H10" si="2">G5*F5</f>
        <v>9233.8000000000011</v>
      </c>
      <c r="I5" s="11">
        <f>VLOOKUP(B5,Ordering!$A$1:$J$36,6,FALSE)</f>
        <v>0.98</v>
      </c>
      <c r="J5" s="84">
        <f>VLOOKUP(B5,Ordering!$A$1:$J$36,10,FALSE)</f>
        <v>3.5</v>
      </c>
      <c r="K5" s="84">
        <f>H5/I5</f>
        <v>9422.2448979591845</v>
      </c>
      <c r="L5" s="105">
        <f>J5*K5</f>
        <v>32977.857142857145</v>
      </c>
    </row>
    <row r="6" spans="1:22" ht="14.5" x14ac:dyDescent="0.35">
      <c r="A6" s="11"/>
      <c r="B6" s="11" t="s">
        <v>83</v>
      </c>
      <c r="C6" s="16" t="s">
        <v>17</v>
      </c>
      <c r="D6" s="15">
        <v>0.24</v>
      </c>
      <c r="E6" s="12">
        <f t="shared" si="0"/>
        <v>274</v>
      </c>
      <c r="F6" s="13">
        <v>1</v>
      </c>
      <c r="G6" s="12">
        <f t="shared" si="1"/>
        <v>65.759999999999991</v>
      </c>
      <c r="H6" s="81">
        <f t="shared" si="2"/>
        <v>65.759999999999991</v>
      </c>
      <c r="I6" s="11">
        <f>VLOOKUP(B6,Ordering!$A$1:$J$36,6,FALSE)</f>
        <v>0.96</v>
      </c>
      <c r="J6" s="84">
        <f>VLOOKUP(B6,Ordering!$A$1:$J$36,10,FALSE)</f>
        <v>4</v>
      </c>
      <c r="K6" s="84">
        <f t="shared" ref="K6:K10" si="3">H6/I6</f>
        <v>68.5</v>
      </c>
      <c r="L6" s="105">
        <f t="shared" ref="L6:L10" si="4">J6*K6</f>
        <v>274</v>
      </c>
    </row>
    <row r="7" spans="1:22" ht="14.5" x14ac:dyDescent="0.35">
      <c r="A7" s="11"/>
      <c r="B7" s="11" t="s">
        <v>172</v>
      </c>
      <c r="C7" s="16" t="s">
        <v>17</v>
      </c>
      <c r="D7" s="15">
        <v>0.2</v>
      </c>
      <c r="E7" s="12">
        <f t="shared" si="0"/>
        <v>274</v>
      </c>
      <c r="F7" s="13">
        <v>1</v>
      </c>
      <c r="G7" s="12">
        <f t="shared" si="1"/>
        <v>54.800000000000004</v>
      </c>
      <c r="H7" s="81">
        <f t="shared" si="2"/>
        <v>54.800000000000004</v>
      </c>
      <c r="I7" s="11">
        <f>VLOOKUP(B7,Ordering!$A$1:$J$36,6,FALSE)</f>
        <v>0.94</v>
      </c>
      <c r="J7" s="84">
        <f>VLOOKUP(B7,Ordering!$A$1:$J$36,10,FALSE)</f>
        <v>3.6363636363636367</v>
      </c>
      <c r="K7" s="84">
        <f t="shared" si="3"/>
        <v>58.297872340425542</v>
      </c>
      <c r="L7" s="105">
        <f t="shared" si="4"/>
        <v>211.9922630560929</v>
      </c>
      <c r="R7" s="44"/>
    </row>
    <row r="8" spans="1:22" ht="14.5" x14ac:dyDescent="0.35">
      <c r="A8" s="11"/>
      <c r="B8" s="11" t="s">
        <v>187</v>
      </c>
      <c r="C8" s="16" t="s">
        <v>17</v>
      </c>
      <c r="D8" s="24">
        <v>3.0000000000000001E-3</v>
      </c>
      <c r="E8" s="12">
        <f t="shared" si="0"/>
        <v>274</v>
      </c>
      <c r="F8" s="13">
        <v>1</v>
      </c>
      <c r="G8" s="12">
        <f t="shared" si="1"/>
        <v>0.82200000000000006</v>
      </c>
      <c r="H8" s="81">
        <f t="shared" si="2"/>
        <v>0.82200000000000006</v>
      </c>
      <c r="I8" s="11">
        <f>VLOOKUP(B8,Ordering!$A$1:$J$36,6,FALSE)</f>
        <v>1</v>
      </c>
      <c r="J8" s="84">
        <f>VLOOKUP(B8,Ordering!$A$1:$J$36,10,FALSE)</f>
        <v>35</v>
      </c>
      <c r="K8" s="84">
        <f t="shared" si="3"/>
        <v>0.82200000000000006</v>
      </c>
      <c r="L8" s="105">
        <f t="shared" si="4"/>
        <v>28.770000000000003</v>
      </c>
    </row>
    <row r="9" spans="1:22" ht="14.5" x14ac:dyDescent="0.35">
      <c r="A9" s="11"/>
      <c r="B9" s="11" t="s">
        <v>49</v>
      </c>
      <c r="C9" s="16" t="s">
        <v>17</v>
      </c>
      <c r="D9" s="15">
        <v>0.12</v>
      </c>
      <c r="E9" s="12">
        <f t="shared" si="0"/>
        <v>274</v>
      </c>
      <c r="F9" s="13">
        <v>1</v>
      </c>
      <c r="G9" s="12">
        <f t="shared" si="1"/>
        <v>32.879999999999995</v>
      </c>
      <c r="H9" s="81">
        <f t="shared" si="2"/>
        <v>32.879999999999995</v>
      </c>
      <c r="I9" s="11">
        <f>VLOOKUP(B9,Ordering!$A$1:$J$36,6,FALSE)</f>
        <v>1</v>
      </c>
      <c r="J9" s="84">
        <f>VLOOKUP(B9,Ordering!$A$1:$J$36,10,FALSE)</f>
        <v>0.74</v>
      </c>
      <c r="K9" s="84">
        <f t="shared" si="3"/>
        <v>32.879999999999995</v>
      </c>
      <c r="L9" s="105">
        <f t="shared" si="4"/>
        <v>24.331199999999995</v>
      </c>
    </row>
    <row r="10" spans="1:22" ht="14.5" x14ac:dyDescent="0.35">
      <c r="A10" s="11"/>
      <c r="B10" s="11" t="s">
        <v>50</v>
      </c>
      <c r="C10" s="16" t="s">
        <v>175</v>
      </c>
      <c r="D10" s="15">
        <v>0.75</v>
      </c>
      <c r="E10" s="12">
        <f t="shared" si="0"/>
        <v>274</v>
      </c>
      <c r="F10" s="13">
        <v>1</v>
      </c>
      <c r="G10" s="12">
        <f t="shared" si="1"/>
        <v>205.5</v>
      </c>
      <c r="H10" s="81">
        <f t="shared" si="2"/>
        <v>205.5</v>
      </c>
      <c r="I10" s="11">
        <f>VLOOKUP(B10,Ordering!$A$1:$J$36,6,FALSE)</f>
        <v>1</v>
      </c>
      <c r="J10" s="84">
        <f>VLOOKUP(B10,Ordering!$A$1:$J$36,10,FALSE)</f>
        <v>0</v>
      </c>
      <c r="K10" s="84">
        <f t="shared" si="3"/>
        <v>205.5</v>
      </c>
      <c r="L10" s="105">
        <f t="shared" si="4"/>
        <v>0</v>
      </c>
    </row>
    <row r="11" spans="1:22" x14ac:dyDescent="0.3">
      <c r="F11" s="106" t="s">
        <v>246</v>
      </c>
      <c r="G11" s="107">
        <f>Q20</f>
        <v>274</v>
      </c>
      <c r="M11" s="101"/>
      <c r="N11" s="22"/>
    </row>
    <row r="12" spans="1:22" ht="14.75" customHeight="1" x14ac:dyDescent="0.3">
      <c r="M12" s="101"/>
      <c r="N12" s="22"/>
      <c r="O12" s="22"/>
    </row>
    <row r="13" spans="1:22" ht="14.75" customHeight="1" x14ac:dyDescent="0.3"/>
    <row r="14" spans="1:22" ht="14.75" customHeight="1" x14ac:dyDescent="0.3"/>
    <row r="15" spans="1:22" x14ac:dyDescent="0.3">
      <c r="P15" s="128"/>
      <c r="Q15" s="129"/>
    </row>
    <row r="16" spans="1:22" x14ac:dyDescent="0.3">
      <c r="P16" s="126"/>
      <c r="Q16" s="12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272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274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53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CBE36-ED40-48E0-9708-D76CC35922E7}">
  <sheetPr codeName="Sheet21">
    <tabColor theme="7" tint="-0.249977111117893"/>
    <pageSetUpPr fitToPage="1"/>
  </sheetPr>
  <dimension ref="A1:V32"/>
  <sheetViews>
    <sheetView topLeftCell="I1" zoomScale="85" zoomScaleNormal="85" zoomScaleSheetLayoutView="100" workbookViewId="0">
      <selection activeCell="Q19" sqref="Q19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9" max="19" width="8.5" bestFit="1" customWidth="1"/>
  </cols>
  <sheetData>
    <row r="1" spans="1:22" ht="25" x14ac:dyDescent="0.3">
      <c r="A1" s="17" t="s">
        <v>0</v>
      </c>
      <c r="B1" s="9">
        <v>1</v>
      </c>
      <c r="E1" s="17" t="s">
        <v>1</v>
      </c>
      <c r="F1" s="10">
        <f>Q20</f>
        <v>236</v>
      </c>
      <c r="H1" s="17" t="s">
        <v>2</v>
      </c>
      <c r="I1" s="10">
        <f>F1/B1</f>
        <v>236</v>
      </c>
      <c r="J1" s="1"/>
      <c r="K1" s="17" t="s">
        <v>245</v>
      </c>
      <c r="L1" s="21">
        <v>20</v>
      </c>
      <c r="U1" s="124" t="s">
        <v>329</v>
      </c>
      <c r="V1" s="125">
        <v>234</v>
      </c>
    </row>
    <row r="2" spans="1:22" ht="14.25" customHeight="1" x14ac:dyDescent="0.3">
      <c r="A2" s="52"/>
      <c r="B2" s="131" t="s">
        <v>249</v>
      </c>
      <c r="C2" s="130"/>
      <c r="D2" s="130"/>
      <c r="E2" s="130"/>
      <c r="F2" s="130"/>
      <c r="G2" s="130"/>
      <c r="H2" s="130"/>
      <c r="I2" s="32"/>
      <c r="J2" s="32"/>
      <c r="K2" s="33"/>
    </row>
    <row r="3" spans="1:22" ht="25.5" customHeight="1" x14ac:dyDescent="0.3">
      <c r="A3" s="54"/>
      <c r="B3" s="133" t="s">
        <v>251</v>
      </c>
      <c r="C3" s="133"/>
      <c r="D3" s="133"/>
      <c r="E3" s="133"/>
      <c r="F3" s="133"/>
      <c r="G3" s="133"/>
      <c r="H3" s="133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0" t="s">
        <v>13</v>
      </c>
      <c r="I4" s="83" t="s">
        <v>211</v>
      </c>
      <c r="J4" s="83" t="s">
        <v>14</v>
      </c>
      <c r="K4" s="83" t="s">
        <v>15</v>
      </c>
      <c r="L4" s="83" t="s">
        <v>244</v>
      </c>
    </row>
    <row r="5" spans="1:22" ht="14.5" x14ac:dyDescent="0.35">
      <c r="A5" s="11"/>
      <c r="B5" s="11" t="s">
        <v>53</v>
      </c>
      <c r="C5" s="16" t="s">
        <v>17</v>
      </c>
      <c r="D5" s="15">
        <v>16.7</v>
      </c>
      <c r="E5" s="12">
        <f>$I$1</f>
        <v>236</v>
      </c>
      <c r="F5" s="13">
        <v>1</v>
      </c>
      <c r="G5" s="12">
        <f>E5*D5</f>
        <v>3941.2</v>
      </c>
      <c r="H5" s="81">
        <f>G5*F5</f>
        <v>3941.2</v>
      </c>
      <c r="I5" s="11">
        <f>VLOOKUP(B5,Ordering!$A$1:$J$36,6,FALSE)</f>
        <v>1</v>
      </c>
      <c r="J5" s="84">
        <f>VLOOKUP(B5,Ordering!$A$1:$J$36,10,FALSE)</f>
        <v>6.4189189189189184</v>
      </c>
      <c r="K5" s="84">
        <f>H5/I5</f>
        <v>3941.2</v>
      </c>
      <c r="L5" s="85">
        <f>J5*K5</f>
        <v>25298.24324324324</v>
      </c>
    </row>
    <row r="6" spans="1:22" ht="14.5" x14ac:dyDescent="0.35">
      <c r="A6" s="11"/>
      <c r="B6" s="11" t="s">
        <v>169</v>
      </c>
      <c r="C6" s="16" t="s">
        <v>175</v>
      </c>
      <c r="D6" s="15">
        <v>0.3</v>
      </c>
      <c r="E6" s="12">
        <f>$I$1</f>
        <v>236</v>
      </c>
      <c r="F6" s="13">
        <v>1</v>
      </c>
      <c r="G6" s="12">
        <f>E6*D6</f>
        <v>70.8</v>
      </c>
      <c r="H6" s="81">
        <f>G6*F6</f>
        <v>70.8</v>
      </c>
      <c r="I6" s="11">
        <f>VLOOKUP(B6,Ordering!$A$1:$J$36,6,FALSE)</f>
        <v>1</v>
      </c>
      <c r="J6" s="84">
        <f>VLOOKUP(B6,Ordering!$A$1:$J$36,10,FALSE)</f>
        <v>3.25</v>
      </c>
      <c r="K6" s="84">
        <f t="shared" ref="K6:K8" si="0">H6/I6</f>
        <v>70.8</v>
      </c>
      <c r="L6" s="85">
        <f t="shared" ref="L6:L8" si="1">J6*K6</f>
        <v>230.1</v>
      </c>
    </row>
    <row r="7" spans="1:22" ht="14.5" x14ac:dyDescent="0.35">
      <c r="A7" s="11"/>
      <c r="B7" s="11" t="s">
        <v>54</v>
      </c>
      <c r="C7" s="16" t="s">
        <v>17</v>
      </c>
      <c r="D7" s="15">
        <v>1</v>
      </c>
      <c r="E7" s="12">
        <f>$I$1</f>
        <v>236</v>
      </c>
      <c r="F7" s="13">
        <v>1</v>
      </c>
      <c r="G7" s="12">
        <f>E7*D7</f>
        <v>236</v>
      </c>
      <c r="H7" s="81">
        <f>G7*F7</f>
        <v>236</v>
      </c>
      <c r="I7" s="11">
        <f>VLOOKUP(B7,Ordering!$A$1:$J$36,6,FALSE)</f>
        <v>1</v>
      </c>
      <c r="J7" s="84">
        <f>VLOOKUP(B7,Ordering!$A$1:$J$36,10,FALSE)</f>
        <v>11.243386243386244</v>
      </c>
      <c r="K7" s="84">
        <f t="shared" si="0"/>
        <v>236</v>
      </c>
      <c r="L7" s="85">
        <f t="shared" si="1"/>
        <v>2653.4391534391534</v>
      </c>
      <c r="S7" s="44"/>
    </row>
    <row r="8" spans="1:22" ht="14.5" x14ac:dyDescent="0.35">
      <c r="A8" s="11"/>
      <c r="B8" s="11" t="s">
        <v>82</v>
      </c>
      <c r="C8" s="16" t="s">
        <v>175</v>
      </c>
      <c r="D8" s="15">
        <v>2</v>
      </c>
      <c r="E8" s="12">
        <f>$I$1</f>
        <v>236</v>
      </c>
      <c r="F8" s="13">
        <v>1</v>
      </c>
      <c r="G8" s="12">
        <f>E8*D8</f>
        <v>472</v>
      </c>
      <c r="H8" s="81">
        <f>G8*F8</f>
        <v>472</v>
      </c>
      <c r="I8" s="108">
        <f>VLOOKUP(B8,Ordering!$A$1:$J$36,6,FALSE)</f>
        <v>1</v>
      </c>
      <c r="J8" s="109">
        <f>VLOOKUP(B8,Ordering!$A$1:$J$36,10,FALSE)</f>
        <v>58.685446009389672</v>
      </c>
      <c r="K8" s="109">
        <f t="shared" si="0"/>
        <v>472</v>
      </c>
      <c r="L8" s="110">
        <f t="shared" si="1"/>
        <v>27699.530516431925</v>
      </c>
      <c r="S8" s="44"/>
    </row>
    <row r="9" spans="1:22" x14ac:dyDescent="0.3">
      <c r="F9" s="106" t="s">
        <v>246</v>
      </c>
      <c r="G9" s="107">
        <f>Q20</f>
        <v>236</v>
      </c>
      <c r="I9" s="112"/>
      <c r="J9" s="113"/>
      <c r="K9" s="113"/>
      <c r="L9" s="114"/>
    </row>
    <row r="11" spans="1:22" x14ac:dyDescent="0.3">
      <c r="M11" s="19"/>
    </row>
    <row r="12" spans="1:22" ht="14.75" customHeight="1" x14ac:dyDescent="0.3"/>
    <row r="13" spans="1:22" ht="14.75" customHeight="1" x14ac:dyDescent="0.3"/>
    <row r="14" spans="1:22" ht="14.75" customHeight="1" x14ac:dyDescent="0.3"/>
    <row r="15" spans="1:22" x14ac:dyDescent="0.3">
      <c r="P15" s="128"/>
      <c r="Q15" s="129"/>
    </row>
    <row r="16" spans="1:22" x14ac:dyDescent="0.3">
      <c r="P16" s="126"/>
      <c r="Q16" s="12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234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236</v>
      </c>
    </row>
    <row r="26" spans="11:17" x14ac:dyDescent="0.3">
      <c r="K26" s="20"/>
    </row>
    <row r="32" spans="11:17" x14ac:dyDescent="0.3">
      <c r="K32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54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EA627-E1B2-4631-B9CA-D2AE58B4F1C3}">
  <sheetPr codeName="Sheet30">
    <tabColor theme="7" tint="-0.249977111117893"/>
    <pageSetUpPr fitToPage="1"/>
  </sheetPr>
  <dimension ref="A1:V27"/>
  <sheetViews>
    <sheetView topLeftCell="I1" zoomScaleNormal="100" zoomScaleSheetLayoutView="100" workbookViewId="0">
      <selection activeCell="Q19" sqref="Q19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3" max="15" width="2.9140625" customWidth="1"/>
    <col min="16" max="16" width="7.9140625" bestFit="1" customWidth="1"/>
    <col min="18" max="18" width="22.4140625" customWidth="1"/>
    <col min="19" max="19" width="14.83203125" customWidth="1"/>
  </cols>
  <sheetData>
    <row r="1" spans="1:22" ht="25" x14ac:dyDescent="0.3">
      <c r="A1" s="17" t="s">
        <v>127</v>
      </c>
      <c r="B1" s="9">
        <v>20</v>
      </c>
      <c r="E1" s="17" t="s">
        <v>128</v>
      </c>
      <c r="F1" s="10">
        <f>Q20</f>
        <v>186</v>
      </c>
      <c r="H1" s="17" t="s">
        <v>3</v>
      </c>
      <c r="I1" s="21">
        <v>20</v>
      </c>
      <c r="J1" s="1"/>
      <c r="K1" s="18" t="s">
        <v>4</v>
      </c>
      <c r="U1" s="124" t="s">
        <v>329</v>
      </c>
      <c r="V1" s="125">
        <v>184</v>
      </c>
    </row>
    <row r="2" spans="1:22" ht="14.25" customHeight="1" x14ac:dyDescent="0.3">
      <c r="A2" s="52"/>
      <c r="B2" s="131" t="s">
        <v>247</v>
      </c>
      <c r="C2" s="130"/>
      <c r="D2" s="130"/>
      <c r="E2" s="130"/>
      <c r="F2" s="130"/>
      <c r="G2" s="130"/>
      <c r="H2" s="130"/>
      <c r="I2" s="32"/>
      <c r="J2" s="32"/>
      <c r="K2" s="33"/>
    </row>
    <row r="3" spans="1:22" ht="14.25" customHeight="1" x14ac:dyDescent="0.3">
      <c r="A3" s="54"/>
      <c r="B3" s="133" t="s">
        <v>228</v>
      </c>
      <c r="C3" s="133"/>
      <c r="D3" s="133"/>
      <c r="E3" s="133"/>
      <c r="F3" s="133"/>
      <c r="G3" s="133"/>
      <c r="H3" s="133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0" t="s">
        <v>13</v>
      </c>
      <c r="I4" s="83" t="s">
        <v>211</v>
      </c>
      <c r="J4" s="83" t="s">
        <v>14</v>
      </c>
      <c r="K4" s="83" t="s">
        <v>15</v>
      </c>
      <c r="L4" s="83" t="s">
        <v>244</v>
      </c>
    </row>
    <row r="5" spans="1:22" ht="14.5" x14ac:dyDescent="0.35">
      <c r="A5" s="11"/>
      <c r="B5" s="11" t="s">
        <v>53</v>
      </c>
      <c r="C5" s="16" t="s">
        <v>17</v>
      </c>
      <c r="D5" s="15">
        <v>10.75268817204301</v>
      </c>
      <c r="E5" s="12">
        <f>$F$1</f>
        <v>186</v>
      </c>
      <c r="F5" s="13">
        <v>1</v>
      </c>
      <c r="G5" s="12">
        <f>E5*D5</f>
        <v>1999.9999999999998</v>
      </c>
      <c r="H5" s="81">
        <f>G5*F5</f>
        <v>1999.9999999999998</v>
      </c>
      <c r="I5" s="11">
        <f>VLOOKUP(B5,Ordering!$A$1:$J$36,6,FALSE)</f>
        <v>1</v>
      </c>
      <c r="J5" s="84">
        <f>VLOOKUP(B5,Ordering!$A$1:$J$36,10,FALSE)</f>
        <v>6.4189189189189184</v>
      </c>
      <c r="K5" s="86">
        <f>H5/I5</f>
        <v>1999.9999999999998</v>
      </c>
      <c r="L5" s="105">
        <f>J5*K5</f>
        <v>12837.837837837835</v>
      </c>
    </row>
    <row r="6" spans="1:22" ht="14.5" x14ac:dyDescent="0.35">
      <c r="A6" s="11"/>
      <c r="B6" s="11" t="s">
        <v>169</v>
      </c>
      <c r="C6" s="16" t="s">
        <v>175</v>
      </c>
      <c r="D6" s="15">
        <v>7.311827956989247</v>
      </c>
      <c r="E6" s="12">
        <f>$F$1</f>
        <v>186</v>
      </c>
      <c r="F6" s="13">
        <v>1</v>
      </c>
      <c r="G6" s="12">
        <f>E6*D6</f>
        <v>1360</v>
      </c>
      <c r="H6" s="81">
        <f>G6*F6</f>
        <v>1360</v>
      </c>
      <c r="I6" s="11">
        <f>VLOOKUP(B6,Ordering!$A$1:$J$36,6,FALSE)</f>
        <v>1</v>
      </c>
      <c r="J6" s="84">
        <f>VLOOKUP(B6,Ordering!$A$1:$J$36,10,FALSE)</f>
        <v>3.25</v>
      </c>
      <c r="K6" s="86">
        <f t="shared" ref="K6:K8" si="0">H6/I6</f>
        <v>1360</v>
      </c>
      <c r="L6" s="105">
        <f t="shared" ref="L6:L8" si="1">J6*K6</f>
        <v>4420</v>
      </c>
    </row>
    <row r="7" spans="1:22" ht="14.5" x14ac:dyDescent="0.35">
      <c r="A7" s="11"/>
      <c r="B7" s="11" t="s">
        <v>54</v>
      </c>
      <c r="C7" s="16" t="s">
        <v>17</v>
      </c>
      <c r="D7" s="15">
        <v>0.78853046594982079</v>
      </c>
      <c r="E7" s="12">
        <f>$F$1</f>
        <v>186</v>
      </c>
      <c r="F7" s="13">
        <v>1</v>
      </c>
      <c r="G7" s="12">
        <f>E7*D7</f>
        <v>146.66666666666666</v>
      </c>
      <c r="H7" s="81">
        <f>G7*F7</f>
        <v>146.66666666666666</v>
      </c>
      <c r="I7" s="11">
        <f>VLOOKUP(B7,Ordering!$A$1:$J$36,6,FALSE)</f>
        <v>1</v>
      </c>
      <c r="J7" s="84">
        <f>VLOOKUP(B7,Ordering!$A$1:$J$36,10,FALSE)</f>
        <v>11.243386243386244</v>
      </c>
      <c r="K7" s="86">
        <f t="shared" si="0"/>
        <v>146.66666666666666</v>
      </c>
      <c r="L7" s="105">
        <f t="shared" si="1"/>
        <v>1649.0299823633156</v>
      </c>
    </row>
    <row r="8" spans="1:22" ht="14.5" x14ac:dyDescent="0.35">
      <c r="A8" s="11"/>
      <c r="B8" s="11" t="s">
        <v>82</v>
      </c>
      <c r="C8" s="16" t="s">
        <v>175</v>
      </c>
      <c r="D8" s="15">
        <v>1.1469534050179211</v>
      </c>
      <c r="E8" s="12">
        <f>$F$1</f>
        <v>186</v>
      </c>
      <c r="F8" s="13">
        <v>1</v>
      </c>
      <c r="G8" s="12">
        <f>E8*D8</f>
        <v>213.33333333333331</v>
      </c>
      <c r="H8" s="81">
        <f>G8*F8</f>
        <v>213.33333333333331</v>
      </c>
      <c r="I8" s="11">
        <f>VLOOKUP(B8,Ordering!$A$1:$J$36,6,FALSE)</f>
        <v>1</v>
      </c>
      <c r="J8" s="84">
        <f>VLOOKUP(B8,Ordering!$A$1:$J$36,10,FALSE)</f>
        <v>58.685446009389672</v>
      </c>
      <c r="K8" s="86">
        <f t="shared" si="0"/>
        <v>213.33333333333331</v>
      </c>
      <c r="L8" s="105">
        <f t="shared" si="1"/>
        <v>12519.561815336463</v>
      </c>
      <c r="R8" s="44"/>
    </row>
    <row r="9" spans="1:22" x14ac:dyDescent="0.3">
      <c r="G9" s="40" t="s">
        <v>126</v>
      </c>
      <c r="H9" s="41">
        <f>SUM(H5:H8)</f>
        <v>3720</v>
      </c>
    </row>
    <row r="11" spans="1:22" x14ac:dyDescent="0.3">
      <c r="M11" s="19"/>
    </row>
    <row r="12" spans="1:22" ht="14.75" customHeight="1" x14ac:dyDescent="0.3"/>
    <row r="13" spans="1:22" ht="14.75" customHeight="1" x14ac:dyDescent="0.3"/>
    <row r="14" spans="1:22" ht="14.75" customHeight="1" x14ac:dyDescent="0.3"/>
    <row r="15" spans="1:22" ht="14.75" customHeight="1" x14ac:dyDescent="0.3">
      <c r="P15" s="128"/>
      <c r="Q15" s="129"/>
    </row>
    <row r="16" spans="1:22" x14ac:dyDescent="0.3">
      <c r="P16" s="126"/>
      <c r="Q16" s="12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184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186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6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7" tint="-0.249977111117893"/>
    <pageSetUpPr fitToPage="1"/>
  </sheetPr>
  <dimension ref="A1:Y27"/>
  <sheetViews>
    <sheetView topLeftCell="K1" zoomScale="71" zoomScaleNormal="85" zoomScaleSheetLayoutView="100" workbookViewId="0">
      <selection activeCell="Q19" sqref="Q19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3" max="15" width="4.5" customWidth="1"/>
    <col min="19" max="19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Q20</f>
        <v>186</v>
      </c>
      <c r="F1" s="17" t="s">
        <v>2</v>
      </c>
      <c r="G1" s="10">
        <f>D1/B1</f>
        <v>186</v>
      </c>
      <c r="H1" s="17" t="s">
        <v>3</v>
      </c>
      <c r="I1" s="21">
        <v>25</v>
      </c>
      <c r="J1" s="1"/>
      <c r="K1" s="23" t="s">
        <v>4</v>
      </c>
      <c r="U1" s="124" t="s">
        <v>329</v>
      </c>
      <c r="V1" s="125">
        <v>184</v>
      </c>
    </row>
    <row r="2" spans="1:25" ht="14.25" customHeight="1" x14ac:dyDescent="0.3">
      <c r="A2" s="52"/>
      <c r="B2" s="131" t="s">
        <v>118</v>
      </c>
      <c r="C2" s="130"/>
      <c r="D2" s="130"/>
      <c r="E2" s="130"/>
      <c r="F2" s="130"/>
      <c r="G2" s="130"/>
      <c r="H2" s="130"/>
      <c r="I2" s="32"/>
      <c r="J2" s="32"/>
      <c r="K2" s="33"/>
    </row>
    <row r="3" spans="1:25" ht="14.25" customHeight="1" x14ac:dyDescent="0.3">
      <c r="A3" s="54"/>
      <c r="B3" s="133" t="s">
        <v>228</v>
      </c>
      <c r="C3" s="133"/>
      <c r="D3" s="133"/>
      <c r="E3" s="133"/>
      <c r="F3" s="133"/>
      <c r="G3" s="133"/>
      <c r="H3" s="133"/>
      <c r="I3" s="31"/>
      <c r="J3" s="31"/>
      <c r="K3" s="34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0" t="s">
        <v>13</v>
      </c>
      <c r="I4" s="83" t="s">
        <v>211</v>
      </c>
      <c r="J4" s="83" t="s">
        <v>14</v>
      </c>
      <c r="K4" s="83" t="s">
        <v>15</v>
      </c>
      <c r="L4" s="83" t="s">
        <v>244</v>
      </c>
    </row>
    <row r="5" spans="1:25" ht="14.5" x14ac:dyDescent="0.35">
      <c r="A5" s="11"/>
      <c r="B5" s="11" t="s">
        <v>16</v>
      </c>
      <c r="C5" s="16" t="s">
        <v>17</v>
      </c>
      <c r="D5" s="15">
        <v>8.3333333333333339</v>
      </c>
      <c r="E5" s="12">
        <f>$G$1</f>
        <v>186</v>
      </c>
      <c r="F5" s="13">
        <v>1</v>
      </c>
      <c r="G5" s="12">
        <f>E5*D5</f>
        <v>1550</v>
      </c>
      <c r="H5" s="81">
        <f>G5*F5</f>
        <v>1550</v>
      </c>
      <c r="I5" s="11">
        <f>VLOOKUP(B5,Ordering!$A$1:$J$36,6,FALSE)</f>
        <v>1</v>
      </c>
      <c r="J5" s="84">
        <f>VLOOKUP(B5,Ordering!$A$1:$J$36,10,FALSE)</f>
        <v>6</v>
      </c>
      <c r="K5" s="84">
        <f t="shared" ref="K5:K7" si="0">((H5/(I5))/1000)</f>
        <v>1.55</v>
      </c>
      <c r="L5" s="85">
        <f>J5*K5</f>
        <v>9.3000000000000007</v>
      </c>
    </row>
    <row r="6" spans="1:25" ht="14.5" x14ac:dyDescent="0.35">
      <c r="A6" s="11"/>
      <c r="B6" s="11" t="s">
        <v>45</v>
      </c>
      <c r="C6" s="16" t="s">
        <v>17</v>
      </c>
      <c r="D6" s="15">
        <v>8.3333333333333339</v>
      </c>
      <c r="E6" s="12">
        <f>$G$1</f>
        <v>186</v>
      </c>
      <c r="F6" s="13">
        <v>1</v>
      </c>
      <c r="G6" s="12">
        <f>E6*D6</f>
        <v>1550</v>
      </c>
      <c r="H6" s="81">
        <f>G6*F6</f>
        <v>1550</v>
      </c>
      <c r="I6" s="11">
        <f>VLOOKUP(B6,Ordering!$A$1:$J$36,6,FALSE)</f>
        <v>1</v>
      </c>
      <c r="J6" s="84">
        <f>VLOOKUP(B6,Ordering!$A$1:$J$36,10,FALSE)</f>
        <v>4.2</v>
      </c>
      <c r="K6" s="84">
        <f t="shared" si="0"/>
        <v>1.55</v>
      </c>
      <c r="L6" s="85">
        <f t="shared" ref="L6:L7" si="1">J6*K6</f>
        <v>6.5100000000000007</v>
      </c>
    </row>
    <row r="7" spans="1:25" ht="14.5" x14ac:dyDescent="0.35">
      <c r="A7" s="11"/>
      <c r="B7" s="11" t="s">
        <v>46</v>
      </c>
      <c r="C7" s="16" t="s">
        <v>17</v>
      </c>
      <c r="D7" s="15">
        <v>8.3333333333333339</v>
      </c>
      <c r="E7" s="12">
        <f>$G$1</f>
        <v>186</v>
      </c>
      <c r="F7" s="13">
        <v>1</v>
      </c>
      <c r="G7" s="12">
        <f>E7*D7</f>
        <v>1550</v>
      </c>
      <c r="H7" s="81">
        <f>G7*F7</f>
        <v>1550</v>
      </c>
      <c r="I7" s="11">
        <f>VLOOKUP(B7,Ordering!$A$1:$J$36,6,FALSE)</f>
        <v>1</v>
      </c>
      <c r="J7" s="84">
        <f>VLOOKUP(B7,Ordering!$A$1:$J$36,10,FALSE)</f>
        <v>4.2</v>
      </c>
      <c r="K7" s="84">
        <f t="shared" si="0"/>
        <v>1.55</v>
      </c>
      <c r="L7" s="85">
        <f t="shared" si="1"/>
        <v>6.5100000000000007</v>
      </c>
    </row>
    <row r="8" spans="1:25" x14ac:dyDescent="0.3">
      <c r="F8" s="106" t="s">
        <v>246</v>
      </c>
      <c r="G8" s="107">
        <f>Q20</f>
        <v>186</v>
      </c>
      <c r="J8" s="19"/>
      <c r="K8" s="19"/>
      <c r="L8" s="19"/>
      <c r="R8" s="44"/>
      <c r="V8" s="89" t="s">
        <v>243</v>
      </c>
      <c r="W8" s="90">
        <v>1</v>
      </c>
      <c r="X8" s="89" t="s">
        <v>244</v>
      </c>
      <c r="Y8" s="91">
        <f>SUM(L5:L7)/Q20</f>
        <v>0.12000000000000002</v>
      </c>
    </row>
    <row r="9" spans="1:25" x14ac:dyDescent="0.3">
      <c r="J9" s="19"/>
      <c r="K9" s="19"/>
      <c r="L9" s="19"/>
    </row>
    <row r="10" spans="1:25" x14ac:dyDescent="0.3">
      <c r="J10" s="19"/>
      <c r="K10" s="19"/>
      <c r="L10" s="19"/>
    </row>
    <row r="11" spans="1:25" x14ac:dyDescent="0.3">
      <c r="N11" s="22"/>
    </row>
    <row r="12" spans="1:25" ht="14.75" customHeight="1" x14ac:dyDescent="0.3">
      <c r="N12" s="22"/>
      <c r="O12" s="22"/>
    </row>
    <row r="13" spans="1:25" ht="14.75" customHeight="1" x14ac:dyDescent="0.3"/>
    <row r="14" spans="1:25" ht="14.75" customHeight="1" x14ac:dyDescent="0.3"/>
    <row r="15" spans="1:25" x14ac:dyDescent="0.3">
      <c r="P15" s="128" t="s">
        <v>58</v>
      </c>
      <c r="Q15" s="129"/>
    </row>
    <row r="16" spans="1:25" x14ac:dyDescent="0.3">
      <c r="P16" s="126" t="s">
        <v>18</v>
      </c>
      <c r="Q16" s="12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184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186</v>
      </c>
    </row>
    <row r="21" spans="11:17" x14ac:dyDescent="0.3">
      <c r="P21" s="87" t="s">
        <v>244</v>
      </c>
      <c r="Q21" s="88">
        <f>SUM(L5:L7)</f>
        <v>22.320000000000004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4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12F80-FE27-4191-BA89-394BEDE82487}">
  <sheetPr codeName="Sheet22">
    <tabColor theme="6" tint="-0.249977111117893"/>
    <pageSetUpPr fitToPage="1"/>
  </sheetPr>
  <dimension ref="A1:V27"/>
  <sheetViews>
    <sheetView topLeftCell="H1" zoomScale="85" zoomScaleNormal="85" zoomScaleSheetLayoutView="100" workbookViewId="0">
      <selection activeCell="Q19" sqref="Q19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22" ht="26.25" customHeight="1" x14ac:dyDescent="0.3">
      <c r="A1" s="17" t="s">
        <v>0</v>
      </c>
      <c r="B1" s="9">
        <v>1</v>
      </c>
      <c r="C1" s="17" t="s">
        <v>1</v>
      </c>
      <c r="D1" s="10">
        <f>Q20</f>
        <v>150</v>
      </c>
      <c r="F1" s="17" t="s">
        <v>2</v>
      </c>
      <c r="G1" s="10">
        <f>D1/B1</f>
        <v>150</v>
      </c>
      <c r="H1" s="17" t="s">
        <v>3</v>
      </c>
      <c r="I1" s="21">
        <v>35</v>
      </c>
      <c r="J1" s="1"/>
      <c r="K1" s="23" t="s">
        <v>4</v>
      </c>
      <c r="U1" s="124" t="s">
        <v>329</v>
      </c>
      <c r="V1" s="125">
        <v>148</v>
      </c>
    </row>
    <row r="2" spans="1:22" ht="14.25" customHeight="1" x14ac:dyDescent="0.3">
      <c r="A2" s="50"/>
      <c r="B2" s="130" t="s">
        <v>62</v>
      </c>
      <c r="C2" s="130"/>
      <c r="D2" s="130"/>
      <c r="E2" s="130"/>
      <c r="F2" s="130"/>
      <c r="G2" s="130"/>
      <c r="H2" s="130"/>
      <c r="I2" s="32"/>
      <c r="J2" s="32"/>
      <c r="K2" s="33"/>
    </row>
    <row r="3" spans="1:22" ht="14.25" customHeight="1" x14ac:dyDescent="0.3">
      <c r="A3" s="51"/>
      <c r="B3" s="133" t="s">
        <v>229</v>
      </c>
      <c r="C3" s="133"/>
      <c r="D3" s="133"/>
      <c r="E3" s="133"/>
      <c r="F3" s="133"/>
      <c r="G3" s="133"/>
      <c r="H3" s="133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0" t="s">
        <v>13</v>
      </c>
      <c r="I4" s="83" t="s">
        <v>211</v>
      </c>
      <c r="J4" s="83" t="s">
        <v>14</v>
      </c>
      <c r="K4" s="83" t="s">
        <v>15</v>
      </c>
      <c r="L4" s="83" t="s">
        <v>244</v>
      </c>
    </row>
    <row r="5" spans="1:22" ht="14.5" x14ac:dyDescent="0.35">
      <c r="A5" s="11"/>
      <c r="B5" s="11" t="s">
        <v>51</v>
      </c>
      <c r="C5" s="16" t="s">
        <v>17</v>
      </c>
      <c r="D5" s="15">
        <v>20</v>
      </c>
      <c r="E5" s="12">
        <f t="shared" ref="E5:E10" si="0">$G$1</f>
        <v>150</v>
      </c>
      <c r="F5" s="13">
        <v>1</v>
      </c>
      <c r="G5" s="12">
        <f t="shared" ref="G5:G10" si="1">E5*D5</f>
        <v>3000</v>
      </c>
      <c r="H5" s="81">
        <f t="shared" ref="H5:H10" si="2">G5*F5</f>
        <v>3000</v>
      </c>
      <c r="I5" s="11">
        <f>VLOOKUP(B5,Ordering!$A$1:$J$36,6,FALSE)</f>
        <v>1</v>
      </c>
      <c r="J5" s="84">
        <f>VLOOKUP(B5,Ordering!$A$1:$J$36,10,FALSE)</f>
        <v>6.6959999999999997</v>
      </c>
      <c r="K5" s="84">
        <f>H5/I5</f>
        <v>3000</v>
      </c>
      <c r="L5" s="85">
        <f>J5*K5</f>
        <v>20088</v>
      </c>
    </row>
    <row r="6" spans="1:22" ht="14.5" x14ac:dyDescent="0.35">
      <c r="A6" s="11"/>
      <c r="B6" s="11" t="s">
        <v>55</v>
      </c>
      <c r="C6" s="16" t="s">
        <v>17</v>
      </c>
      <c r="D6" s="15">
        <v>5.4</v>
      </c>
      <c r="E6" s="12">
        <f t="shared" si="0"/>
        <v>150</v>
      </c>
      <c r="F6" s="13">
        <v>1</v>
      </c>
      <c r="G6" s="12">
        <f t="shared" si="1"/>
        <v>810</v>
      </c>
      <c r="H6" s="81">
        <f t="shared" si="2"/>
        <v>810</v>
      </c>
      <c r="I6" s="11">
        <f>VLOOKUP(B6,Ordering!$A$1:$J$36,6,FALSE)</f>
        <v>0.8</v>
      </c>
      <c r="J6" s="84">
        <f>VLOOKUP(B6,Ordering!$A$1:$J$36,10,FALSE)</f>
        <v>3</v>
      </c>
      <c r="K6" s="84">
        <f t="shared" ref="K6:K10" si="3">H6/I6</f>
        <v>1012.5</v>
      </c>
      <c r="L6" s="85">
        <f t="shared" ref="L6:L10" si="4">J6*K6</f>
        <v>3037.5</v>
      </c>
    </row>
    <row r="7" spans="1:22" ht="14.5" x14ac:dyDescent="0.35">
      <c r="A7" s="11"/>
      <c r="B7" s="11" t="s">
        <v>48</v>
      </c>
      <c r="C7" s="16" t="s">
        <v>17</v>
      </c>
      <c r="D7" s="15">
        <v>0.05</v>
      </c>
      <c r="E7" s="12">
        <f t="shared" si="0"/>
        <v>150</v>
      </c>
      <c r="F7" s="13">
        <v>1</v>
      </c>
      <c r="G7" s="12">
        <f t="shared" si="1"/>
        <v>7.5</v>
      </c>
      <c r="H7" s="81">
        <f t="shared" si="2"/>
        <v>7.5</v>
      </c>
      <c r="I7" s="11">
        <f>VLOOKUP(B7,Ordering!$A$1:$J$36,6,FALSE)</f>
        <v>1</v>
      </c>
      <c r="J7" s="84">
        <f>VLOOKUP(B7,Ordering!$A$1:$J$36,10,FALSE)</f>
        <v>8</v>
      </c>
      <c r="K7" s="84">
        <f t="shared" si="3"/>
        <v>7.5</v>
      </c>
      <c r="L7" s="85">
        <f t="shared" si="4"/>
        <v>60</v>
      </c>
      <c r="R7" s="44"/>
    </row>
    <row r="8" spans="1:22" ht="14.5" x14ac:dyDescent="0.35">
      <c r="A8" s="11"/>
      <c r="B8" s="11" t="s">
        <v>174</v>
      </c>
      <c r="C8" s="16" t="s">
        <v>17</v>
      </c>
      <c r="D8" s="15">
        <v>0.02</v>
      </c>
      <c r="E8" s="12">
        <f t="shared" si="0"/>
        <v>150</v>
      </c>
      <c r="F8" s="13">
        <v>1</v>
      </c>
      <c r="G8" s="12">
        <f t="shared" si="1"/>
        <v>3</v>
      </c>
      <c r="H8" s="81">
        <f t="shared" si="2"/>
        <v>3</v>
      </c>
      <c r="I8" s="11">
        <f>VLOOKUP(B8,Ordering!$A$1:$J$36,6,FALSE)</f>
        <v>1</v>
      </c>
      <c r="J8" s="84">
        <f>VLOOKUP(B8,Ordering!$A$1:$J$36,10,FALSE)</f>
        <v>20</v>
      </c>
      <c r="K8" s="84">
        <f t="shared" si="3"/>
        <v>3</v>
      </c>
      <c r="L8" s="85">
        <f t="shared" si="4"/>
        <v>60</v>
      </c>
    </row>
    <row r="9" spans="1:22" ht="14.5" x14ac:dyDescent="0.35">
      <c r="A9" s="11"/>
      <c r="B9" s="11" t="s">
        <v>50</v>
      </c>
      <c r="C9" s="16" t="s">
        <v>175</v>
      </c>
      <c r="D9" s="15">
        <v>9.4499999999999993</v>
      </c>
      <c r="E9" s="12">
        <f t="shared" si="0"/>
        <v>150</v>
      </c>
      <c r="F9" s="13">
        <v>1</v>
      </c>
      <c r="G9" s="12">
        <f t="shared" si="1"/>
        <v>1417.5</v>
      </c>
      <c r="H9" s="81">
        <f t="shared" si="2"/>
        <v>1417.5</v>
      </c>
      <c r="I9" s="11">
        <f>VLOOKUP(B9,Ordering!$A$1:$J$36,6,FALSE)</f>
        <v>1</v>
      </c>
      <c r="J9" s="84">
        <f>VLOOKUP(B9,Ordering!$A$1:$J$36,10,FALSE)</f>
        <v>0</v>
      </c>
      <c r="K9" s="84">
        <f t="shared" si="3"/>
        <v>1417.5</v>
      </c>
      <c r="L9" s="85">
        <f t="shared" si="4"/>
        <v>0</v>
      </c>
    </row>
    <row r="10" spans="1:22" ht="14.5" x14ac:dyDescent="0.35">
      <c r="A10" s="11"/>
      <c r="B10" s="11" t="s">
        <v>49</v>
      </c>
      <c r="C10" s="16" t="s">
        <v>17</v>
      </c>
      <c r="D10" s="15">
        <v>0.08</v>
      </c>
      <c r="E10" s="12">
        <f t="shared" si="0"/>
        <v>150</v>
      </c>
      <c r="F10" s="13">
        <v>1</v>
      </c>
      <c r="G10" s="12">
        <f t="shared" si="1"/>
        <v>12</v>
      </c>
      <c r="H10" s="81">
        <f t="shared" si="2"/>
        <v>12</v>
      </c>
      <c r="I10" s="11">
        <f>VLOOKUP(B10,Ordering!$A$1:$J$36,6,FALSE)</f>
        <v>1</v>
      </c>
      <c r="J10" s="84">
        <f>VLOOKUP(B10,Ordering!$A$1:$J$36,10,FALSE)</f>
        <v>0.74</v>
      </c>
      <c r="K10" s="84">
        <f t="shared" si="3"/>
        <v>12</v>
      </c>
      <c r="L10" s="85">
        <f t="shared" si="4"/>
        <v>8.879999999999999</v>
      </c>
    </row>
    <row r="11" spans="1:22" x14ac:dyDescent="0.3">
      <c r="F11" s="106" t="s">
        <v>246</v>
      </c>
      <c r="G11" s="107">
        <f>Q20</f>
        <v>150</v>
      </c>
      <c r="M11" s="101"/>
      <c r="N11" s="22"/>
    </row>
    <row r="12" spans="1:22" ht="14.75" customHeight="1" x14ac:dyDescent="0.3">
      <c r="M12" s="101"/>
      <c r="N12" s="22"/>
    </row>
    <row r="13" spans="1:22" ht="14.75" customHeight="1" x14ac:dyDescent="0.3"/>
    <row r="14" spans="1:22" ht="14.75" customHeight="1" x14ac:dyDescent="0.3"/>
    <row r="15" spans="1:22" x14ac:dyDescent="0.3">
      <c r="P15" s="128"/>
      <c r="Q15" s="129"/>
    </row>
    <row r="16" spans="1:22" x14ac:dyDescent="0.3">
      <c r="P16" s="126"/>
      <c r="Q16" s="12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148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150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2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6" tint="-0.249977111117893"/>
    <pageSetUpPr fitToPage="1"/>
  </sheetPr>
  <dimension ref="A1:Y27"/>
  <sheetViews>
    <sheetView topLeftCell="H1" zoomScaleNormal="100" zoomScaleSheetLayoutView="100" workbookViewId="0">
      <selection activeCell="Q19" sqref="Q19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Q20</f>
        <v>183</v>
      </c>
      <c r="F1" s="17" t="s">
        <v>2</v>
      </c>
      <c r="G1" s="10">
        <f>D1/B1</f>
        <v>183</v>
      </c>
      <c r="H1" s="17" t="s">
        <v>3</v>
      </c>
      <c r="I1" s="21">
        <v>20</v>
      </c>
      <c r="J1" s="1"/>
      <c r="K1" s="23" t="s">
        <v>4</v>
      </c>
      <c r="U1" s="124" t="s">
        <v>329</v>
      </c>
      <c r="V1" s="125">
        <v>181</v>
      </c>
    </row>
    <row r="2" spans="1:25" ht="14.25" customHeight="1" x14ac:dyDescent="0.3">
      <c r="A2" s="52"/>
      <c r="B2" s="131" t="s">
        <v>59</v>
      </c>
      <c r="C2" s="130"/>
      <c r="D2" s="130"/>
      <c r="E2" s="130"/>
      <c r="F2" s="130"/>
      <c r="G2" s="130"/>
      <c r="H2" s="132"/>
      <c r="I2" s="32"/>
      <c r="J2" s="32"/>
      <c r="K2" s="33"/>
    </row>
    <row r="3" spans="1:25" ht="14.25" customHeight="1" x14ac:dyDescent="0.3">
      <c r="A3" s="54"/>
      <c r="B3" s="134" t="s">
        <v>230</v>
      </c>
      <c r="C3" s="133"/>
      <c r="D3" s="133"/>
      <c r="E3" s="133"/>
      <c r="F3" s="133"/>
      <c r="G3" s="133"/>
      <c r="H3" s="135"/>
      <c r="I3" s="31"/>
      <c r="J3" s="31"/>
      <c r="K3" s="34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0" t="s">
        <v>13</v>
      </c>
      <c r="I4" s="83" t="s">
        <v>211</v>
      </c>
      <c r="J4" s="83" t="s">
        <v>14</v>
      </c>
      <c r="K4" s="83" t="s">
        <v>15</v>
      </c>
      <c r="L4" s="83" t="s">
        <v>244</v>
      </c>
    </row>
    <row r="5" spans="1:25" ht="14.5" x14ac:dyDescent="0.35">
      <c r="A5" s="11"/>
      <c r="B5" s="11" t="s">
        <v>171</v>
      </c>
      <c r="C5" s="16" t="s">
        <v>17</v>
      </c>
      <c r="D5" s="15">
        <v>0.5</v>
      </c>
      <c r="E5" s="12">
        <f>$G$1</f>
        <v>183</v>
      </c>
      <c r="F5" s="13">
        <v>1</v>
      </c>
      <c r="G5" s="12">
        <f>E5*D5</f>
        <v>91.5</v>
      </c>
      <c r="H5" s="81">
        <f>G5*F5</f>
        <v>91.5</v>
      </c>
      <c r="I5" s="11">
        <f>VLOOKUP(B5,Ordering!$A$1:$J$36,6,FALSE)</f>
        <v>0.71</v>
      </c>
      <c r="J5" s="84">
        <f>VLOOKUP(B5,Ordering!$A$1:$J$36,10,FALSE)</f>
        <v>3</v>
      </c>
      <c r="K5" s="84">
        <f t="shared" ref="K5:K8" si="0">((H5/(I5))/1000)</f>
        <v>0.12887323943661971</v>
      </c>
      <c r="L5" s="85">
        <f>J5*K5</f>
        <v>0.38661971830985914</v>
      </c>
    </row>
    <row r="6" spans="1:25" ht="14.5" x14ac:dyDescent="0.35">
      <c r="A6" s="11"/>
      <c r="B6" s="11" t="s">
        <v>51</v>
      </c>
      <c r="C6" s="16" t="s">
        <v>17</v>
      </c>
      <c r="D6" s="84">
        <v>19.5</v>
      </c>
      <c r="E6" s="12">
        <f>$G$1</f>
        <v>183</v>
      </c>
      <c r="F6" s="13">
        <v>1</v>
      </c>
      <c r="G6" s="12">
        <f>E6*D6</f>
        <v>3568.5</v>
      </c>
      <c r="H6" s="81">
        <f>G6*F6</f>
        <v>3568.5</v>
      </c>
      <c r="I6" s="11">
        <f>VLOOKUP(B6,Ordering!$A$1:$J$36,6,FALSE)</f>
        <v>1</v>
      </c>
      <c r="J6" s="84">
        <f>VLOOKUP(B6,Ordering!$A$1:$J$36,10,FALSE)</f>
        <v>6.6959999999999997</v>
      </c>
      <c r="K6" s="84">
        <f t="shared" si="0"/>
        <v>3.5684999999999998</v>
      </c>
      <c r="L6" s="85">
        <f t="shared" ref="L6:L8" si="1">J6*K6</f>
        <v>23.894675999999997</v>
      </c>
    </row>
    <row r="7" spans="1:25" ht="14.5" x14ac:dyDescent="0.35">
      <c r="A7" s="11"/>
      <c r="B7" s="11" t="s">
        <v>49</v>
      </c>
      <c r="C7" s="16" t="s">
        <v>17</v>
      </c>
      <c r="D7" s="15">
        <v>5.2805280528052806E-2</v>
      </c>
      <c r="E7" s="12">
        <f>$G$1</f>
        <v>183</v>
      </c>
      <c r="F7" s="13">
        <v>1</v>
      </c>
      <c r="G7" s="12">
        <f>E7*D7</f>
        <v>9.6633663366336631</v>
      </c>
      <c r="H7" s="81">
        <f>G7*F7</f>
        <v>9.6633663366336631</v>
      </c>
      <c r="I7" s="11">
        <f>VLOOKUP(B7,Ordering!$A$1:$J$36,6,FALSE)</f>
        <v>1</v>
      </c>
      <c r="J7" s="84">
        <f>VLOOKUP(B7,Ordering!$A$1:$J$36,10,FALSE)</f>
        <v>0.74</v>
      </c>
      <c r="K7" s="84">
        <f t="shared" si="0"/>
        <v>9.6633663366336633E-3</v>
      </c>
      <c r="L7" s="85">
        <f t="shared" si="1"/>
        <v>7.1508910891089107E-3</v>
      </c>
    </row>
    <row r="8" spans="1:25" ht="14.5" x14ac:dyDescent="0.35">
      <c r="A8" s="11"/>
      <c r="B8" s="11" t="s">
        <v>52</v>
      </c>
      <c r="C8" s="16" t="s">
        <v>17</v>
      </c>
      <c r="D8" s="15">
        <v>2.6402640264026403E-2</v>
      </c>
      <c r="E8" s="12">
        <f>$G$1</f>
        <v>183</v>
      </c>
      <c r="F8" s="13">
        <v>1</v>
      </c>
      <c r="G8" s="12">
        <f>E8*D8</f>
        <v>4.8316831683168315</v>
      </c>
      <c r="H8" s="81">
        <f>G8*F8</f>
        <v>4.8316831683168315</v>
      </c>
      <c r="I8" s="11">
        <f>VLOOKUP(B8,Ordering!$A$1:$J$36,6,FALSE)</f>
        <v>1</v>
      </c>
      <c r="J8" s="84">
        <f>VLOOKUP(B8,Ordering!$A$1:$J$36,10,FALSE)</f>
        <v>47</v>
      </c>
      <c r="K8" s="84">
        <f t="shared" si="0"/>
        <v>4.8316831683168316E-3</v>
      </c>
      <c r="L8" s="85">
        <f t="shared" si="1"/>
        <v>0.2270891089108911</v>
      </c>
      <c r="R8" s="44"/>
      <c r="V8" s="89" t="s">
        <v>243</v>
      </c>
      <c r="W8" s="90">
        <v>1</v>
      </c>
      <c r="X8" s="89" t="s">
        <v>244</v>
      </c>
      <c r="Y8" s="91">
        <f>SUM(L5:L8)/Q20</f>
        <v>0.13396467605633802</v>
      </c>
    </row>
    <row r="9" spans="1:25" x14ac:dyDescent="0.3">
      <c r="G9" s="106" t="s">
        <v>246</v>
      </c>
      <c r="H9" s="107">
        <f>Q20</f>
        <v>183</v>
      </c>
      <c r="J9" s="19"/>
      <c r="K9" s="19"/>
      <c r="L9" s="19"/>
    </row>
    <row r="10" spans="1:25" x14ac:dyDescent="0.3">
      <c r="J10" s="19"/>
      <c r="K10" s="19"/>
      <c r="L10" s="19"/>
    </row>
    <row r="11" spans="1:25" x14ac:dyDescent="0.3">
      <c r="M11" s="101"/>
      <c r="N11" s="22"/>
    </row>
    <row r="12" spans="1:25" ht="14.75" customHeight="1" x14ac:dyDescent="0.3">
      <c r="M12" s="101"/>
      <c r="N12" s="22"/>
    </row>
    <row r="13" spans="1:25" ht="14.75" customHeight="1" x14ac:dyDescent="0.3"/>
    <row r="14" spans="1:25" ht="14.75" customHeight="1" x14ac:dyDescent="0.3"/>
    <row r="15" spans="1:25" x14ac:dyDescent="0.3">
      <c r="P15" s="128"/>
      <c r="Q15" s="129"/>
    </row>
    <row r="16" spans="1:25" x14ac:dyDescent="0.3">
      <c r="P16" s="126"/>
      <c r="Q16" s="12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181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183</v>
      </c>
    </row>
    <row r="21" spans="11:17" x14ac:dyDescent="0.3">
      <c r="P21" s="87" t="s">
        <v>244</v>
      </c>
      <c r="Q21" s="88">
        <f>SUM(L5:L8)</f>
        <v>24.515535718309856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39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theme="6" tint="-0.249977111117893"/>
    <pageSetUpPr fitToPage="1"/>
  </sheetPr>
  <dimension ref="A1:Y27"/>
  <sheetViews>
    <sheetView topLeftCell="I1" zoomScale="85" zoomScaleNormal="85" zoomScaleSheetLayoutView="100" workbookViewId="0">
      <selection activeCell="Q19" sqref="Q19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Q20</f>
        <v>345</v>
      </c>
      <c r="F1" s="17" t="s">
        <v>2</v>
      </c>
      <c r="G1" s="10">
        <f>D1/B1</f>
        <v>345</v>
      </c>
      <c r="H1" s="17" t="s">
        <v>3</v>
      </c>
      <c r="I1" s="21">
        <v>35</v>
      </c>
      <c r="J1" s="1"/>
      <c r="K1" s="23" t="s">
        <v>4</v>
      </c>
      <c r="U1" s="124" t="s">
        <v>329</v>
      </c>
      <c r="V1" s="125">
        <v>343</v>
      </c>
    </row>
    <row r="2" spans="1:25" ht="14.25" customHeight="1" x14ac:dyDescent="0.3">
      <c r="A2" s="52"/>
      <c r="B2" s="131" t="s">
        <v>87</v>
      </c>
      <c r="C2" s="130"/>
      <c r="D2" s="130"/>
      <c r="E2" s="130"/>
      <c r="F2" s="130"/>
      <c r="G2" s="130"/>
      <c r="H2" s="132"/>
      <c r="I2" s="32"/>
      <c r="J2" s="32"/>
      <c r="K2" s="33"/>
    </row>
    <row r="3" spans="1:25" ht="14.25" customHeight="1" x14ac:dyDescent="0.3">
      <c r="A3" s="54"/>
      <c r="B3" s="134" t="s">
        <v>231</v>
      </c>
      <c r="C3" s="133"/>
      <c r="D3" s="133"/>
      <c r="E3" s="133"/>
      <c r="F3" s="133"/>
      <c r="G3" s="133"/>
      <c r="H3" s="135"/>
      <c r="I3" s="31"/>
      <c r="J3" s="31"/>
      <c r="K3" s="34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0" t="s">
        <v>13</v>
      </c>
      <c r="I4" s="83" t="s">
        <v>211</v>
      </c>
      <c r="J4" s="83" t="s">
        <v>14</v>
      </c>
      <c r="K4" s="83" t="s">
        <v>15</v>
      </c>
      <c r="L4" s="83" t="s">
        <v>244</v>
      </c>
    </row>
    <row r="5" spans="1:25" ht="14.5" x14ac:dyDescent="0.35">
      <c r="A5" s="11"/>
      <c r="B5" s="11" t="s">
        <v>173</v>
      </c>
      <c r="C5" s="16" t="s">
        <v>17</v>
      </c>
      <c r="D5" s="15">
        <v>0.28843750000000001</v>
      </c>
      <c r="E5" s="12">
        <f t="shared" ref="E5:E10" si="0">$G$1</f>
        <v>345</v>
      </c>
      <c r="F5" s="13">
        <v>1</v>
      </c>
      <c r="G5" s="12">
        <f t="shared" ref="G5:G10" si="1">E5*D5</f>
        <v>99.510937500000011</v>
      </c>
      <c r="H5" s="81">
        <f t="shared" ref="H5:H10" si="2">G5*F5</f>
        <v>99.510937500000011</v>
      </c>
      <c r="I5" s="11">
        <f>VLOOKUP(B5,Ordering!$A$1:$J$36,6,FALSE)</f>
        <v>0.43</v>
      </c>
      <c r="J5" s="84">
        <f>VLOOKUP(B5,Ordering!$A$1:$J$36,10,FALSE)</f>
        <v>3.333333333333333</v>
      </c>
      <c r="K5" s="84">
        <f t="shared" ref="K5:K10" si="3">((H5/(I5))/1000)</f>
        <v>0.23142078488372095</v>
      </c>
      <c r="L5" s="85">
        <f>J5*K5</f>
        <v>0.77140261627906981</v>
      </c>
    </row>
    <row r="6" spans="1:25" ht="14.5" x14ac:dyDescent="0.35">
      <c r="A6" s="11"/>
      <c r="B6" s="11" t="s">
        <v>172</v>
      </c>
      <c r="C6" s="16" t="s">
        <v>17</v>
      </c>
      <c r="D6" s="15">
        <v>0.2290625</v>
      </c>
      <c r="E6" s="12">
        <f t="shared" si="0"/>
        <v>345</v>
      </c>
      <c r="F6" s="13">
        <v>1</v>
      </c>
      <c r="G6" s="12">
        <f t="shared" si="1"/>
        <v>79.026562499999997</v>
      </c>
      <c r="H6" s="81">
        <f t="shared" si="2"/>
        <v>79.026562499999997</v>
      </c>
      <c r="I6" s="11">
        <f>VLOOKUP(B6,Ordering!$A$1:$J$36,6,FALSE)</f>
        <v>0.94</v>
      </c>
      <c r="J6" s="84">
        <f>VLOOKUP(B6,Ordering!$A$1:$J$36,10,FALSE)</f>
        <v>3.6363636363636367</v>
      </c>
      <c r="K6" s="84">
        <f t="shared" si="3"/>
        <v>8.407081117021277E-2</v>
      </c>
      <c r="L6" s="85">
        <f t="shared" ref="L6:L10" si="4">J6*K6</f>
        <v>0.30571204061895557</v>
      </c>
    </row>
    <row r="7" spans="1:25" ht="23" x14ac:dyDescent="0.5">
      <c r="A7" s="11"/>
      <c r="B7" s="11" t="s">
        <v>51</v>
      </c>
      <c r="C7" s="16" t="s">
        <v>17</v>
      </c>
      <c r="D7" s="15">
        <v>21.875</v>
      </c>
      <c r="E7" s="12">
        <f t="shared" si="0"/>
        <v>345</v>
      </c>
      <c r="F7" s="13">
        <v>1</v>
      </c>
      <c r="G7" s="12">
        <f t="shared" si="1"/>
        <v>7546.875</v>
      </c>
      <c r="H7" s="81">
        <f t="shared" si="2"/>
        <v>7546.875</v>
      </c>
      <c r="I7" s="11">
        <f>VLOOKUP(B7,Ordering!$A$1:$J$36,6,FALSE)</f>
        <v>1</v>
      </c>
      <c r="J7" s="84">
        <f>VLOOKUP(B7,Ordering!$A$1:$J$36,10,FALSE)</f>
        <v>6.6959999999999997</v>
      </c>
      <c r="K7" s="84">
        <f t="shared" si="3"/>
        <v>7.546875</v>
      </c>
      <c r="L7" s="85">
        <f t="shared" si="4"/>
        <v>50.533874999999995</v>
      </c>
      <c r="R7" s="55"/>
    </row>
    <row r="8" spans="1:25" ht="14.5" x14ac:dyDescent="0.35">
      <c r="A8" s="11"/>
      <c r="B8" s="11" t="s">
        <v>48</v>
      </c>
      <c r="C8" s="16" t="s">
        <v>17</v>
      </c>
      <c r="D8" s="15">
        <v>3.125E-2</v>
      </c>
      <c r="E8" s="12">
        <f t="shared" si="0"/>
        <v>345</v>
      </c>
      <c r="F8" s="13">
        <v>1</v>
      </c>
      <c r="G8" s="12">
        <f t="shared" si="1"/>
        <v>10.78125</v>
      </c>
      <c r="H8" s="81">
        <f t="shared" si="2"/>
        <v>10.78125</v>
      </c>
      <c r="I8" s="11">
        <f>VLOOKUP(B8,Ordering!$A$1:$J$36,6,FALSE)</f>
        <v>1</v>
      </c>
      <c r="J8" s="84">
        <f>VLOOKUP(B8,Ordering!$A$1:$J$36,10,FALSE)</f>
        <v>8</v>
      </c>
      <c r="K8" s="84">
        <f t="shared" si="3"/>
        <v>1.0781249999999999E-2</v>
      </c>
      <c r="L8" s="85">
        <f t="shared" si="4"/>
        <v>8.6249999999999993E-2</v>
      </c>
      <c r="V8" s="89" t="s">
        <v>243</v>
      </c>
      <c r="W8" s="90">
        <v>1</v>
      </c>
      <c r="X8" s="89" t="s">
        <v>244</v>
      </c>
      <c r="Y8" s="91">
        <f>SUM(L5:L10)/Q20</f>
        <v>0.14993957146926962</v>
      </c>
    </row>
    <row r="9" spans="1:25" ht="14.5" x14ac:dyDescent="0.35">
      <c r="A9" s="11"/>
      <c r="B9" s="11" t="s">
        <v>50</v>
      </c>
      <c r="C9" s="16" t="s">
        <v>175</v>
      </c>
      <c r="D9" s="15">
        <v>12.5</v>
      </c>
      <c r="E9" s="12">
        <f t="shared" si="0"/>
        <v>345</v>
      </c>
      <c r="F9" s="13">
        <v>1</v>
      </c>
      <c r="G9" s="12">
        <f t="shared" si="1"/>
        <v>4312.5</v>
      </c>
      <c r="H9" s="81">
        <f t="shared" si="2"/>
        <v>4312.5</v>
      </c>
      <c r="I9" s="11">
        <f>VLOOKUP(B9,Ordering!$A$1:$J$36,6,FALSE)</f>
        <v>1</v>
      </c>
      <c r="J9" s="84">
        <f>VLOOKUP(B9,Ordering!$A$1:$J$36,10,FALSE)</f>
        <v>0</v>
      </c>
      <c r="K9" s="84">
        <f t="shared" si="3"/>
        <v>4.3125</v>
      </c>
      <c r="L9" s="85">
        <f t="shared" si="4"/>
        <v>0</v>
      </c>
    </row>
    <row r="10" spans="1:25" ht="14.5" x14ac:dyDescent="0.35">
      <c r="A10" s="11"/>
      <c r="B10" s="11" t="s">
        <v>49</v>
      </c>
      <c r="C10" s="16" t="s">
        <v>17</v>
      </c>
      <c r="D10" s="15">
        <v>0.125</v>
      </c>
      <c r="E10" s="12">
        <f t="shared" si="0"/>
        <v>345</v>
      </c>
      <c r="F10" s="13">
        <v>1</v>
      </c>
      <c r="G10" s="12">
        <f t="shared" si="1"/>
        <v>43.125</v>
      </c>
      <c r="H10" s="81">
        <f t="shared" si="2"/>
        <v>43.125</v>
      </c>
      <c r="I10" s="11">
        <f>VLOOKUP(B10,Ordering!$A$1:$J$36,6,FALSE)</f>
        <v>1</v>
      </c>
      <c r="J10" s="84">
        <f>VLOOKUP(B10,Ordering!$A$1:$J$36,10,FALSE)</f>
        <v>0.74</v>
      </c>
      <c r="K10" s="84">
        <f t="shared" si="3"/>
        <v>4.3124999999999997E-2</v>
      </c>
      <c r="L10" s="85">
        <f t="shared" si="4"/>
        <v>3.1912499999999996E-2</v>
      </c>
    </row>
    <row r="11" spans="1:25" x14ac:dyDescent="0.3">
      <c r="F11" s="106" t="s">
        <v>246</v>
      </c>
      <c r="G11" s="107">
        <f>Q20</f>
        <v>345</v>
      </c>
      <c r="M11" s="101"/>
      <c r="N11" s="22"/>
    </row>
    <row r="12" spans="1:25" ht="14.75" customHeight="1" x14ac:dyDescent="0.3">
      <c r="M12" s="101"/>
      <c r="N12" s="22"/>
    </row>
    <row r="13" spans="1:25" ht="14.75" customHeight="1" x14ac:dyDescent="0.3"/>
    <row r="14" spans="1:25" ht="14.75" customHeight="1" x14ac:dyDescent="0.3"/>
    <row r="15" spans="1:25" x14ac:dyDescent="0.3">
      <c r="P15" s="128"/>
      <c r="Q15" s="129"/>
    </row>
    <row r="16" spans="1:25" x14ac:dyDescent="0.3">
      <c r="P16" s="126"/>
      <c r="Q16" s="12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343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345</v>
      </c>
    </row>
    <row r="21" spans="11:17" x14ac:dyDescent="0.3">
      <c r="P21" s="87" t="s">
        <v>244</v>
      </c>
      <c r="Q21" s="88">
        <f>SUM(L5:L10)</f>
        <v>51.729152156898017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39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9AB27-34FF-47E0-B2F5-436D10010B97}">
  <sheetPr codeName="Sheet23">
    <tabColor theme="6" tint="-0.249977111117893"/>
    <pageSetUpPr fitToPage="1"/>
  </sheetPr>
  <dimension ref="A1:V27"/>
  <sheetViews>
    <sheetView topLeftCell="K1" zoomScale="70" zoomScaleNormal="70" zoomScaleSheetLayoutView="100" workbookViewId="0">
      <selection activeCell="Q19" sqref="Q19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3" max="15" width="3.83203125" customWidth="1"/>
    <col min="19" max="19" width="8.5" bestFit="1" customWidth="1"/>
  </cols>
  <sheetData>
    <row r="1" spans="1:22" ht="25" x14ac:dyDescent="0.3">
      <c r="A1" s="17" t="s">
        <v>0</v>
      </c>
      <c r="B1" s="9">
        <v>1</v>
      </c>
      <c r="E1" s="17" t="s">
        <v>1</v>
      </c>
      <c r="F1" s="10">
        <f>Q20</f>
        <v>179</v>
      </c>
      <c r="H1" s="17" t="s">
        <v>2</v>
      </c>
      <c r="I1" s="10">
        <f>F1/B1</f>
        <v>179</v>
      </c>
      <c r="J1" s="1"/>
      <c r="K1" s="17" t="s">
        <v>245</v>
      </c>
      <c r="L1" s="21">
        <v>20</v>
      </c>
      <c r="U1" s="124" t="s">
        <v>329</v>
      </c>
      <c r="V1" s="125">
        <v>177</v>
      </c>
    </row>
    <row r="2" spans="1:22" ht="14.25" customHeight="1" x14ac:dyDescent="0.3">
      <c r="A2" s="52"/>
      <c r="B2" s="131" t="s">
        <v>249</v>
      </c>
      <c r="C2" s="130"/>
      <c r="D2" s="130"/>
      <c r="E2" s="130"/>
      <c r="F2" s="130"/>
      <c r="G2" s="130"/>
      <c r="H2" s="130"/>
      <c r="I2" s="32"/>
      <c r="J2" s="32"/>
      <c r="K2" s="33"/>
    </row>
    <row r="3" spans="1:22" ht="14.25" customHeight="1" x14ac:dyDescent="0.3">
      <c r="A3" s="54"/>
      <c r="B3" s="133" t="s">
        <v>232</v>
      </c>
      <c r="C3" s="133"/>
      <c r="D3" s="133"/>
      <c r="E3" s="133"/>
      <c r="F3" s="133"/>
      <c r="G3" s="133"/>
      <c r="H3" s="133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0" t="s">
        <v>13</v>
      </c>
      <c r="I4" s="83" t="s">
        <v>211</v>
      </c>
      <c r="J4" s="83" t="s">
        <v>14</v>
      </c>
      <c r="K4" s="83" t="s">
        <v>15</v>
      </c>
      <c r="L4" s="83" t="s">
        <v>244</v>
      </c>
    </row>
    <row r="5" spans="1:22" ht="14.5" x14ac:dyDescent="0.35">
      <c r="A5" s="11"/>
      <c r="B5" s="11" t="s">
        <v>53</v>
      </c>
      <c r="C5" s="16" t="s">
        <v>17</v>
      </c>
      <c r="D5" s="15">
        <v>16.7</v>
      </c>
      <c r="E5" s="12">
        <f>$I$1</f>
        <v>179</v>
      </c>
      <c r="F5" s="13">
        <v>1</v>
      </c>
      <c r="G5" s="12">
        <f>E5*D5</f>
        <v>2989.2999999999997</v>
      </c>
      <c r="H5" s="81">
        <f>G5*F5</f>
        <v>2989.2999999999997</v>
      </c>
      <c r="I5" s="11">
        <f>VLOOKUP(B5,Ordering!$A$1:$J$36,6,FALSE)</f>
        <v>1</v>
      </c>
      <c r="J5" s="84">
        <f>VLOOKUP(B5,Ordering!$A$1:$J$36,10,FALSE)</f>
        <v>6.4189189189189184</v>
      </c>
      <c r="K5" s="84">
        <f>H5/I5</f>
        <v>2989.2999999999997</v>
      </c>
      <c r="L5" s="85">
        <f>J5*K5</f>
        <v>19188.07432432432</v>
      </c>
    </row>
    <row r="6" spans="1:22" ht="14.5" x14ac:dyDescent="0.35">
      <c r="A6" s="11"/>
      <c r="B6" s="11" t="s">
        <v>169</v>
      </c>
      <c r="C6" s="16" t="s">
        <v>175</v>
      </c>
      <c r="D6" s="15">
        <v>0.3</v>
      </c>
      <c r="E6" s="12">
        <f>$I$1</f>
        <v>179</v>
      </c>
      <c r="F6" s="13">
        <v>1</v>
      </c>
      <c r="G6" s="12">
        <f>E6*D6</f>
        <v>53.699999999999996</v>
      </c>
      <c r="H6" s="81">
        <f>G6*F6</f>
        <v>53.699999999999996</v>
      </c>
      <c r="I6" s="11">
        <f>VLOOKUP(B6,Ordering!$A$1:$J$36,6,FALSE)</f>
        <v>1</v>
      </c>
      <c r="J6" s="84">
        <f>VLOOKUP(B6,Ordering!$A$1:$J$36,10,FALSE)</f>
        <v>3.25</v>
      </c>
      <c r="K6" s="84">
        <f t="shared" ref="K6:K8" si="0">H6/I6</f>
        <v>53.699999999999996</v>
      </c>
      <c r="L6" s="85">
        <f t="shared" ref="L6:L8" si="1">J6*K6</f>
        <v>174.52499999999998</v>
      </c>
    </row>
    <row r="7" spans="1:22" ht="14.5" x14ac:dyDescent="0.35">
      <c r="A7" s="11"/>
      <c r="B7" s="11" t="s">
        <v>54</v>
      </c>
      <c r="C7" s="16" t="s">
        <v>17</v>
      </c>
      <c r="D7" s="15">
        <v>1</v>
      </c>
      <c r="E7" s="12">
        <f>$I$1</f>
        <v>179</v>
      </c>
      <c r="F7" s="13">
        <v>1</v>
      </c>
      <c r="G7" s="12">
        <f>E7*D7</f>
        <v>179</v>
      </c>
      <c r="H7" s="81">
        <f>G7*F7</f>
        <v>179</v>
      </c>
      <c r="I7" s="11">
        <f>VLOOKUP(B7,Ordering!$A$1:$J$36,6,FALSE)</f>
        <v>1</v>
      </c>
      <c r="J7" s="84">
        <f>VLOOKUP(B7,Ordering!$A$1:$J$36,10,FALSE)</f>
        <v>11.243386243386244</v>
      </c>
      <c r="K7" s="84">
        <f t="shared" si="0"/>
        <v>179</v>
      </c>
      <c r="L7" s="85">
        <f t="shared" si="1"/>
        <v>2012.5661375661375</v>
      </c>
      <c r="S7" s="44"/>
    </row>
    <row r="8" spans="1:22" ht="14.5" x14ac:dyDescent="0.35">
      <c r="A8" s="11"/>
      <c r="B8" s="11" t="s">
        <v>82</v>
      </c>
      <c r="C8" s="16" t="s">
        <v>175</v>
      </c>
      <c r="D8" s="15">
        <v>2</v>
      </c>
      <c r="E8" s="12">
        <f>$I$1</f>
        <v>179</v>
      </c>
      <c r="F8" s="13">
        <v>1</v>
      </c>
      <c r="G8" s="12">
        <f>E8*D8</f>
        <v>358</v>
      </c>
      <c r="H8" s="81">
        <f>G8*F8</f>
        <v>358</v>
      </c>
      <c r="I8" s="108">
        <f>VLOOKUP(B8,Ordering!$A$1:$J$36,6,FALSE)</f>
        <v>1</v>
      </c>
      <c r="J8" s="109">
        <f>VLOOKUP(B8,Ordering!$A$1:$J$36,10,FALSE)</f>
        <v>58.685446009389672</v>
      </c>
      <c r="K8" s="109">
        <f t="shared" si="0"/>
        <v>358</v>
      </c>
      <c r="L8" s="110">
        <f t="shared" si="1"/>
        <v>21009.389671361503</v>
      </c>
    </row>
    <row r="9" spans="1:22" x14ac:dyDescent="0.3">
      <c r="F9" s="106" t="s">
        <v>246</v>
      </c>
      <c r="G9" s="107">
        <f>Q20</f>
        <v>179</v>
      </c>
      <c r="I9" s="112"/>
      <c r="J9" s="113"/>
      <c r="K9" s="113"/>
      <c r="L9" s="114"/>
      <c r="S9" s="44"/>
    </row>
    <row r="10" spans="1:22" x14ac:dyDescent="0.3">
      <c r="I10" s="1"/>
      <c r="J10" s="111"/>
      <c r="K10" s="111"/>
      <c r="L10" s="19"/>
    </row>
    <row r="11" spans="1:22" x14ac:dyDescent="0.3">
      <c r="M11" s="19"/>
    </row>
    <row r="12" spans="1:22" ht="14.75" customHeight="1" x14ac:dyDescent="0.3"/>
    <row r="13" spans="1:22" ht="14.75" customHeight="1" x14ac:dyDescent="0.3"/>
    <row r="14" spans="1:22" ht="14.75" customHeight="1" x14ac:dyDescent="0.3"/>
    <row r="15" spans="1:22" x14ac:dyDescent="0.3">
      <c r="P15" s="128"/>
      <c r="Q15" s="129"/>
    </row>
    <row r="16" spans="1:22" x14ac:dyDescent="0.3">
      <c r="P16" s="126"/>
      <c r="Q16" s="12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177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179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5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A9A2A-DCFE-45B3-8E71-38F33379CE61}">
  <sheetPr codeName="Sheet33">
    <tabColor theme="6" tint="-0.249977111117893"/>
    <pageSetUpPr fitToPage="1"/>
  </sheetPr>
  <dimension ref="A1:V27"/>
  <sheetViews>
    <sheetView topLeftCell="I1" zoomScale="83" zoomScaleNormal="83" zoomScaleSheetLayoutView="100" workbookViewId="0">
      <selection activeCell="Q19" sqref="Q19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6" max="16" width="7.9140625" bestFit="1" customWidth="1"/>
    <col min="18" max="18" width="22.4140625" customWidth="1"/>
    <col min="19" max="19" width="14.83203125" customWidth="1"/>
  </cols>
  <sheetData>
    <row r="1" spans="1:22" ht="25" x14ac:dyDescent="0.3">
      <c r="A1" s="17" t="s">
        <v>127</v>
      </c>
      <c r="B1" s="9">
        <v>20</v>
      </c>
      <c r="E1" s="17" t="s">
        <v>128</v>
      </c>
      <c r="F1" s="10">
        <f>Q20</f>
        <v>179</v>
      </c>
      <c r="H1" s="17" t="s">
        <v>3</v>
      </c>
      <c r="I1" s="21">
        <v>20</v>
      </c>
      <c r="J1" s="1"/>
      <c r="K1" s="18" t="s">
        <v>4</v>
      </c>
      <c r="U1" s="124" t="s">
        <v>329</v>
      </c>
      <c r="V1" s="125">
        <v>177</v>
      </c>
    </row>
    <row r="2" spans="1:22" ht="14.25" customHeight="1" x14ac:dyDescent="0.3">
      <c r="A2" s="52"/>
      <c r="B2" s="131" t="s">
        <v>247</v>
      </c>
      <c r="C2" s="130"/>
      <c r="D2" s="130"/>
      <c r="E2" s="130"/>
      <c r="F2" s="130"/>
      <c r="G2" s="130"/>
      <c r="H2" s="130"/>
      <c r="I2" s="32"/>
      <c r="J2" s="32"/>
      <c r="K2" s="33"/>
    </row>
    <row r="3" spans="1:22" ht="14.25" customHeight="1" x14ac:dyDescent="0.3">
      <c r="A3" s="54"/>
      <c r="B3" s="133" t="s">
        <v>232</v>
      </c>
      <c r="C3" s="133"/>
      <c r="D3" s="133"/>
      <c r="E3" s="133"/>
      <c r="F3" s="133"/>
      <c r="G3" s="133"/>
      <c r="H3" s="133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0" t="s">
        <v>13</v>
      </c>
      <c r="I4" s="83" t="s">
        <v>211</v>
      </c>
      <c r="J4" s="83" t="s">
        <v>14</v>
      </c>
      <c r="K4" s="83" t="s">
        <v>15</v>
      </c>
      <c r="L4" s="83" t="s">
        <v>244</v>
      </c>
    </row>
    <row r="5" spans="1:22" ht="14.5" x14ac:dyDescent="0.35">
      <c r="A5" s="11"/>
      <c r="B5" s="11" t="s">
        <v>53</v>
      </c>
      <c r="C5" s="16" t="s">
        <v>17</v>
      </c>
      <c r="D5" s="15">
        <v>10.75268817204301</v>
      </c>
      <c r="E5" s="12">
        <f>$F$1</f>
        <v>179</v>
      </c>
      <c r="F5" s="13">
        <v>1</v>
      </c>
      <c r="G5" s="12">
        <f>E5*D5</f>
        <v>1924.7311827956987</v>
      </c>
      <c r="H5" s="81">
        <f>G5*F5</f>
        <v>1924.7311827956987</v>
      </c>
      <c r="I5" s="11">
        <f>VLOOKUP(B5,Ordering!$A$1:$J$36,6,FALSE)</f>
        <v>1</v>
      </c>
      <c r="J5" s="84">
        <f>VLOOKUP(B5,Ordering!$A$1:$J$36,10,FALSE)</f>
        <v>6.4189189189189184</v>
      </c>
      <c r="K5" s="84">
        <f>H5/I5</f>
        <v>1924.7311827956987</v>
      </c>
      <c r="L5" s="85">
        <f>J5*K5</f>
        <v>12354.693403080497</v>
      </c>
    </row>
    <row r="6" spans="1:22" ht="14.5" x14ac:dyDescent="0.35">
      <c r="A6" s="11"/>
      <c r="B6" s="11" t="s">
        <v>169</v>
      </c>
      <c r="C6" s="16" t="s">
        <v>175</v>
      </c>
      <c r="D6" s="15">
        <v>7.311827956989247</v>
      </c>
      <c r="E6" s="12">
        <f>$F$1</f>
        <v>179</v>
      </c>
      <c r="F6" s="13">
        <v>1</v>
      </c>
      <c r="G6" s="12">
        <f>E6*D6</f>
        <v>1308.8172043010752</v>
      </c>
      <c r="H6" s="81">
        <f>G6*F6</f>
        <v>1308.8172043010752</v>
      </c>
      <c r="I6" s="11">
        <f>VLOOKUP(B6,Ordering!$A$1:$J$36,6,FALSE)</f>
        <v>1</v>
      </c>
      <c r="J6" s="84">
        <f>VLOOKUP(B6,Ordering!$A$1:$J$36,10,FALSE)</f>
        <v>3.25</v>
      </c>
      <c r="K6" s="84">
        <f t="shared" ref="K6:K8" si="0">H6/I6</f>
        <v>1308.8172043010752</v>
      </c>
      <c r="L6" s="85">
        <f t="shared" ref="L6:L8" si="1">J6*K6</f>
        <v>4253.655913978494</v>
      </c>
    </row>
    <row r="7" spans="1:22" ht="14.5" x14ac:dyDescent="0.35">
      <c r="A7" s="11"/>
      <c r="B7" s="11" t="s">
        <v>54</v>
      </c>
      <c r="C7" s="16" t="s">
        <v>17</v>
      </c>
      <c r="D7" s="15">
        <v>0.78853046594982079</v>
      </c>
      <c r="E7" s="12">
        <f>$F$1</f>
        <v>179</v>
      </c>
      <c r="F7" s="13">
        <v>1</v>
      </c>
      <c r="G7" s="12">
        <f>E7*D7</f>
        <v>141.14695340501791</v>
      </c>
      <c r="H7" s="81">
        <f>G7*F7</f>
        <v>141.14695340501791</v>
      </c>
      <c r="I7" s="11">
        <f>VLOOKUP(B7,Ordering!$A$1:$J$36,6,FALSE)</f>
        <v>1</v>
      </c>
      <c r="J7" s="84">
        <f>VLOOKUP(B7,Ordering!$A$1:$J$36,10,FALSE)</f>
        <v>11.243386243386244</v>
      </c>
      <c r="K7" s="84">
        <f t="shared" si="0"/>
        <v>141.14695340501791</v>
      </c>
      <c r="L7" s="85">
        <f t="shared" si="1"/>
        <v>1586.9697142098576</v>
      </c>
    </row>
    <row r="8" spans="1:22" ht="14.5" x14ac:dyDescent="0.35">
      <c r="A8" s="11"/>
      <c r="B8" s="11" t="s">
        <v>82</v>
      </c>
      <c r="C8" s="16" t="s">
        <v>175</v>
      </c>
      <c r="D8" s="15">
        <v>1.1469534050179211</v>
      </c>
      <c r="E8" s="12">
        <f>$F$1</f>
        <v>179</v>
      </c>
      <c r="F8" s="13">
        <v>1</v>
      </c>
      <c r="G8" s="12">
        <f>E8*D8</f>
        <v>205.30465949820788</v>
      </c>
      <c r="H8" s="81">
        <f>G8*F8</f>
        <v>205.30465949820788</v>
      </c>
      <c r="I8" s="11">
        <f>VLOOKUP(B8,Ordering!$A$1:$J$36,6,FALSE)</f>
        <v>1</v>
      </c>
      <c r="J8" s="84">
        <f>VLOOKUP(B8,Ordering!$A$1:$J$36,10,FALSE)</f>
        <v>58.685446009389672</v>
      </c>
      <c r="K8" s="84">
        <f t="shared" si="0"/>
        <v>205.30465949820788</v>
      </c>
      <c r="L8" s="85">
        <f t="shared" si="1"/>
        <v>12048.395510458209</v>
      </c>
      <c r="R8" s="44"/>
    </row>
    <row r="9" spans="1:22" x14ac:dyDescent="0.3">
      <c r="G9" s="40" t="s">
        <v>126</v>
      </c>
      <c r="H9" s="41">
        <f>SUM(H5:H8)</f>
        <v>3579.9999999999995</v>
      </c>
    </row>
    <row r="12" spans="1:22" ht="14.75" customHeight="1" x14ac:dyDescent="0.3"/>
    <row r="13" spans="1:22" ht="14.75" customHeight="1" x14ac:dyDescent="0.3"/>
    <row r="14" spans="1:22" ht="14.75" customHeight="1" x14ac:dyDescent="0.3"/>
    <row r="15" spans="1:22" ht="14.75" customHeight="1" x14ac:dyDescent="0.3">
      <c r="P15" s="128"/>
      <c r="Q15" s="129"/>
    </row>
    <row r="16" spans="1:22" x14ac:dyDescent="0.3">
      <c r="P16" s="126"/>
      <c r="Q16" s="12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177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179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1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76A24-550A-4EEC-BA3C-579B13DE97BE}">
  <sheetPr codeName="Sheet24">
    <tabColor theme="5" tint="-0.249977111117893"/>
    <pageSetUpPr fitToPage="1"/>
  </sheetPr>
  <dimension ref="A1:W27"/>
  <sheetViews>
    <sheetView topLeftCell="D1" zoomScale="84" zoomScaleNormal="84" zoomScaleSheetLayoutView="100" workbookViewId="0">
      <selection activeCell="Q18" sqref="Q18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3" max="15" width="5.08203125" customWidth="1"/>
    <col min="19" max="19" width="8.5" bestFit="1" customWidth="1"/>
  </cols>
  <sheetData>
    <row r="1" spans="1:23" ht="26.25" customHeight="1" x14ac:dyDescent="0.3">
      <c r="A1" s="17" t="s">
        <v>0</v>
      </c>
      <c r="B1" s="9">
        <v>1</v>
      </c>
      <c r="C1" s="17" t="s">
        <v>1</v>
      </c>
      <c r="D1" s="10">
        <f>Q20</f>
        <v>196</v>
      </c>
      <c r="F1" s="17" t="s">
        <v>2</v>
      </c>
      <c r="G1" s="10">
        <f>D1/B1</f>
        <v>196</v>
      </c>
      <c r="H1" s="17" t="s">
        <v>3</v>
      </c>
      <c r="I1" s="21">
        <v>35</v>
      </c>
      <c r="J1" s="1"/>
      <c r="K1" s="23" t="s">
        <v>4</v>
      </c>
      <c r="U1" s="124" t="s">
        <v>329</v>
      </c>
      <c r="V1" s="125">
        <v>194</v>
      </c>
    </row>
    <row r="2" spans="1:23" ht="14.25" customHeight="1" x14ac:dyDescent="0.3">
      <c r="A2" s="54"/>
      <c r="B2" s="131" t="s">
        <v>233</v>
      </c>
      <c r="C2" s="130"/>
      <c r="D2" s="130"/>
      <c r="E2" s="130"/>
      <c r="F2" s="130"/>
      <c r="G2" s="130"/>
      <c r="H2" s="132"/>
      <c r="I2" s="32"/>
      <c r="J2" s="32"/>
      <c r="K2" s="33"/>
    </row>
    <row r="3" spans="1:23" ht="14.25" customHeight="1" x14ac:dyDescent="0.3">
      <c r="A3" s="54"/>
      <c r="B3" s="134" t="s">
        <v>234</v>
      </c>
      <c r="C3" s="133"/>
      <c r="D3" s="133"/>
      <c r="E3" s="133"/>
      <c r="F3" s="133"/>
      <c r="G3" s="133"/>
      <c r="H3" s="135"/>
      <c r="I3" s="31"/>
      <c r="J3" s="31"/>
      <c r="K3" s="34"/>
    </row>
    <row r="4" spans="1:23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0" t="s">
        <v>13</v>
      </c>
      <c r="I4" s="83" t="s">
        <v>211</v>
      </c>
      <c r="J4" s="83" t="s">
        <v>14</v>
      </c>
      <c r="K4" s="83" t="s">
        <v>15</v>
      </c>
      <c r="L4" s="83" t="s">
        <v>244</v>
      </c>
    </row>
    <row r="5" spans="1:23" ht="14.5" x14ac:dyDescent="0.35">
      <c r="A5" s="11"/>
      <c r="B5" s="11" t="s">
        <v>56</v>
      </c>
      <c r="C5" s="16" t="s">
        <v>17</v>
      </c>
      <c r="D5" s="15">
        <v>33.700000000000003</v>
      </c>
      <c r="E5" s="12">
        <f t="shared" ref="E5:E10" si="0">$G$1</f>
        <v>196</v>
      </c>
      <c r="F5" s="13">
        <v>1</v>
      </c>
      <c r="G5" s="12">
        <f t="shared" ref="G5:G10" si="1">E5*D5</f>
        <v>6605.2000000000007</v>
      </c>
      <c r="H5" s="81">
        <f t="shared" ref="H5:H10" si="2">G5*F5</f>
        <v>6605.2000000000007</v>
      </c>
      <c r="I5" s="11">
        <f>VLOOKUP(B5,Ordering!$A$1:$J$36,6,FALSE)</f>
        <v>0.98</v>
      </c>
      <c r="J5" s="84">
        <f>VLOOKUP(B5,Ordering!$A$1:$J$36,10,FALSE)</f>
        <v>3.5</v>
      </c>
      <c r="K5" s="84">
        <f>H5/I5</f>
        <v>6740.0000000000009</v>
      </c>
      <c r="L5" s="105">
        <f>J5*K5</f>
        <v>23590.000000000004</v>
      </c>
    </row>
    <row r="6" spans="1:23" ht="14.5" x14ac:dyDescent="0.35">
      <c r="A6" s="11"/>
      <c r="B6" s="11" t="s">
        <v>83</v>
      </c>
      <c r="C6" s="16" t="s">
        <v>17</v>
      </c>
      <c r="D6" s="15">
        <v>0.24</v>
      </c>
      <c r="E6" s="12">
        <f t="shared" si="0"/>
        <v>196</v>
      </c>
      <c r="F6" s="13">
        <v>1</v>
      </c>
      <c r="G6" s="12">
        <f t="shared" si="1"/>
        <v>47.04</v>
      </c>
      <c r="H6" s="81">
        <f t="shared" si="2"/>
        <v>47.04</v>
      </c>
      <c r="I6" s="11">
        <f>VLOOKUP(B6,Ordering!$A$1:$J$36,6,FALSE)</f>
        <v>0.96</v>
      </c>
      <c r="J6" s="84">
        <f>VLOOKUP(B6,Ordering!$A$1:$J$36,10,FALSE)</f>
        <v>4</v>
      </c>
      <c r="K6" s="84">
        <f t="shared" ref="K6:K10" si="3">H6/I6</f>
        <v>49</v>
      </c>
      <c r="L6" s="105">
        <f t="shared" ref="L6:L10" si="4">J6*K6</f>
        <v>196</v>
      </c>
    </row>
    <row r="7" spans="1:23" ht="14.5" x14ac:dyDescent="0.35">
      <c r="A7" s="11"/>
      <c r="B7" s="11" t="s">
        <v>172</v>
      </c>
      <c r="C7" s="16" t="s">
        <v>17</v>
      </c>
      <c r="D7" s="15">
        <v>0.2</v>
      </c>
      <c r="E7" s="12">
        <f t="shared" si="0"/>
        <v>196</v>
      </c>
      <c r="F7" s="13">
        <v>1</v>
      </c>
      <c r="G7" s="12">
        <f t="shared" si="1"/>
        <v>39.200000000000003</v>
      </c>
      <c r="H7" s="81">
        <f t="shared" si="2"/>
        <v>39.200000000000003</v>
      </c>
      <c r="I7" s="11">
        <f>VLOOKUP(B7,Ordering!$A$1:$J$36,6,FALSE)</f>
        <v>0.94</v>
      </c>
      <c r="J7" s="84">
        <f>VLOOKUP(B7,Ordering!$A$1:$J$36,10,FALSE)</f>
        <v>3.6363636363636367</v>
      </c>
      <c r="K7" s="84">
        <f t="shared" si="3"/>
        <v>41.702127659574472</v>
      </c>
      <c r="L7" s="105">
        <f t="shared" si="4"/>
        <v>151.64410058027082</v>
      </c>
      <c r="R7" s="44"/>
    </row>
    <row r="8" spans="1:23" ht="14.5" x14ac:dyDescent="0.35">
      <c r="A8" s="11"/>
      <c r="B8" s="11" t="s">
        <v>187</v>
      </c>
      <c r="C8" s="16" t="s">
        <v>17</v>
      </c>
      <c r="D8" s="24">
        <v>3.0000000000000001E-3</v>
      </c>
      <c r="E8" s="12">
        <f t="shared" si="0"/>
        <v>196</v>
      </c>
      <c r="F8" s="13">
        <v>1</v>
      </c>
      <c r="G8" s="12">
        <f t="shared" si="1"/>
        <v>0.58799999999999997</v>
      </c>
      <c r="H8" s="81">
        <f t="shared" si="2"/>
        <v>0.58799999999999997</v>
      </c>
      <c r="I8" s="11">
        <f>VLOOKUP(B8,Ordering!$A$1:$J$36,6,FALSE)</f>
        <v>1</v>
      </c>
      <c r="J8" s="84">
        <f>VLOOKUP(B8,Ordering!$A$1:$J$36,10,FALSE)</f>
        <v>35</v>
      </c>
      <c r="K8" s="84">
        <f t="shared" si="3"/>
        <v>0.58799999999999997</v>
      </c>
      <c r="L8" s="105">
        <f t="shared" si="4"/>
        <v>20.58</v>
      </c>
    </row>
    <row r="9" spans="1:23" ht="14.5" x14ac:dyDescent="0.35">
      <c r="A9" s="11"/>
      <c r="B9" s="11" t="s">
        <v>49</v>
      </c>
      <c r="C9" s="16" t="s">
        <v>17</v>
      </c>
      <c r="D9" s="15">
        <v>0.12</v>
      </c>
      <c r="E9" s="12">
        <f t="shared" si="0"/>
        <v>196</v>
      </c>
      <c r="F9" s="13">
        <v>1</v>
      </c>
      <c r="G9" s="12">
        <f t="shared" si="1"/>
        <v>23.52</v>
      </c>
      <c r="H9" s="81">
        <f t="shared" si="2"/>
        <v>23.52</v>
      </c>
      <c r="I9" s="11">
        <f>VLOOKUP(B9,Ordering!$A$1:$J$36,6,FALSE)</f>
        <v>1</v>
      </c>
      <c r="J9" s="84">
        <f>VLOOKUP(B9,Ordering!$A$1:$J$36,10,FALSE)</f>
        <v>0.74</v>
      </c>
      <c r="K9" s="84">
        <f t="shared" si="3"/>
        <v>23.52</v>
      </c>
      <c r="L9" s="105">
        <f t="shared" si="4"/>
        <v>17.404799999999998</v>
      </c>
    </row>
    <row r="10" spans="1:23" ht="14.5" x14ac:dyDescent="0.35">
      <c r="A10" s="11"/>
      <c r="B10" s="11" t="s">
        <v>50</v>
      </c>
      <c r="C10" s="16" t="s">
        <v>175</v>
      </c>
      <c r="D10" s="15">
        <v>0.75</v>
      </c>
      <c r="E10" s="12">
        <f t="shared" si="0"/>
        <v>196</v>
      </c>
      <c r="F10" s="13">
        <v>1</v>
      </c>
      <c r="G10" s="12">
        <f t="shared" si="1"/>
        <v>147</v>
      </c>
      <c r="H10" s="81">
        <f t="shared" si="2"/>
        <v>147</v>
      </c>
      <c r="I10" s="11">
        <f>VLOOKUP(B10,Ordering!$A$1:$J$36,6,FALSE)</f>
        <v>1</v>
      </c>
      <c r="J10" s="84">
        <f>VLOOKUP(B10,Ordering!$A$1:$J$36,10,FALSE)</f>
        <v>0</v>
      </c>
      <c r="K10" s="84">
        <f t="shared" si="3"/>
        <v>147</v>
      </c>
      <c r="L10" s="105">
        <f t="shared" si="4"/>
        <v>0</v>
      </c>
    </row>
    <row r="11" spans="1:23" x14ac:dyDescent="0.3">
      <c r="F11" s="106" t="s">
        <v>246</v>
      </c>
      <c r="G11" s="107">
        <f>Q20</f>
        <v>196</v>
      </c>
      <c r="M11" s="101"/>
      <c r="N11" s="22"/>
      <c r="W11" s="44"/>
    </row>
    <row r="12" spans="1:23" ht="14.75" customHeight="1" x14ac:dyDescent="0.3">
      <c r="M12" s="101"/>
      <c r="N12" s="22"/>
      <c r="O12" s="22"/>
    </row>
    <row r="13" spans="1:23" ht="14.75" customHeight="1" x14ac:dyDescent="0.3"/>
    <row r="14" spans="1:23" ht="14.75" customHeight="1" x14ac:dyDescent="0.3"/>
    <row r="15" spans="1:23" x14ac:dyDescent="0.3">
      <c r="P15" s="128"/>
      <c r="Q15" s="129"/>
    </row>
    <row r="16" spans="1:23" x14ac:dyDescent="0.3">
      <c r="P16" s="126"/>
      <c r="Q16" s="12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194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196</v>
      </c>
    </row>
    <row r="27" spans="11:17" x14ac:dyDescent="0.3">
      <c r="K27" s="20"/>
    </row>
  </sheetData>
  <mergeCells count="4">
    <mergeCell ref="P16:Q16"/>
    <mergeCell ref="B2:H2"/>
    <mergeCell ref="B3:H3"/>
    <mergeCell ref="P15:Q15"/>
  </mergeCells>
  <printOptions horizontalCentered="1"/>
  <pageMargins left="0.4" right="0.4" top="1" bottom="0.5" header="0.3" footer="0.3"/>
  <pageSetup paperSize="9" scale="44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F78E1-A7EB-4639-8887-42C13E84B785}">
  <sheetPr codeName="Sheet25">
    <tabColor theme="5" tint="-0.249977111117893"/>
    <pageSetUpPr fitToPage="1"/>
  </sheetPr>
  <dimension ref="A1:V27"/>
  <sheetViews>
    <sheetView topLeftCell="I1" zoomScale="85" zoomScaleNormal="85" zoomScaleSheetLayoutView="100" workbookViewId="0">
      <selection activeCell="Q19" sqref="Q19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22" ht="26.25" customHeight="1" x14ac:dyDescent="0.3">
      <c r="A1" s="17" t="s">
        <v>0</v>
      </c>
      <c r="B1" s="9">
        <v>1</v>
      </c>
      <c r="C1" s="17" t="s">
        <v>1</v>
      </c>
      <c r="D1" s="10">
        <f>Q20</f>
        <v>196</v>
      </c>
      <c r="F1" s="17" t="s">
        <v>2</v>
      </c>
      <c r="G1" s="10">
        <f>D1/B1</f>
        <v>196</v>
      </c>
      <c r="H1" s="17" t="s">
        <v>3</v>
      </c>
      <c r="I1" s="21">
        <v>35</v>
      </c>
      <c r="J1" s="1"/>
      <c r="K1" s="23" t="s">
        <v>4</v>
      </c>
      <c r="U1" s="124" t="s">
        <v>329</v>
      </c>
      <c r="V1" s="125">
        <v>194</v>
      </c>
    </row>
    <row r="2" spans="1:22" ht="14.25" customHeight="1" x14ac:dyDescent="0.3">
      <c r="A2" s="50"/>
      <c r="B2" s="130" t="s">
        <v>235</v>
      </c>
      <c r="C2" s="130"/>
      <c r="D2" s="130"/>
      <c r="E2" s="130"/>
      <c r="F2" s="130"/>
      <c r="G2" s="130"/>
      <c r="H2" s="130"/>
      <c r="I2" s="32"/>
      <c r="J2" s="32"/>
      <c r="K2" s="33"/>
    </row>
    <row r="3" spans="1:22" ht="14.25" customHeight="1" x14ac:dyDescent="0.3">
      <c r="A3" s="51"/>
      <c r="B3" s="133" t="s">
        <v>236</v>
      </c>
      <c r="C3" s="133"/>
      <c r="D3" s="133"/>
      <c r="E3" s="133"/>
      <c r="F3" s="133"/>
      <c r="G3" s="133"/>
      <c r="H3" s="133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0" t="s">
        <v>13</v>
      </c>
      <c r="I4" s="83" t="s">
        <v>211</v>
      </c>
      <c r="J4" s="83" t="s">
        <v>14</v>
      </c>
      <c r="K4" s="83" t="s">
        <v>15</v>
      </c>
      <c r="L4" s="83" t="s">
        <v>244</v>
      </c>
    </row>
    <row r="5" spans="1:22" ht="14.5" x14ac:dyDescent="0.35">
      <c r="A5" s="11"/>
      <c r="B5" s="11" t="s">
        <v>51</v>
      </c>
      <c r="C5" s="16" t="s">
        <v>17</v>
      </c>
      <c r="D5" s="15">
        <v>20</v>
      </c>
      <c r="E5" s="12">
        <f t="shared" ref="E5:E10" si="0">$G$1</f>
        <v>196</v>
      </c>
      <c r="F5" s="13">
        <v>1</v>
      </c>
      <c r="G5" s="12">
        <f t="shared" ref="G5:G10" si="1">E5*D5</f>
        <v>3920</v>
      </c>
      <c r="H5" s="81">
        <f t="shared" ref="H5:H10" si="2">G5*F5</f>
        <v>3920</v>
      </c>
      <c r="I5" s="11">
        <f>VLOOKUP(B5,Ordering!$A$1:$J$36,6,FALSE)</f>
        <v>1</v>
      </c>
      <c r="J5" s="84">
        <f>VLOOKUP(B5,Ordering!$A$1:$J$36,10,FALSE)</f>
        <v>6.6959999999999997</v>
      </c>
      <c r="K5" s="84">
        <f>H5/I5</f>
        <v>3920</v>
      </c>
      <c r="L5" s="85">
        <f>J5*K5</f>
        <v>26248.32</v>
      </c>
    </row>
    <row r="6" spans="1:22" ht="14.5" x14ac:dyDescent="0.35">
      <c r="A6" s="11"/>
      <c r="B6" s="11" t="s">
        <v>55</v>
      </c>
      <c r="C6" s="16" t="s">
        <v>17</v>
      </c>
      <c r="D6" s="15">
        <v>5.4</v>
      </c>
      <c r="E6" s="12">
        <f t="shared" si="0"/>
        <v>196</v>
      </c>
      <c r="F6" s="13">
        <v>1</v>
      </c>
      <c r="G6" s="12">
        <f t="shared" si="1"/>
        <v>1058.4000000000001</v>
      </c>
      <c r="H6" s="81">
        <f t="shared" si="2"/>
        <v>1058.4000000000001</v>
      </c>
      <c r="I6" s="11">
        <f>VLOOKUP(B6,Ordering!$A$1:$J$36,6,FALSE)</f>
        <v>0.8</v>
      </c>
      <c r="J6" s="84">
        <f>VLOOKUP(B6,Ordering!$A$1:$J$36,10,FALSE)</f>
        <v>3</v>
      </c>
      <c r="K6" s="84">
        <f t="shared" ref="K6:K10" si="3">H6/I6</f>
        <v>1323</v>
      </c>
      <c r="L6" s="85">
        <f t="shared" ref="L6:L10" si="4">J6*K6</f>
        <v>3969</v>
      </c>
    </row>
    <row r="7" spans="1:22" ht="14.5" x14ac:dyDescent="0.35">
      <c r="A7" s="11"/>
      <c r="B7" s="11" t="s">
        <v>48</v>
      </c>
      <c r="C7" s="16" t="s">
        <v>17</v>
      </c>
      <c r="D7" s="15">
        <v>0.05</v>
      </c>
      <c r="E7" s="12">
        <f t="shared" si="0"/>
        <v>196</v>
      </c>
      <c r="F7" s="13">
        <v>1</v>
      </c>
      <c r="G7" s="12">
        <f t="shared" si="1"/>
        <v>9.8000000000000007</v>
      </c>
      <c r="H7" s="81">
        <f t="shared" si="2"/>
        <v>9.8000000000000007</v>
      </c>
      <c r="I7" s="11">
        <f>VLOOKUP(B7,Ordering!$A$1:$J$36,6,FALSE)</f>
        <v>1</v>
      </c>
      <c r="J7" s="84">
        <f>VLOOKUP(B7,Ordering!$A$1:$J$36,10,FALSE)</f>
        <v>8</v>
      </c>
      <c r="K7" s="84">
        <f t="shared" si="3"/>
        <v>9.8000000000000007</v>
      </c>
      <c r="L7" s="85">
        <f t="shared" si="4"/>
        <v>78.400000000000006</v>
      </c>
      <c r="R7" s="44"/>
    </row>
    <row r="8" spans="1:22" ht="14.5" x14ac:dyDescent="0.35">
      <c r="A8" s="11"/>
      <c r="B8" s="11" t="s">
        <v>174</v>
      </c>
      <c r="C8" s="16" t="s">
        <v>17</v>
      </c>
      <c r="D8" s="15">
        <v>0.02</v>
      </c>
      <c r="E8" s="12">
        <f t="shared" si="0"/>
        <v>196</v>
      </c>
      <c r="F8" s="13">
        <v>1</v>
      </c>
      <c r="G8" s="12">
        <f t="shared" si="1"/>
        <v>3.92</v>
      </c>
      <c r="H8" s="81">
        <f t="shared" si="2"/>
        <v>3.92</v>
      </c>
      <c r="I8" s="11">
        <f>VLOOKUP(B8,Ordering!$A$1:$J$36,6,FALSE)</f>
        <v>1</v>
      </c>
      <c r="J8" s="84">
        <f>VLOOKUP(B8,Ordering!$A$1:$J$36,10,FALSE)</f>
        <v>20</v>
      </c>
      <c r="K8" s="84">
        <f t="shared" si="3"/>
        <v>3.92</v>
      </c>
      <c r="L8" s="85">
        <f t="shared" si="4"/>
        <v>78.400000000000006</v>
      </c>
    </row>
    <row r="9" spans="1:22" ht="14.5" x14ac:dyDescent="0.35">
      <c r="A9" s="11"/>
      <c r="B9" s="11" t="s">
        <v>50</v>
      </c>
      <c r="C9" s="16" t="s">
        <v>175</v>
      </c>
      <c r="D9" s="15">
        <v>9.4499999999999993</v>
      </c>
      <c r="E9" s="12">
        <f t="shared" si="0"/>
        <v>196</v>
      </c>
      <c r="F9" s="13">
        <v>1</v>
      </c>
      <c r="G9" s="12">
        <f t="shared" si="1"/>
        <v>1852.1999999999998</v>
      </c>
      <c r="H9" s="81">
        <f t="shared" si="2"/>
        <v>1852.1999999999998</v>
      </c>
      <c r="I9" s="11">
        <f>VLOOKUP(B9,Ordering!$A$1:$J$36,6,FALSE)</f>
        <v>1</v>
      </c>
      <c r="J9" s="84">
        <f>VLOOKUP(B9,Ordering!$A$1:$J$36,10,FALSE)</f>
        <v>0</v>
      </c>
      <c r="K9" s="84">
        <f t="shared" si="3"/>
        <v>1852.1999999999998</v>
      </c>
      <c r="L9" s="85">
        <f t="shared" si="4"/>
        <v>0</v>
      </c>
    </row>
    <row r="10" spans="1:22" ht="14.5" x14ac:dyDescent="0.35">
      <c r="A10" s="11"/>
      <c r="B10" s="11" t="s">
        <v>49</v>
      </c>
      <c r="C10" s="16" t="s">
        <v>17</v>
      </c>
      <c r="D10" s="15">
        <v>0.08</v>
      </c>
      <c r="E10" s="12">
        <f t="shared" si="0"/>
        <v>196</v>
      </c>
      <c r="F10" s="13">
        <v>1</v>
      </c>
      <c r="G10" s="12">
        <f t="shared" si="1"/>
        <v>15.68</v>
      </c>
      <c r="H10" s="81">
        <f t="shared" si="2"/>
        <v>15.68</v>
      </c>
      <c r="I10" s="11">
        <f>VLOOKUP(B10,Ordering!$A$1:$J$36,6,FALSE)</f>
        <v>1</v>
      </c>
      <c r="J10" s="84">
        <f>VLOOKUP(B10,Ordering!$A$1:$J$36,10,FALSE)</f>
        <v>0.74</v>
      </c>
      <c r="K10" s="84">
        <f t="shared" si="3"/>
        <v>15.68</v>
      </c>
      <c r="L10" s="85">
        <f t="shared" si="4"/>
        <v>11.603199999999999</v>
      </c>
    </row>
    <row r="11" spans="1:22" x14ac:dyDescent="0.3">
      <c r="F11" s="106" t="s">
        <v>246</v>
      </c>
      <c r="G11" s="107">
        <f>Q20</f>
        <v>196</v>
      </c>
      <c r="M11" s="101"/>
      <c r="N11" s="22"/>
    </row>
    <row r="12" spans="1:22" ht="14.75" customHeight="1" x14ac:dyDescent="0.3">
      <c r="M12" s="101"/>
      <c r="N12" s="22"/>
      <c r="R12" s="44"/>
    </row>
    <row r="13" spans="1:22" ht="14.75" customHeight="1" x14ac:dyDescent="0.3"/>
    <row r="14" spans="1:22" ht="14.75" customHeight="1" x14ac:dyDescent="0.3"/>
    <row r="15" spans="1:22" x14ac:dyDescent="0.3">
      <c r="P15" s="128"/>
      <c r="Q15" s="129"/>
    </row>
    <row r="16" spans="1:22" x14ac:dyDescent="0.3">
      <c r="P16" s="126"/>
      <c r="Q16" s="12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194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196</v>
      </c>
    </row>
    <row r="27" spans="11:17" x14ac:dyDescent="0.3">
      <c r="K27" s="20"/>
    </row>
  </sheetData>
  <mergeCells count="4">
    <mergeCell ref="P16:Q16"/>
    <mergeCell ref="B2:H2"/>
    <mergeCell ref="B3:H3"/>
    <mergeCell ref="P15:Q15"/>
  </mergeCells>
  <printOptions horizontalCentered="1"/>
  <pageMargins left="0.4" right="0.4" top="1" bottom="0.5" header="0.3" footer="0.3"/>
  <pageSetup paperSize="9" scale="42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CE6C9-0495-4FDF-BEDF-C4EA526B66F3}">
  <sheetPr codeName="Sheet32">
    <tabColor theme="5" tint="-0.249977111117893"/>
    <pageSetUpPr fitToPage="1"/>
  </sheetPr>
  <dimension ref="A1:V27"/>
  <sheetViews>
    <sheetView topLeftCell="J1" zoomScale="70" zoomScaleNormal="70" zoomScaleSheetLayoutView="100" workbookViewId="0">
      <selection activeCell="Q19" sqref="Q19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3" max="15" width="4.08203125" customWidth="1"/>
    <col min="16" max="16" width="13.83203125" customWidth="1"/>
    <col min="18" max="18" width="22.4140625" customWidth="1"/>
    <col min="19" max="19" width="14.83203125" customWidth="1"/>
  </cols>
  <sheetData>
    <row r="1" spans="1:22" ht="25" x14ac:dyDescent="0.3">
      <c r="A1" s="17" t="s">
        <v>127</v>
      </c>
      <c r="B1" s="9">
        <v>20</v>
      </c>
      <c r="E1" s="17" t="s">
        <v>128</v>
      </c>
      <c r="F1" s="10">
        <f>Q20</f>
        <v>172</v>
      </c>
      <c r="H1" s="17" t="s">
        <v>3</v>
      </c>
      <c r="I1" s="21">
        <v>20</v>
      </c>
      <c r="J1" s="1"/>
      <c r="K1" s="18" t="s">
        <v>4</v>
      </c>
      <c r="U1" s="124" t="s">
        <v>329</v>
      </c>
      <c r="V1" s="125">
        <v>170</v>
      </c>
    </row>
    <row r="2" spans="1:22" ht="14.25" customHeight="1" x14ac:dyDescent="0.3">
      <c r="A2" s="52"/>
      <c r="B2" s="131" t="s">
        <v>247</v>
      </c>
      <c r="C2" s="130"/>
      <c r="D2" s="130"/>
      <c r="E2" s="130"/>
      <c r="F2" s="130"/>
      <c r="G2" s="130"/>
      <c r="H2" s="130"/>
      <c r="I2" s="32"/>
      <c r="J2" s="32"/>
      <c r="K2" s="33"/>
    </row>
    <row r="3" spans="1:22" ht="14.25" customHeight="1" x14ac:dyDescent="0.3">
      <c r="A3" s="54"/>
      <c r="B3" s="133" t="s">
        <v>237</v>
      </c>
      <c r="C3" s="133"/>
      <c r="D3" s="133"/>
      <c r="E3" s="133"/>
      <c r="F3" s="133"/>
      <c r="G3" s="133"/>
      <c r="H3" s="133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0" t="s">
        <v>13</v>
      </c>
      <c r="I4" s="83" t="s">
        <v>211</v>
      </c>
      <c r="J4" s="83" t="s">
        <v>14</v>
      </c>
      <c r="K4" s="83" t="s">
        <v>15</v>
      </c>
      <c r="L4" s="83" t="s">
        <v>244</v>
      </c>
    </row>
    <row r="5" spans="1:22" ht="14.5" x14ac:dyDescent="0.35">
      <c r="A5" s="11"/>
      <c r="B5" s="11" t="s">
        <v>53</v>
      </c>
      <c r="C5" s="16" t="s">
        <v>17</v>
      </c>
      <c r="D5" s="15">
        <v>10.75268817204301</v>
      </c>
      <c r="E5" s="12">
        <f>$F$1</f>
        <v>172</v>
      </c>
      <c r="F5" s="13">
        <v>1</v>
      </c>
      <c r="G5" s="12">
        <f>E5*D5</f>
        <v>1849.4623655913977</v>
      </c>
      <c r="H5" s="81">
        <f>G5*F5</f>
        <v>1849.4623655913977</v>
      </c>
      <c r="I5" s="11">
        <f>VLOOKUP(B5,Ordering!$A$1:$J$36,6,FALSE)</f>
        <v>1</v>
      </c>
      <c r="J5" s="84">
        <f>VLOOKUP(B5,Ordering!$A$1:$J$36,10,FALSE)</f>
        <v>6.4189189189189184</v>
      </c>
      <c r="K5" s="84">
        <f>H5/I5</f>
        <v>1849.4623655913977</v>
      </c>
      <c r="L5" s="85">
        <f>J5*K5</f>
        <v>11871.548968323159</v>
      </c>
    </row>
    <row r="6" spans="1:22" ht="14.5" x14ac:dyDescent="0.35">
      <c r="A6" s="11"/>
      <c r="B6" s="11" t="s">
        <v>169</v>
      </c>
      <c r="C6" s="16" t="s">
        <v>175</v>
      </c>
      <c r="D6" s="15">
        <v>7.311827956989247</v>
      </c>
      <c r="E6" s="12">
        <f>$F$1</f>
        <v>172</v>
      </c>
      <c r="F6" s="13">
        <v>1</v>
      </c>
      <c r="G6" s="12">
        <f>E6*D6</f>
        <v>1257.6344086021504</v>
      </c>
      <c r="H6" s="81">
        <f>G6*F6</f>
        <v>1257.6344086021504</v>
      </c>
      <c r="I6" s="11">
        <f>VLOOKUP(B6,Ordering!$A$1:$J$36,6,FALSE)</f>
        <v>1</v>
      </c>
      <c r="J6" s="84">
        <f>VLOOKUP(B6,Ordering!$A$1:$J$36,10,FALSE)</f>
        <v>3.25</v>
      </c>
      <c r="K6" s="84">
        <f t="shared" ref="K6:K8" si="0">H6/I6</f>
        <v>1257.6344086021504</v>
      </c>
      <c r="L6" s="85">
        <f t="shared" ref="L6:L8" si="1">J6*K6</f>
        <v>4087.311827956989</v>
      </c>
    </row>
    <row r="7" spans="1:22" ht="14.5" x14ac:dyDescent="0.35">
      <c r="A7" s="11"/>
      <c r="B7" s="11" t="s">
        <v>54</v>
      </c>
      <c r="C7" s="16" t="s">
        <v>17</v>
      </c>
      <c r="D7" s="15">
        <v>0.78853046594982079</v>
      </c>
      <c r="E7" s="12">
        <f>$F$1</f>
        <v>172</v>
      </c>
      <c r="F7" s="13">
        <v>1</v>
      </c>
      <c r="G7" s="12">
        <f>E7*D7</f>
        <v>135.62724014336916</v>
      </c>
      <c r="H7" s="81">
        <f>G7*F7</f>
        <v>135.62724014336916</v>
      </c>
      <c r="I7" s="11">
        <f>VLOOKUP(B7,Ordering!$A$1:$J$36,6,FALSE)</f>
        <v>1</v>
      </c>
      <c r="J7" s="84">
        <f>VLOOKUP(B7,Ordering!$A$1:$J$36,10,FALSE)</f>
        <v>11.243386243386244</v>
      </c>
      <c r="K7" s="84">
        <f t="shared" si="0"/>
        <v>135.62724014336916</v>
      </c>
      <c r="L7" s="85">
        <f t="shared" si="1"/>
        <v>1524.9094460563995</v>
      </c>
    </row>
    <row r="8" spans="1:22" ht="14.5" x14ac:dyDescent="0.35">
      <c r="A8" s="11"/>
      <c r="B8" s="11" t="s">
        <v>82</v>
      </c>
      <c r="C8" s="16" t="s">
        <v>175</v>
      </c>
      <c r="D8" s="15">
        <v>1.1469534050179211</v>
      </c>
      <c r="E8" s="12">
        <f>$F$1</f>
        <v>172</v>
      </c>
      <c r="F8" s="13">
        <v>1</v>
      </c>
      <c r="G8" s="12">
        <f>E8*D8</f>
        <v>197.27598566308242</v>
      </c>
      <c r="H8" s="81">
        <f>G8*F8</f>
        <v>197.27598566308242</v>
      </c>
      <c r="I8" s="11">
        <f>VLOOKUP(B8,Ordering!$A$1:$J$36,6,FALSE)</f>
        <v>1</v>
      </c>
      <c r="J8" s="84">
        <f>VLOOKUP(B8,Ordering!$A$1:$J$36,10,FALSE)</f>
        <v>58.685446009389672</v>
      </c>
      <c r="K8" s="84">
        <f t="shared" si="0"/>
        <v>197.27598566308242</v>
      </c>
      <c r="L8" s="85">
        <f t="shared" si="1"/>
        <v>11577.229205579955</v>
      </c>
      <c r="R8" s="44"/>
    </row>
    <row r="9" spans="1:22" x14ac:dyDescent="0.3">
      <c r="G9" s="40" t="s">
        <v>126</v>
      </c>
      <c r="H9" s="41">
        <f>SUM(H5:H8)</f>
        <v>3440</v>
      </c>
    </row>
    <row r="12" spans="1:22" ht="14.75" customHeight="1" x14ac:dyDescent="0.3"/>
    <row r="13" spans="1:22" ht="14.75" customHeight="1" x14ac:dyDescent="0.3"/>
    <row r="14" spans="1:22" ht="14.75" customHeight="1" x14ac:dyDescent="0.3"/>
    <row r="15" spans="1:22" ht="14.75" customHeight="1" x14ac:dyDescent="0.3">
      <c r="P15" s="128"/>
      <c r="Q15" s="129"/>
    </row>
    <row r="16" spans="1:22" x14ac:dyDescent="0.3">
      <c r="P16" s="126"/>
      <c r="Q16" s="12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170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172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2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-0.249977111117893"/>
    <pageSetUpPr fitToPage="1"/>
  </sheetPr>
  <dimension ref="A1:Y27"/>
  <sheetViews>
    <sheetView topLeftCell="B1" zoomScale="55" zoomScaleNormal="55" zoomScaleSheetLayoutView="100" workbookViewId="0">
      <selection activeCell="Q19" sqref="Q19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2.6640625" bestFit="1" customWidth="1"/>
    <col min="13" max="15" width="3.33203125" customWidth="1"/>
    <col min="19" max="19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Q20</f>
        <v>190</v>
      </c>
      <c r="F1" s="17" t="s">
        <v>2</v>
      </c>
      <c r="G1" s="10">
        <f>D1/B1</f>
        <v>190</v>
      </c>
      <c r="H1" s="17" t="s">
        <v>3</v>
      </c>
      <c r="I1" s="21">
        <v>10</v>
      </c>
      <c r="J1" s="1"/>
      <c r="K1" s="23" t="s">
        <v>4</v>
      </c>
      <c r="U1" s="124" t="s">
        <v>329</v>
      </c>
      <c r="V1" s="125">
        <v>188</v>
      </c>
    </row>
    <row r="2" spans="1:25" ht="14.25" customHeight="1" x14ac:dyDescent="0.3">
      <c r="A2" s="52"/>
      <c r="B2" s="131" t="s">
        <v>138</v>
      </c>
      <c r="C2" s="130"/>
      <c r="D2" s="130"/>
      <c r="E2" s="130"/>
      <c r="F2" s="130"/>
      <c r="G2" s="130"/>
      <c r="H2" s="130"/>
      <c r="I2" s="32"/>
      <c r="J2" s="32"/>
      <c r="K2" s="33"/>
    </row>
    <row r="3" spans="1:25" ht="14.25" customHeight="1" x14ac:dyDescent="0.3">
      <c r="A3" s="54"/>
      <c r="B3" s="133" t="s">
        <v>238</v>
      </c>
      <c r="C3" s="133"/>
      <c r="D3" s="133"/>
      <c r="E3" s="133"/>
      <c r="F3" s="133"/>
      <c r="G3" s="133"/>
      <c r="H3" s="133"/>
      <c r="I3" s="31"/>
      <c r="J3" s="31"/>
      <c r="K3" s="34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0" t="s">
        <v>13</v>
      </c>
      <c r="I4" s="83" t="s">
        <v>211</v>
      </c>
      <c r="J4" s="83" t="s">
        <v>14</v>
      </c>
      <c r="K4" s="83" t="s">
        <v>15</v>
      </c>
      <c r="L4" s="83" t="s">
        <v>244</v>
      </c>
    </row>
    <row r="5" spans="1:25" ht="14.5" x14ac:dyDescent="0.35">
      <c r="A5" s="11"/>
      <c r="B5" s="11" t="s">
        <v>43</v>
      </c>
      <c r="C5" s="16" t="s">
        <v>17</v>
      </c>
      <c r="D5" s="15">
        <v>0.26345933562428409</v>
      </c>
      <c r="E5" s="12">
        <f>$G$1</f>
        <v>190</v>
      </c>
      <c r="F5" s="13">
        <v>1</v>
      </c>
      <c r="G5" s="12">
        <f>E5*D5</f>
        <v>50.057273768613975</v>
      </c>
      <c r="H5" s="81">
        <f>G5*F5</f>
        <v>50.057273768613975</v>
      </c>
      <c r="I5" s="11">
        <f>VLOOKUP(B5,Ordering!$A$1:$J$36,6,FALSE)</f>
        <v>1</v>
      </c>
      <c r="J5" s="84">
        <f>VLOOKUP(B5,Ordering!$A$1:$J$36,10,FALSE)</f>
        <v>5</v>
      </c>
      <c r="K5" s="84">
        <f t="shared" ref="K5:K6" si="0">((H5/(I5))/1000)</f>
        <v>5.0057273768613977E-2</v>
      </c>
      <c r="L5" s="85">
        <f>J5*K5</f>
        <v>0.25028636884306987</v>
      </c>
    </row>
    <row r="6" spans="1:25" ht="14.5" x14ac:dyDescent="0.35">
      <c r="A6" s="11"/>
      <c r="B6" s="11" t="s">
        <v>44</v>
      </c>
      <c r="C6" s="16" t="s">
        <v>17</v>
      </c>
      <c r="D6" s="15">
        <v>9.7365406643757169</v>
      </c>
      <c r="E6" s="12">
        <f>$G$1</f>
        <v>190</v>
      </c>
      <c r="F6" s="13">
        <v>1</v>
      </c>
      <c r="G6" s="12">
        <f>E6*D6</f>
        <v>1849.9427262313861</v>
      </c>
      <c r="H6" s="81">
        <f>G6*F6</f>
        <v>1849.9427262313861</v>
      </c>
      <c r="I6" s="11">
        <f>VLOOKUP(B6,Ordering!$A$1:$J$36,6,FALSE)</f>
        <v>0.9</v>
      </c>
      <c r="J6" s="84">
        <f>VLOOKUP(B6,Ordering!$A$1:$J$36,10,FALSE)</f>
        <v>3</v>
      </c>
      <c r="K6" s="84">
        <f t="shared" si="0"/>
        <v>2.0554919180348734</v>
      </c>
      <c r="L6" s="85">
        <f t="shared" ref="L6" si="1">J6*K6</f>
        <v>6.1664757541046207</v>
      </c>
    </row>
    <row r="7" spans="1:25" x14ac:dyDescent="0.3">
      <c r="F7" s="106" t="s">
        <v>246</v>
      </c>
      <c r="G7" s="107">
        <f>Q20</f>
        <v>190</v>
      </c>
      <c r="J7" s="19"/>
      <c r="K7" s="19"/>
      <c r="L7" s="19"/>
    </row>
    <row r="8" spans="1:25" x14ac:dyDescent="0.3">
      <c r="J8" s="19"/>
      <c r="K8" s="19"/>
      <c r="L8" s="19"/>
      <c r="R8" s="44"/>
      <c r="V8" s="89" t="s">
        <v>243</v>
      </c>
      <c r="W8" s="90">
        <v>1</v>
      </c>
      <c r="X8" s="89" t="s">
        <v>244</v>
      </c>
      <c r="Y8" s="91">
        <f>SUM(L5:L6)/Q20</f>
        <v>3.3772432226040476E-2</v>
      </c>
    </row>
    <row r="9" spans="1:25" x14ac:dyDescent="0.3">
      <c r="J9" s="19"/>
      <c r="K9" s="19"/>
      <c r="L9" s="19"/>
    </row>
    <row r="10" spans="1:25" x14ac:dyDescent="0.3">
      <c r="J10" s="19"/>
      <c r="K10" s="19"/>
      <c r="L10" s="19"/>
    </row>
    <row r="11" spans="1:25" x14ac:dyDescent="0.3">
      <c r="M11" s="101"/>
    </row>
    <row r="12" spans="1:25" ht="14.75" customHeight="1" x14ac:dyDescent="0.3">
      <c r="M12" s="101"/>
      <c r="O12" s="22"/>
    </row>
    <row r="13" spans="1:25" ht="14.75" customHeight="1" x14ac:dyDescent="0.3"/>
    <row r="14" spans="1:25" ht="14.75" customHeight="1" x14ac:dyDescent="0.3"/>
    <row r="15" spans="1:25" x14ac:dyDescent="0.3">
      <c r="P15" s="128" t="s">
        <v>57</v>
      </c>
      <c r="Q15" s="129"/>
    </row>
    <row r="16" spans="1:25" x14ac:dyDescent="0.3">
      <c r="P16" s="126" t="s">
        <v>18</v>
      </c>
      <c r="Q16" s="12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188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190</v>
      </c>
    </row>
    <row r="21" spans="11:17" x14ac:dyDescent="0.3">
      <c r="P21" s="87" t="s">
        <v>244</v>
      </c>
      <c r="Q21" s="88">
        <f>SUM(L5:L6)</f>
        <v>6.4167621229476905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4" orientation="landscape" verticalDpi="120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F0877-3AAA-4C65-B093-816CAB7B8AA3}">
  <sheetPr codeName="Sheet26">
    <tabColor theme="4" tint="-0.249977111117893"/>
    <pageSetUpPr fitToPage="1"/>
  </sheetPr>
  <dimension ref="A1:V27"/>
  <sheetViews>
    <sheetView topLeftCell="M1" zoomScale="85" zoomScaleNormal="85" zoomScaleSheetLayoutView="100" workbookViewId="0">
      <selection activeCell="Q19" sqref="Q19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7" max="17" width="8.5" bestFit="1" customWidth="1"/>
  </cols>
  <sheetData>
    <row r="1" spans="1:22" ht="26.25" customHeight="1" x14ac:dyDescent="0.3">
      <c r="A1" s="17" t="s">
        <v>0</v>
      </c>
      <c r="B1" s="9">
        <v>1</v>
      </c>
      <c r="C1" s="17" t="s">
        <v>1</v>
      </c>
      <c r="D1" s="10">
        <f>Q20</f>
        <v>538</v>
      </c>
      <c r="F1" s="17" t="s">
        <v>2</v>
      </c>
      <c r="G1" s="10">
        <f>D1/B1</f>
        <v>538</v>
      </c>
      <c r="H1" s="17" t="s">
        <v>3</v>
      </c>
      <c r="I1" s="21">
        <v>20</v>
      </c>
      <c r="J1" s="1"/>
      <c r="K1" s="23" t="s">
        <v>4</v>
      </c>
      <c r="N1" t="s">
        <v>250</v>
      </c>
      <c r="U1" s="124" t="s">
        <v>329</v>
      </c>
      <c r="V1" s="125">
        <v>536</v>
      </c>
    </row>
    <row r="2" spans="1:22" ht="14.25" customHeight="1" x14ac:dyDescent="0.3">
      <c r="A2" s="53"/>
      <c r="B2" s="130" t="s">
        <v>139</v>
      </c>
      <c r="C2" s="130"/>
      <c r="D2" s="130"/>
      <c r="E2" s="130"/>
      <c r="F2" s="130"/>
      <c r="G2" s="130"/>
      <c r="H2" s="130"/>
      <c r="I2" s="32"/>
      <c r="J2" s="32"/>
      <c r="K2" s="33"/>
    </row>
    <row r="3" spans="1:22" ht="14.25" customHeight="1" x14ac:dyDescent="0.3">
      <c r="A3" s="54"/>
      <c r="B3" s="133" t="s">
        <v>239</v>
      </c>
      <c r="C3" s="133"/>
      <c r="D3" s="133"/>
      <c r="E3" s="133"/>
      <c r="F3" s="133"/>
      <c r="G3" s="133"/>
      <c r="H3" s="133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0" t="s">
        <v>13</v>
      </c>
      <c r="I4" s="83" t="s">
        <v>211</v>
      </c>
      <c r="J4" s="83" t="s">
        <v>14</v>
      </c>
      <c r="K4" s="83" t="s">
        <v>15</v>
      </c>
      <c r="L4" s="83" t="s">
        <v>244</v>
      </c>
    </row>
    <row r="5" spans="1:22" ht="14.5" x14ac:dyDescent="0.35">
      <c r="A5" s="11"/>
      <c r="B5" s="11" t="s">
        <v>47</v>
      </c>
      <c r="C5" s="16" t="s">
        <v>175</v>
      </c>
      <c r="D5" s="15">
        <v>1.215066828675577</v>
      </c>
      <c r="E5" s="12">
        <f t="shared" ref="E5:E10" si="0">$G$1</f>
        <v>538</v>
      </c>
      <c r="F5" s="13">
        <v>1</v>
      </c>
      <c r="G5" s="12">
        <f t="shared" ref="G5:G10" si="1">E5*D5</f>
        <v>653.70595382746046</v>
      </c>
      <c r="H5" s="81">
        <f t="shared" ref="H5:H10" si="2">G5*F5</f>
        <v>653.70595382746046</v>
      </c>
      <c r="I5" s="11">
        <f>VLOOKUP(B5,Ordering!$A$1:$J$36,6,FALSE)</f>
        <v>1</v>
      </c>
      <c r="J5" s="84">
        <f>VLOOKUP(B5,Ordering!$A$1:$J$36,10,FALSE)</f>
        <v>5</v>
      </c>
      <c r="K5" s="84">
        <f>H5/I5</f>
        <v>653.70595382746046</v>
      </c>
      <c r="L5" s="85">
        <f>J5*K5</f>
        <v>3268.5297691373025</v>
      </c>
    </row>
    <row r="6" spans="1:22" ht="14.5" x14ac:dyDescent="0.35">
      <c r="A6" s="11"/>
      <c r="B6" s="11" t="s">
        <v>48</v>
      </c>
      <c r="C6" s="16" t="s">
        <v>17</v>
      </c>
      <c r="D6" s="15">
        <v>2.4301336573511544E-2</v>
      </c>
      <c r="E6" s="12">
        <f t="shared" si="0"/>
        <v>538</v>
      </c>
      <c r="F6" s="13">
        <v>1</v>
      </c>
      <c r="G6" s="12">
        <f t="shared" si="1"/>
        <v>13.074119076549211</v>
      </c>
      <c r="H6" s="81">
        <f t="shared" si="2"/>
        <v>13.074119076549211</v>
      </c>
      <c r="I6" s="11">
        <f>VLOOKUP(B6,Ordering!$A$1:$J$36,6,FALSE)</f>
        <v>1</v>
      </c>
      <c r="J6" s="84">
        <f>VLOOKUP(B6,Ordering!$A$1:$J$36,10,FALSE)</f>
        <v>8</v>
      </c>
      <c r="K6" s="84">
        <f t="shared" ref="K6:K10" si="3">H6/I6</f>
        <v>13.074119076549211</v>
      </c>
      <c r="L6" s="85">
        <f t="shared" ref="L6:L10" si="4">J6*K6</f>
        <v>104.59295261239369</v>
      </c>
    </row>
    <row r="7" spans="1:22" ht="14.5" x14ac:dyDescent="0.35">
      <c r="A7" s="11"/>
      <c r="B7" s="11" t="s">
        <v>49</v>
      </c>
      <c r="C7" s="16" t="s">
        <v>17</v>
      </c>
      <c r="D7" s="15">
        <v>8.910490076954232E-2</v>
      </c>
      <c r="E7" s="12">
        <f t="shared" si="0"/>
        <v>538</v>
      </c>
      <c r="F7" s="13">
        <v>1</v>
      </c>
      <c r="G7" s="12">
        <f t="shared" si="1"/>
        <v>47.938436614013767</v>
      </c>
      <c r="H7" s="81">
        <f t="shared" si="2"/>
        <v>47.938436614013767</v>
      </c>
      <c r="I7" s="11">
        <f>VLOOKUP(B7,Ordering!$A$1:$J$36,6,FALSE)</f>
        <v>1</v>
      </c>
      <c r="J7" s="84">
        <f>VLOOKUP(B7,Ordering!$A$1:$J$36,10,FALSE)</f>
        <v>0.74</v>
      </c>
      <c r="K7" s="84">
        <f t="shared" si="3"/>
        <v>47.938436614013767</v>
      </c>
      <c r="L7" s="85">
        <f t="shared" si="4"/>
        <v>35.474443094370187</v>
      </c>
      <c r="P7" s="44"/>
    </row>
    <row r="8" spans="1:22" ht="14.5" x14ac:dyDescent="0.35">
      <c r="A8" s="11"/>
      <c r="B8" s="11" t="s">
        <v>50</v>
      </c>
      <c r="C8" s="16" t="s">
        <v>175</v>
      </c>
      <c r="D8" s="15">
        <v>10.54678007290401</v>
      </c>
      <c r="E8" s="12">
        <f t="shared" si="0"/>
        <v>538</v>
      </c>
      <c r="F8" s="13">
        <v>1</v>
      </c>
      <c r="G8" s="12">
        <f t="shared" si="1"/>
        <v>5674.167679222357</v>
      </c>
      <c r="H8" s="81">
        <f t="shared" si="2"/>
        <v>5674.167679222357</v>
      </c>
      <c r="I8" s="11">
        <f>VLOOKUP(B8,Ordering!$A$1:$J$36,6,FALSE)</f>
        <v>1</v>
      </c>
      <c r="J8" s="84">
        <f>VLOOKUP(B8,Ordering!$A$1:$J$36,10,FALSE)</f>
        <v>0</v>
      </c>
      <c r="K8" s="84">
        <f t="shared" si="3"/>
        <v>5674.167679222357</v>
      </c>
      <c r="L8" s="85">
        <f t="shared" si="4"/>
        <v>0</v>
      </c>
    </row>
    <row r="9" spans="1:22" ht="14.5" x14ac:dyDescent="0.35">
      <c r="A9" s="11"/>
      <c r="B9" s="11" t="s">
        <v>168</v>
      </c>
      <c r="C9" s="16" t="s">
        <v>17</v>
      </c>
      <c r="D9" s="15">
        <v>2.4301336573511544E-2</v>
      </c>
      <c r="E9" s="12">
        <f t="shared" si="0"/>
        <v>538</v>
      </c>
      <c r="F9" s="13">
        <v>1</v>
      </c>
      <c r="G9" s="12">
        <f t="shared" si="1"/>
        <v>13.074119076549211</v>
      </c>
      <c r="H9" s="81">
        <f t="shared" si="2"/>
        <v>13.074119076549211</v>
      </c>
      <c r="I9" s="11">
        <f>VLOOKUP(B9,Ordering!$A$1:$J$36,6,FALSE)</f>
        <v>1</v>
      </c>
      <c r="J9" s="84">
        <f>VLOOKUP(B9,Ordering!$A$1:$J$36,10,FALSE)</f>
        <v>31</v>
      </c>
      <c r="K9" s="84">
        <f t="shared" si="3"/>
        <v>13.074119076549211</v>
      </c>
      <c r="L9" s="85">
        <f t="shared" si="4"/>
        <v>405.29769137302554</v>
      </c>
    </row>
    <row r="10" spans="1:22" ht="14.5" x14ac:dyDescent="0.35">
      <c r="A10" s="11"/>
      <c r="B10" s="11" t="s">
        <v>204</v>
      </c>
      <c r="C10" s="16" t="s">
        <v>17</v>
      </c>
      <c r="D10" s="15">
        <v>8.1004455245038471</v>
      </c>
      <c r="E10" s="12">
        <f t="shared" si="0"/>
        <v>538</v>
      </c>
      <c r="F10" s="13">
        <v>1</v>
      </c>
      <c r="G10" s="12">
        <f t="shared" si="1"/>
        <v>4358.0396921830697</v>
      </c>
      <c r="H10" s="81">
        <f t="shared" si="2"/>
        <v>4358.0396921830697</v>
      </c>
      <c r="I10" s="11">
        <f>VLOOKUP(B10,Ordering!$A$1:$J$36,6,FALSE)</f>
        <v>1</v>
      </c>
      <c r="J10" s="84">
        <f>VLOOKUP(B10,Ordering!$A$1:$J$36,10,FALSE)</f>
        <v>10</v>
      </c>
      <c r="K10" s="84">
        <f t="shared" si="3"/>
        <v>4358.0396921830697</v>
      </c>
      <c r="L10" s="85">
        <f t="shared" si="4"/>
        <v>43580.396921830696</v>
      </c>
    </row>
    <row r="11" spans="1:22" x14ac:dyDescent="0.3">
      <c r="F11" s="106" t="s">
        <v>246</v>
      </c>
      <c r="G11" s="107">
        <f>Q20</f>
        <v>538</v>
      </c>
    </row>
    <row r="12" spans="1:22" ht="14.75" customHeight="1" x14ac:dyDescent="0.3">
      <c r="M12" s="22"/>
    </row>
    <row r="13" spans="1:22" ht="14.75" customHeight="1" x14ac:dyDescent="0.3"/>
    <row r="14" spans="1:22" ht="14.75" customHeight="1" x14ac:dyDescent="0.3">
      <c r="L14" s="101"/>
      <c r="M14" s="103"/>
    </row>
    <row r="15" spans="1:22" x14ac:dyDescent="0.3">
      <c r="L15" s="101"/>
      <c r="M15" s="104"/>
      <c r="P15" s="128"/>
      <c r="Q15" s="129"/>
    </row>
    <row r="16" spans="1:22" x14ac:dyDescent="0.3">
      <c r="P16" s="126"/>
      <c r="Q16" s="12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536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538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6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12CD7-10D9-438A-A120-21ED37D54072}">
  <sheetPr codeName="Sheet27">
    <tabColor theme="4" tint="-0.249977111117893"/>
    <pageSetUpPr fitToPage="1"/>
  </sheetPr>
  <dimension ref="A1:V27"/>
  <sheetViews>
    <sheetView topLeftCell="I1" zoomScale="85" zoomScaleNormal="85" zoomScaleSheetLayoutView="100" workbookViewId="0">
      <selection activeCell="Q19" sqref="Q19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3" max="15" width="2.58203125" customWidth="1"/>
    <col min="19" max="19" width="8.5" bestFit="1" customWidth="1"/>
  </cols>
  <sheetData>
    <row r="1" spans="1:22" ht="26.25" customHeight="1" x14ac:dyDescent="0.3">
      <c r="A1" s="17" t="s">
        <v>0</v>
      </c>
      <c r="B1" s="9">
        <v>1</v>
      </c>
      <c r="C1" s="17" t="s">
        <v>1</v>
      </c>
      <c r="D1" s="10">
        <f>Q20</f>
        <v>350</v>
      </c>
      <c r="F1" s="17" t="s">
        <v>2</v>
      </c>
      <c r="G1" s="10">
        <f>D1/B1</f>
        <v>350</v>
      </c>
      <c r="H1" s="17" t="s">
        <v>3</v>
      </c>
      <c r="I1" s="21">
        <v>20</v>
      </c>
      <c r="J1" s="1"/>
      <c r="K1" s="23" t="s">
        <v>4</v>
      </c>
      <c r="U1" s="124" t="s">
        <v>329</v>
      </c>
      <c r="V1" s="125">
        <v>348</v>
      </c>
    </row>
    <row r="2" spans="1:22" ht="14.25" customHeight="1" x14ac:dyDescent="0.3">
      <c r="A2" s="52"/>
      <c r="B2" s="131" t="s">
        <v>137</v>
      </c>
      <c r="C2" s="130"/>
      <c r="D2" s="130"/>
      <c r="E2" s="130"/>
      <c r="F2" s="130"/>
      <c r="G2" s="130"/>
      <c r="H2" s="132"/>
      <c r="I2" s="32"/>
      <c r="J2" s="32"/>
      <c r="K2" s="33"/>
    </row>
    <row r="3" spans="1:22" ht="14.25" customHeight="1" x14ac:dyDescent="0.3">
      <c r="A3" s="54"/>
      <c r="B3" s="134" t="s">
        <v>240</v>
      </c>
      <c r="C3" s="133"/>
      <c r="D3" s="133"/>
      <c r="E3" s="133"/>
      <c r="F3" s="133"/>
      <c r="G3" s="133"/>
      <c r="H3" s="135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0" t="s">
        <v>13</v>
      </c>
      <c r="I4" s="83" t="s">
        <v>211</v>
      </c>
      <c r="J4" s="83" t="s">
        <v>14</v>
      </c>
      <c r="K4" s="83" t="s">
        <v>15</v>
      </c>
      <c r="L4" s="83" t="s">
        <v>244</v>
      </c>
    </row>
    <row r="5" spans="1:22" ht="14.5" x14ac:dyDescent="0.35">
      <c r="A5" s="11"/>
      <c r="B5" s="11" t="s">
        <v>56</v>
      </c>
      <c r="C5" s="16" t="s">
        <v>17</v>
      </c>
      <c r="D5" s="15">
        <v>19.3</v>
      </c>
      <c r="E5" s="12">
        <f t="shared" ref="E5:E10" si="0">$G$1</f>
        <v>350</v>
      </c>
      <c r="F5" s="13">
        <v>1</v>
      </c>
      <c r="G5" s="12">
        <f t="shared" ref="G5:G10" si="1">E5*D5</f>
        <v>6755</v>
      </c>
      <c r="H5" s="81">
        <f t="shared" ref="H5:H10" si="2">G5*F5</f>
        <v>6755</v>
      </c>
      <c r="I5" s="11">
        <f>VLOOKUP(B5,Ordering!$A$1:$J$36,6,FALSE)</f>
        <v>0.98</v>
      </c>
      <c r="J5" s="84">
        <f>VLOOKUP(B5,Ordering!$A$1:$J$36,10,FALSE)</f>
        <v>3.5</v>
      </c>
      <c r="K5" s="84">
        <f>H5/I5</f>
        <v>6892.8571428571431</v>
      </c>
      <c r="L5" s="85">
        <f>J5*K5</f>
        <v>24125</v>
      </c>
    </row>
    <row r="6" spans="1:22" ht="14.5" x14ac:dyDescent="0.35">
      <c r="A6" s="11"/>
      <c r="B6" s="11" t="s">
        <v>83</v>
      </c>
      <c r="C6" s="16" t="s">
        <v>17</v>
      </c>
      <c r="D6" s="15">
        <v>0.11</v>
      </c>
      <c r="E6" s="12">
        <f t="shared" si="0"/>
        <v>350</v>
      </c>
      <c r="F6" s="13">
        <v>1</v>
      </c>
      <c r="G6" s="12">
        <f t="shared" si="1"/>
        <v>38.5</v>
      </c>
      <c r="H6" s="81">
        <f t="shared" si="2"/>
        <v>38.5</v>
      </c>
      <c r="I6" s="11">
        <f>VLOOKUP(B6,Ordering!$A$1:$J$36,6,FALSE)</f>
        <v>0.96</v>
      </c>
      <c r="J6" s="84">
        <f>VLOOKUP(B6,Ordering!$A$1:$J$36,10,FALSE)</f>
        <v>4</v>
      </c>
      <c r="K6" s="84">
        <f t="shared" ref="K6:K10" si="3">H6/I6</f>
        <v>40.104166666666671</v>
      </c>
      <c r="L6" s="85">
        <f t="shared" ref="L6:L10" si="4">J6*K6</f>
        <v>160.41666666666669</v>
      </c>
    </row>
    <row r="7" spans="1:22" ht="14.5" x14ac:dyDescent="0.35">
      <c r="A7" s="11"/>
      <c r="B7" s="11" t="s">
        <v>172</v>
      </c>
      <c r="C7" s="16" t="s">
        <v>17</v>
      </c>
      <c r="D7" s="15">
        <v>0.12</v>
      </c>
      <c r="E7" s="12">
        <f t="shared" si="0"/>
        <v>350</v>
      </c>
      <c r="F7" s="13">
        <v>1</v>
      </c>
      <c r="G7" s="12">
        <f t="shared" si="1"/>
        <v>42</v>
      </c>
      <c r="H7" s="81">
        <f t="shared" si="2"/>
        <v>42</v>
      </c>
      <c r="I7" s="11">
        <f>VLOOKUP(B7,Ordering!$A$1:$J$36,6,FALSE)</f>
        <v>0.94</v>
      </c>
      <c r="J7" s="84">
        <f>VLOOKUP(B7,Ordering!$A$1:$J$36,10,FALSE)</f>
        <v>3.6363636363636367</v>
      </c>
      <c r="K7" s="84">
        <f t="shared" si="3"/>
        <v>44.680851063829792</v>
      </c>
      <c r="L7" s="85">
        <f t="shared" si="4"/>
        <v>162.47582205029016</v>
      </c>
      <c r="R7" s="44"/>
    </row>
    <row r="8" spans="1:22" ht="14.5" x14ac:dyDescent="0.35">
      <c r="A8" s="11"/>
      <c r="B8" s="11" t="s">
        <v>187</v>
      </c>
      <c r="C8" s="16" t="s">
        <v>17</v>
      </c>
      <c r="D8" s="100">
        <v>6.9999999999999999E-4</v>
      </c>
      <c r="E8" s="12">
        <f t="shared" si="0"/>
        <v>350</v>
      </c>
      <c r="F8" s="13">
        <v>1</v>
      </c>
      <c r="G8" s="12">
        <f t="shared" si="1"/>
        <v>0.245</v>
      </c>
      <c r="H8" s="81">
        <f t="shared" si="2"/>
        <v>0.245</v>
      </c>
      <c r="I8" s="11">
        <f>VLOOKUP(B8,Ordering!$A$1:$J$36,6,FALSE)</f>
        <v>1</v>
      </c>
      <c r="J8" s="84">
        <f>VLOOKUP(B8,Ordering!$A$1:$J$36,10,FALSE)</f>
        <v>35</v>
      </c>
      <c r="K8" s="84">
        <f t="shared" si="3"/>
        <v>0.245</v>
      </c>
      <c r="L8" s="85">
        <f t="shared" si="4"/>
        <v>8.5749999999999993</v>
      </c>
    </row>
    <row r="9" spans="1:22" ht="14.5" x14ac:dyDescent="0.35">
      <c r="A9" s="11"/>
      <c r="B9" s="11" t="s">
        <v>49</v>
      </c>
      <c r="C9" s="16" t="s">
        <v>17</v>
      </c>
      <c r="D9" s="15">
        <v>6.6000000000000003E-2</v>
      </c>
      <c r="E9" s="12">
        <f t="shared" si="0"/>
        <v>350</v>
      </c>
      <c r="F9" s="13">
        <v>1</v>
      </c>
      <c r="G9" s="12">
        <f t="shared" si="1"/>
        <v>23.1</v>
      </c>
      <c r="H9" s="81">
        <f t="shared" si="2"/>
        <v>23.1</v>
      </c>
      <c r="I9" s="11">
        <f>VLOOKUP(B9,Ordering!$A$1:$J$36,6,FALSE)</f>
        <v>1</v>
      </c>
      <c r="J9" s="84">
        <f>VLOOKUP(B9,Ordering!$A$1:$J$36,10,FALSE)</f>
        <v>0.74</v>
      </c>
      <c r="K9" s="84">
        <f t="shared" si="3"/>
        <v>23.1</v>
      </c>
      <c r="L9" s="85">
        <f t="shared" si="4"/>
        <v>17.094000000000001</v>
      </c>
    </row>
    <row r="10" spans="1:22" ht="14.5" x14ac:dyDescent="0.35">
      <c r="A10" s="11"/>
      <c r="B10" s="11" t="s">
        <v>50</v>
      </c>
      <c r="C10" s="16" t="s">
        <v>175</v>
      </c>
      <c r="D10" s="15">
        <v>0.40899999999999997</v>
      </c>
      <c r="E10" s="12">
        <f t="shared" si="0"/>
        <v>350</v>
      </c>
      <c r="F10" s="13">
        <v>1</v>
      </c>
      <c r="G10" s="12">
        <f t="shared" si="1"/>
        <v>143.14999999999998</v>
      </c>
      <c r="H10" s="81">
        <f t="shared" si="2"/>
        <v>143.14999999999998</v>
      </c>
      <c r="I10" s="11">
        <f>VLOOKUP(B10,Ordering!$A$1:$J$36,6,FALSE)</f>
        <v>1</v>
      </c>
      <c r="J10" s="84">
        <f>VLOOKUP(B10,Ordering!$A$1:$J$36,10,FALSE)</f>
        <v>0</v>
      </c>
      <c r="K10" s="84">
        <f t="shared" si="3"/>
        <v>143.14999999999998</v>
      </c>
      <c r="L10" s="85">
        <f t="shared" si="4"/>
        <v>0</v>
      </c>
    </row>
    <row r="11" spans="1:22" x14ac:dyDescent="0.3">
      <c r="F11" s="106" t="s">
        <v>246</v>
      </c>
      <c r="G11" s="107">
        <f>Q20</f>
        <v>350</v>
      </c>
      <c r="M11" s="101"/>
      <c r="N11" s="22"/>
    </row>
    <row r="12" spans="1:22" ht="14.75" customHeight="1" x14ac:dyDescent="0.3">
      <c r="M12" s="101"/>
      <c r="N12" s="22"/>
      <c r="O12" s="22"/>
    </row>
    <row r="13" spans="1:22" ht="14.75" customHeight="1" x14ac:dyDescent="0.3"/>
    <row r="14" spans="1:22" ht="14.75" customHeight="1" x14ac:dyDescent="0.3"/>
    <row r="15" spans="1:22" x14ac:dyDescent="0.3">
      <c r="P15" s="128"/>
      <c r="Q15" s="129"/>
    </row>
    <row r="16" spans="1:22" x14ac:dyDescent="0.3">
      <c r="P16" s="126"/>
      <c r="Q16" s="12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348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350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9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22F85-3D2B-4DC6-96F1-6C0795481777}">
  <sheetPr codeName="Sheet28">
    <tabColor theme="4" tint="-0.249977111117893"/>
    <pageSetUpPr fitToPage="1"/>
  </sheetPr>
  <dimension ref="A1:V27"/>
  <sheetViews>
    <sheetView topLeftCell="J1" zoomScale="85" zoomScaleNormal="85" zoomScaleSheetLayoutView="100" workbookViewId="0">
      <selection activeCell="Q19" sqref="Q19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3" max="15" width="3.5" customWidth="1"/>
    <col min="19" max="19" width="8.5" bestFit="1" customWidth="1"/>
  </cols>
  <sheetData>
    <row r="1" spans="1:22" ht="26.25" customHeight="1" x14ac:dyDescent="0.3">
      <c r="A1" s="17" t="s">
        <v>0</v>
      </c>
      <c r="B1" s="9">
        <v>1</v>
      </c>
      <c r="C1" s="17" t="s">
        <v>1</v>
      </c>
      <c r="D1" s="10">
        <f>Q20</f>
        <v>156</v>
      </c>
      <c r="F1" s="17" t="s">
        <v>2</v>
      </c>
      <c r="G1" s="10">
        <f>D1/B1</f>
        <v>156</v>
      </c>
      <c r="H1" s="17" t="s">
        <v>3</v>
      </c>
      <c r="I1" s="21">
        <v>35</v>
      </c>
      <c r="J1" s="1"/>
      <c r="K1" s="23" t="s">
        <v>4</v>
      </c>
      <c r="U1" s="124" t="s">
        <v>329</v>
      </c>
      <c r="V1" s="125">
        <v>154</v>
      </c>
    </row>
    <row r="2" spans="1:22" ht="14.25" customHeight="1" x14ac:dyDescent="0.3">
      <c r="A2" s="54"/>
      <c r="B2" s="131" t="s">
        <v>136</v>
      </c>
      <c r="C2" s="130"/>
      <c r="D2" s="130"/>
      <c r="E2" s="130"/>
      <c r="F2" s="130"/>
      <c r="G2" s="130"/>
      <c r="H2" s="132"/>
      <c r="I2" s="32"/>
      <c r="J2" s="32"/>
      <c r="K2" s="33"/>
    </row>
    <row r="3" spans="1:22" ht="14.25" customHeight="1" x14ac:dyDescent="0.3">
      <c r="A3" s="54"/>
      <c r="B3" s="134" t="s">
        <v>241</v>
      </c>
      <c r="C3" s="133"/>
      <c r="D3" s="133"/>
      <c r="E3" s="133"/>
      <c r="F3" s="133"/>
      <c r="G3" s="133"/>
      <c r="H3" s="135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0" t="s">
        <v>13</v>
      </c>
      <c r="I4" s="83" t="s">
        <v>211</v>
      </c>
      <c r="J4" s="83" t="s">
        <v>14</v>
      </c>
      <c r="K4" s="83" t="s">
        <v>15</v>
      </c>
      <c r="L4" s="83" t="s">
        <v>244</v>
      </c>
    </row>
    <row r="5" spans="1:22" ht="14.5" x14ac:dyDescent="0.35">
      <c r="A5" s="11"/>
      <c r="B5" s="11" t="s">
        <v>56</v>
      </c>
      <c r="C5" s="16" t="s">
        <v>17</v>
      </c>
      <c r="D5" s="15">
        <v>33.700000000000003</v>
      </c>
      <c r="E5" s="12">
        <f t="shared" ref="E5:E10" si="0">$G$1</f>
        <v>156</v>
      </c>
      <c r="F5" s="13">
        <v>1</v>
      </c>
      <c r="G5" s="12">
        <f t="shared" ref="G5:G10" si="1">E5*D5</f>
        <v>5257.2000000000007</v>
      </c>
      <c r="H5" s="81">
        <f t="shared" ref="H5:H10" si="2">G5*F5</f>
        <v>5257.2000000000007</v>
      </c>
      <c r="I5" s="11">
        <f>VLOOKUP(B5,Ordering!$A$1:$J$36,6,FALSE)</f>
        <v>0.98</v>
      </c>
      <c r="J5" s="84">
        <f>VLOOKUP(B5,Ordering!$A$1:$J$36,10,FALSE)</f>
        <v>3.5</v>
      </c>
      <c r="K5" s="84">
        <f>H5/I5</f>
        <v>5364.4897959183681</v>
      </c>
      <c r="L5" s="85">
        <f>J5*K5</f>
        <v>18775.71428571429</v>
      </c>
    </row>
    <row r="6" spans="1:22" ht="14.5" x14ac:dyDescent="0.35">
      <c r="A6" s="11"/>
      <c r="B6" s="11" t="s">
        <v>83</v>
      </c>
      <c r="C6" s="16" t="s">
        <v>17</v>
      </c>
      <c r="D6" s="15">
        <v>0.24</v>
      </c>
      <c r="E6" s="12">
        <f t="shared" si="0"/>
        <v>156</v>
      </c>
      <c r="F6" s="13">
        <v>1</v>
      </c>
      <c r="G6" s="12">
        <f t="shared" si="1"/>
        <v>37.44</v>
      </c>
      <c r="H6" s="81">
        <f t="shared" si="2"/>
        <v>37.44</v>
      </c>
      <c r="I6" s="11">
        <f>VLOOKUP(B6,Ordering!$A$1:$J$36,6,FALSE)</f>
        <v>0.96</v>
      </c>
      <c r="J6" s="84">
        <f>VLOOKUP(B6,Ordering!$A$1:$J$36,10,FALSE)</f>
        <v>4</v>
      </c>
      <c r="K6" s="84">
        <f t="shared" ref="K6:K10" si="3">H6/I6</f>
        <v>39</v>
      </c>
      <c r="L6" s="85">
        <f t="shared" ref="L6:L10" si="4">J6*K6</f>
        <v>156</v>
      </c>
    </row>
    <row r="7" spans="1:22" ht="14.5" x14ac:dyDescent="0.35">
      <c r="A7" s="11"/>
      <c r="B7" s="11" t="s">
        <v>172</v>
      </c>
      <c r="C7" s="16" t="s">
        <v>17</v>
      </c>
      <c r="D7" s="15">
        <v>0.2</v>
      </c>
      <c r="E7" s="12">
        <f t="shared" si="0"/>
        <v>156</v>
      </c>
      <c r="F7" s="13">
        <v>1</v>
      </c>
      <c r="G7" s="12">
        <f t="shared" si="1"/>
        <v>31.200000000000003</v>
      </c>
      <c r="H7" s="81">
        <f t="shared" si="2"/>
        <v>31.200000000000003</v>
      </c>
      <c r="I7" s="11">
        <f>VLOOKUP(B7,Ordering!$A$1:$J$36,6,FALSE)</f>
        <v>0.94</v>
      </c>
      <c r="J7" s="84">
        <f>VLOOKUP(B7,Ordering!$A$1:$J$36,10,FALSE)</f>
        <v>3.6363636363636367</v>
      </c>
      <c r="K7" s="84">
        <f t="shared" si="3"/>
        <v>33.191489361702132</v>
      </c>
      <c r="L7" s="85">
        <f t="shared" si="4"/>
        <v>120.69632495164413</v>
      </c>
      <c r="R7" s="44"/>
    </row>
    <row r="8" spans="1:22" ht="14.5" x14ac:dyDescent="0.35">
      <c r="A8" s="11"/>
      <c r="B8" s="11" t="s">
        <v>187</v>
      </c>
      <c r="C8" s="16" t="s">
        <v>17</v>
      </c>
      <c r="D8" s="24">
        <v>3.0000000000000001E-3</v>
      </c>
      <c r="E8" s="12">
        <f t="shared" si="0"/>
        <v>156</v>
      </c>
      <c r="F8" s="13">
        <v>1</v>
      </c>
      <c r="G8" s="12">
        <f t="shared" si="1"/>
        <v>0.46800000000000003</v>
      </c>
      <c r="H8" s="81">
        <f t="shared" si="2"/>
        <v>0.46800000000000003</v>
      </c>
      <c r="I8" s="11">
        <f>VLOOKUP(B8,Ordering!$A$1:$J$36,6,FALSE)</f>
        <v>1</v>
      </c>
      <c r="J8" s="84">
        <f>VLOOKUP(B8,Ordering!$A$1:$J$36,10,FALSE)</f>
        <v>35</v>
      </c>
      <c r="K8" s="84">
        <f t="shared" si="3"/>
        <v>0.46800000000000003</v>
      </c>
      <c r="L8" s="85">
        <f t="shared" si="4"/>
        <v>16.380000000000003</v>
      </c>
    </row>
    <row r="9" spans="1:22" ht="14.5" x14ac:dyDescent="0.35">
      <c r="A9" s="11"/>
      <c r="B9" s="11" t="s">
        <v>49</v>
      </c>
      <c r="C9" s="16" t="s">
        <v>17</v>
      </c>
      <c r="D9" s="15">
        <v>0.12</v>
      </c>
      <c r="E9" s="12">
        <f t="shared" si="0"/>
        <v>156</v>
      </c>
      <c r="F9" s="13">
        <v>1</v>
      </c>
      <c r="G9" s="12">
        <f t="shared" si="1"/>
        <v>18.72</v>
      </c>
      <c r="H9" s="81">
        <f t="shared" si="2"/>
        <v>18.72</v>
      </c>
      <c r="I9" s="11">
        <f>VLOOKUP(B9,Ordering!$A$1:$J$36,6,FALSE)</f>
        <v>1</v>
      </c>
      <c r="J9" s="84">
        <f>VLOOKUP(B9,Ordering!$A$1:$J$36,10,FALSE)</f>
        <v>0.74</v>
      </c>
      <c r="K9" s="84">
        <f t="shared" si="3"/>
        <v>18.72</v>
      </c>
      <c r="L9" s="85">
        <f t="shared" si="4"/>
        <v>13.852799999999998</v>
      </c>
    </row>
    <row r="10" spans="1:22" ht="14.5" x14ac:dyDescent="0.35">
      <c r="A10" s="11"/>
      <c r="B10" s="11" t="s">
        <v>50</v>
      </c>
      <c r="C10" s="16" t="s">
        <v>175</v>
      </c>
      <c r="D10" s="15">
        <v>0.75</v>
      </c>
      <c r="E10" s="12">
        <f t="shared" si="0"/>
        <v>156</v>
      </c>
      <c r="F10" s="13">
        <v>1</v>
      </c>
      <c r="G10" s="12">
        <f t="shared" si="1"/>
        <v>117</v>
      </c>
      <c r="H10" s="81">
        <f t="shared" si="2"/>
        <v>117</v>
      </c>
      <c r="I10" s="11">
        <f>VLOOKUP(B10,Ordering!$A$1:$J$36,6,FALSE)</f>
        <v>1</v>
      </c>
      <c r="J10" s="84">
        <f>VLOOKUP(B10,Ordering!$A$1:$J$36,10,FALSE)</f>
        <v>0</v>
      </c>
      <c r="K10" s="84">
        <f t="shared" si="3"/>
        <v>117</v>
      </c>
      <c r="L10" s="85">
        <f t="shared" si="4"/>
        <v>0</v>
      </c>
    </row>
    <row r="11" spans="1:22" x14ac:dyDescent="0.3">
      <c r="F11" s="106" t="s">
        <v>246</v>
      </c>
      <c r="G11" s="107">
        <f>Q20</f>
        <v>156</v>
      </c>
      <c r="M11" s="101"/>
      <c r="N11" s="22"/>
    </row>
    <row r="12" spans="1:22" ht="14.75" customHeight="1" x14ac:dyDescent="0.3">
      <c r="M12" s="101"/>
      <c r="N12" s="22"/>
      <c r="O12" s="22"/>
    </row>
    <row r="13" spans="1:22" ht="14.75" customHeight="1" x14ac:dyDescent="0.3"/>
    <row r="14" spans="1:22" ht="14.75" customHeight="1" x14ac:dyDescent="0.3"/>
    <row r="15" spans="1:22" x14ac:dyDescent="0.3">
      <c r="P15" s="128"/>
      <c r="Q15" s="129"/>
    </row>
    <row r="16" spans="1:22" x14ac:dyDescent="0.3">
      <c r="P16" s="126"/>
      <c r="Q16" s="12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154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156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8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C5A5A-27C0-4DDB-9F6C-2C466EC6189D}">
  <sheetPr codeName="Sheet29">
    <tabColor theme="4" tint="-0.249977111117893"/>
    <pageSetUpPr fitToPage="1"/>
  </sheetPr>
  <dimension ref="A1:V27"/>
  <sheetViews>
    <sheetView topLeftCell="M1" zoomScale="85" zoomScaleNormal="85" zoomScaleSheetLayoutView="100" workbookViewId="0">
      <selection activeCell="Q19" sqref="Q19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3" max="15" width="2.9140625" customWidth="1"/>
    <col min="19" max="19" width="8.5" bestFit="1" customWidth="1"/>
  </cols>
  <sheetData>
    <row r="1" spans="1:22" ht="26.25" customHeight="1" x14ac:dyDescent="0.3">
      <c r="A1" s="17" t="s">
        <v>0</v>
      </c>
      <c r="B1" s="9">
        <v>1</v>
      </c>
      <c r="C1" s="17" t="s">
        <v>1</v>
      </c>
      <c r="D1" s="10">
        <f>Q20</f>
        <v>205</v>
      </c>
      <c r="F1" s="17" t="s">
        <v>2</v>
      </c>
      <c r="G1" s="10">
        <f>D1/B1</f>
        <v>205</v>
      </c>
      <c r="H1" s="17" t="s">
        <v>3</v>
      </c>
      <c r="I1" s="21">
        <v>35</v>
      </c>
      <c r="J1" s="1"/>
      <c r="K1" s="23" t="s">
        <v>4</v>
      </c>
      <c r="U1" s="124" t="s">
        <v>329</v>
      </c>
      <c r="V1" s="125">
        <v>203</v>
      </c>
    </row>
    <row r="2" spans="1:22" ht="14.25" customHeight="1" x14ac:dyDescent="0.3">
      <c r="A2" s="50"/>
      <c r="B2" s="130" t="s">
        <v>62</v>
      </c>
      <c r="C2" s="130"/>
      <c r="D2" s="130"/>
      <c r="E2" s="130"/>
      <c r="F2" s="130"/>
      <c r="G2" s="130"/>
      <c r="H2" s="130"/>
      <c r="I2" s="32"/>
      <c r="J2" s="32"/>
      <c r="K2" s="33"/>
    </row>
    <row r="3" spans="1:22" ht="14.25" customHeight="1" x14ac:dyDescent="0.3">
      <c r="A3" s="51"/>
      <c r="B3" s="133" t="s">
        <v>242</v>
      </c>
      <c r="C3" s="133"/>
      <c r="D3" s="133"/>
      <c r="E3" s="133"/>
      <c r="F3" s="133"/>
      <c r="G3" s="133"/>
      <c r="H3" s="133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0" t="s">
        <v>13</v>
      </c>
      <c r="I4" s="83" t="s">
        <v>211</v>
      </c>
      <c r="J4" s="83" t="s">
        <v>14</v>
      </c>
      <c r="K4" s="83" t="s">
        <v>15</v>
      </c>
      <c r="L4" s="83" t="s">
        <v>244</v>
      </c>
    </row>
    <row r="5" spans="1:22" ht="14.5" x14ac:dyDescent="0.35">
      <c r="A5" s="11"/>
      <c r="B5" s="11" t="s">
        <v>51</v>
      </c>
      <c r="C5" s="16" t="s">
        <v>17</v>
      </c>
      <c r="D5" s="15">
        <v>20</v>
      </c>
      <c r="E5" s="12">
        <f t="shared" ref="E5:E10" si="0">$G$1</f>
        <v>205</v>
      </c>
      <c r="F5" s="13">
        <v>1</v>
      </c>
      <c r="G5" s="12">
        <f t="shared" ref="G5:G10" si="1">E5*D5</f>
        <v>4100</v>
      </c>
      <c r="H5" s="81">
        <f t="shared" ref="H5:H10" si="2">G5*F5</f>
        <v>4100</v>
      </c>
      <c r="I5" s="11">
        <f>VLOOKUP(B5,Ordering!$A$1:$J$36,6,FALSE)</f>
        <v>1</v>
      </c>
      <c r="J5" s="84">
        <f>VLOOKUP(B5,Ordering!$A$1:$J$36,10,FALSE)</f>
        <v>6.6959999999999997</v>
      </c>
      <c r="K5" s="84">
        <f>H5/I5</f>
        <v>4100</v>
      </c>
      <c r="L5" s="85">
        <f>J5*K5</f>
        <v>27453.599999999999</v>
      </c>
    </row>
    <row r="6" spans="1:22" ht="14.5" x14ac:dyDescent="0.35">
      <c r="A6" s="11"/>
      <c r="B6" s="11" t="s">
        <v>55</v>
      </c>
      <c r="C6" s="16" t="s">
        <v>17</v>
      </c>
      <c r="D6" s="15">
        <v>5.4</v>
      </c>
      <c r="E6" s="12">
        <f t="shared" si="0"/>
        <v>205</v>
      </c>
      <c r="F6" s="13">
        <v>1</v>
      </c>
      <c r="G6" s="12">
        <f t="shared" si="1"/>
        <v>1107</v>
      </c>
      <c r="H6" s="81">
        <f t="shared" si="2"/>
        <v>1107</v>
      </c>
      <c r="I6" s="11">
        <f>VLOOKUP(B6,Ordering!$A$1:$J$36,6,FALSE)</f>
        <v>0.8</v>
      </c>
      <c r="J6" s="84">
        <f>VLOOKUP(B6,Ordering!$A$1:$J$36,10,FALSE)</f>
        <v>3</v>
      </c>
      <c r="K6" s="84">
        <f t="shared" ref="K6:K10" si="3">H6/I6</f>
        <v>1383.75</v>
      </c>
      <c r="L6" s="85">
        <f t="shared" ref="L6:L10" si="4">J6*K6</f>
        <v>4151.25</v>
      </c>
    </row>
    <row r="7" spans="1:22" ht="14.5" x14ac:dyDescent="0.35">
      <c r="A7" s="11"/>
      <c r="B7" s="11" t="s">
        <v>48</v>
      </c>
      <c r="C7" s="16" t="s">
        <v>17</v>
      </c>
      <c r="D7" s="15">
        <v>0.05</v>
      </c>
      <c r="E7" s="12">
        <f t="shared" si="0"/>
        <v>205</v>
      </c>
      <c r="F7" s="13">
        <v>1</v>
      </c>
      <c r="G7" s="12">
        <f t="shared" si="1"/>
        <v>10.25</v>
      </c>
      <c r="H7" s="81">
        <f t="shared" si="2"/>
        <v>10.25</v>
      </c>
      <c r="I7" s="11">
        <f>VLOOKUP(B7,Ordering!$A$1:$J$36,6,FALSE)</f>
        <v>1</v>
      </c>
      <c r="J7" s="84">
        <f>VLOOKUP(B7,Ordering!$A$1:$J$36,10,FALSE)</f>
        <v>8</v>
      </c>
      <c r="K7" s="84">
        <f t="shared" si="3"/>
        <v>10.25</v>
      </c>
      <c r="L7" s="85">
        <f t="shared" si="4"/>
        <v>82</v>
      </c>
      <c r="R7" s="44"/>
    </row>
    <row r="8" spans="1:22" ht="14.5" x14ac:dyDescent="0.35">
      <c r="A8" s="11"/>
      <c r="B8" s="11" t="s">
        <v>174</v>
      </c>
      <c r="C8" s="16" t="s">
        <v>17</v>
      </c>
      <c r="D8" s="15">
        <v>0.02</v>
      </c>
      <c r="E8" s="12">
        <f t="shared" si="0"/>
        <v>205</v>
      </c>
      <c r="F8" s="13">
        <v>1</v>
      </c>
      <c r="G8" s="12">
        <f t="shared" si="1"/>
        <v>4.0999999999999996</v>
      </c>
      <c r="H8" s="81">
        <f t="shared" si="2"/>
        <v>4.0999999999999996</v>
      </c>
      <c r="I8" s="11">
        <f>VLOOKUP(B8,Ordering!$A$1:$J$36,6,FALSE)</f>
        <v>1</v>
      </c>
      <c r="J8" s="84">
        <f>VLOOKUP(B8,Ordering!$A$1:$J$36,10,FALSE)</f>
        <v>20</v>
      </c>
      <c r="K8" s="84">
        <f t="shared" si="3"/>
        <v>4.0999999999999996</v>
      </c>
      <c r="L8" s="85">
        <f t="shared" si="4"/>
        <v>82</v>
      </c>
    </row>
    <row r="9" spans="1:22" ht="14.5" x14ac:dyDescent="0.35">
      <c r="A9" s="11"/>
      <c r="B9" s="11" t="s">
        <v>50</v>
      </c>
      <c r="C9" s="16" t="s">
        <v>175</v>
      </c>
      <c r="D9" s="15">
        <v>9.4499999999999993</v>
      </c>
      <c r="E9" s="12">
        <f t="shared" si="0"/>
        <v>205</v>
      </c>
      <c r="F9" s="13">
        <v>1</v>
      </c>
      <c r="G9" s="12">
        <f t="shared" si="1"/>
        <v>1937.2499999999998</v>
      </c>
      <c r="H9" s="81">
        <f t="shared" si="2"/>
        <v>1937.2499999999998</v>
      </c>
      <c r="I9" s="11">
        <f>VLOOKUP(B9,Ordering!$A$1:$J$36,6,FALSE)</f>
        <v>1</v>
      </c>
      <c r="J9" s="84">
        <f>VLOOKUP(B9,Ordering!$A$1:$J$36,10,FALSE)</f>
        <v>0</v>
      </c>
      <c r="K9" s="84">
        <f t="shared" si="3"/>
        <v>1937.2499999999998</v>
      </c>
      <c r="L9" s="85">
        <f t="shared" si="4"/>
        <v>0</v>
      </c>
    </row>
    <row r="10" spans="1:22" ht="14.5" x14ac:dyDescent="0.35">
      <c r="A10" s="11"/>
      <c r="B10" s="11" t="s">
        <v>49</v>
      </c>
      <c r="C10" s="16" t="s">
        <v>17</v>
      </c>
      <c r="D10" s="15">
        <v>0.08</v>
      </c>
      <c r="E10" s="12">
        <f t="shared" si="0"/>
        <v>205</v>
      </c>
      <c r="F10" s="13">
        <v>1</v>
      </c>
      <c r="G10" s="12">
        <f t="shared" si="1"/>
        <v>16.399999999999999</v>
      </c>
      <c r="H10" s="81">
        <f t="shared" si="2"/>
        <v>16.399999999999999</v>
      </c>
      <c r="I10" s="11">
        <f>VLOOKUP(B10,Ordering!$A$1:$J$36,6,FALSE)</f>
        <v>1</v>
      </c>
      <c r="J10" s="84">
        <f>VLOOKUP(B10,Ordering!$A$1:$J$36,10,FALSE)</f>
        <v>0.74</v>
      </c>
      <c r="K10" s="84">
        <f t="shared" si="3"/>
        <v>16.399999999999999</v>
      </c>
      <c r="L10" s="85">
        <f t="shared" si="4"/>
        <v>12.135999999999999</v>
      </c>
    </row>
    <row r="11" spans="1:22" x14ac:dyDescent="0.3">
      <c r="F11" s="106" t="s">
        <v>246</v>
      </c>
      <c r="G11" s="107">
        <f>Q20</f>
        <v>205</v>
      </c>
      <c r="M11" s="101"/>
      <c r="N11" s="22"/>
    </row>
    <row r="12" spans="1:22" ht="14.75" customHeight="1" x14ac:dyDescent="0.3">
      <c r="M12" s="101"/>
      <c r="N12" s="22"/>
    </row>
    <row r="13" spans="1:22" ht="14.75" customHeight="1" x14ac:dyDescent="0.3"/>
    <row r="14" spans="1:22" ht="14.75" customHeight="1" x14ac:dyDescent="0.3"/>
    <row r="15" spans="1:22" x14ac:dyDescent="0.3">
      <c r="P15" s="128"/>
      <c r="Q15" s="129"/>
    </row>
    <row r="16" spans="1:22" x14ac:dyDescent="0.3">
      <c r="P16" s="126"/>
      <c r="Q16" s="12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203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205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List of Meals</vt:lpstr>
      <vt:lpstr>Ordering</vt:lpstr>
      <vt:lpstr>Tahina Small</vt:lpstr>
      <vt:lpstr>Red sauce</vt:lpstr>
      <vt:lpstr>Cucumber yogurt sauce</vt:lpstr>
      <vt:lpstr>Herbal Sauce</vt:lpstr>
      <vt:lpstr>Red sauce Big</vt:lpstr>
      <vt:lpstr>Tahina Big</vt:lpstr>
      <vt:lpstr>Coctail Sauce Weight</vt:lpstr>
      <vt:lpstr>Coctail Sauce Dip In  (2)</vt:lpstr>
      <vt:lpstr>Coctail Sauce Weight (3)</vt:lpstr>
      <vt:lpstr>Cucumber Pickle</vt:lpstr>
      <vt:lpstr>Cucumber yogurt sauce (2)</vt:lpstr>
      <vt:lpstr>Red sauce Big (2)</vt:lpstr>
      <vt:lpstr>Tahina Big (2)</vt:lpstr>
      <vt:lpstr>Red sauce Big (3)</vt:lpstr>
      <vt:lpstr>Coctail Sauce Dip In  (3)</vt:lpstr>
      <vt:lpstr>Coctail Sauce Weight (2)</vt:lpstr>
      <vt:lpstr>Mixed Pickle</vt:lpstr>
      <vt:lpstr>Cucumber yogurt sauce (3)</vt:lpstr>
      <vt:lpstr>Shabat Sauce</vt:lpstr>
      <vt:lpstr>Biryani Yoghrt sauce</vt:lpstr>
      <vt:lpstr>Coctail Sauce Dip In  (4)</vt:lpstr>
      <vt:lpstr>Coctail Sauce Weight (5)</vt:lpstr>
      <vt:lpstr>Red sauce Big (4)</vt:lpstr>
      <vt:lpstr>Cucumber yogurt sauce (4)</vt:lpstr>
      <vt:lpstr>Coctail Sauce Weight (4)</vt:lpstr>
      <vt:lpstr>Sumak Onion</vt:lpstr>
      <vt:lpstr>Tahina Small (2)</vt:lpstr>
      <vt:lpstr>Red sauce (2)</vt:lpstr>
      <vt:lpstr>Red sauce Big (5)</vt:lpstr>
      <vt:lpstr>Cucumber yogurt sauce (5)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 akmal</dc:creator>
  <cp:lastModifiedBy>Amira Fathy</cp:lastModifiedBy>
  <cp:lastPrinted>2026-07-07T16:59:59Z</cp:lastPrinted>
  <dcterms:created xsi:type="dcterms:W3CDTF">2026-01-12T00:14:28Z</dcterms:created>
  <dcterms:modified xsi:type="dcterms:W3CDTF">2026-07-14T17:20:00Z</dcterms:modified>
</cp:coreProperties>
</file>