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 W1/"/>
    </mc:Choice>
  </mc:AlternateContent>
  <xr:revisionPtr revIDLastSave="20447" documentId="13_ncr:1_{EE1041A4-68F3-4386-A5C8-E0DE93711744}" xr6:coauthVersionLast="47" xr6:coauthVersionMax="47" xr10:uidLastSave="{AACF2FD3-F860-43C6-A609-526B451A80CA}"/>
  <bookViews>
    <workbookView xWindow="0" yWindow="713" windowWidth="20000" windowHeight="12620" tabRatio="914" xr2:uid="{00000000-000D-0000-FFFF-FFFF00000000}"/>
  </bookViews>
  <sheets>
    <sheet name="Ordering" sheetId="1" r:id="rId1"/>
    <sheet name="Zatar Pie" sheetId="19" r:id="rId2"/>
    <sheet name="Laham Pie" sheetId="22" r:id="rId3"/>
    <sheet name="Labneh Pie" sheetId="21" r:id="rId4"/>
    <sheet name="Rocky Road" sheetId="6" r:id="rId5"/>
    <sheet name="Basbusa" sheetId="11" r:id="rId6"/>
    <sheet name="Blueberry Cheese Cake" sheetId="5" r:id="rId7"/>
    <sheet name="Mixed Nuts" sheetId="35" r:id="rId8"/>
    <sheet name="Raspberry Chooclate Cheese Cake" sheetId="15" r:id="rId9"/>
    <sheet name="Brownie " sheetId="3" r:id="rId10"/>
    <sheet name="Baboffee Pie" sheetId="2" r:id="rId11"/>
    <sheet name="Sabestien" sheetId="4" r:id="rId12"/>
    <sheet name="Mixed Nuts (2)" sheetId="34" r:id="rId13"/>
    <sheet name="Labneh Pie (2)" sheetId="30" r:id="rId14"/>
    <sheet name="Laham Pie (2)" sheetId="29" r:id="rId15"/>
    <sheet name="Zatar Pie (2)" sheetId="28" r:id="rId16"/>
    <sheet name="Lemon Cake" sheetId="14" r:id="rId17"/>
    <sheet name="Cookies" sheetId="18" r:id="rId18"/>
    <sheet name="Saffron Cake" sheetId="8" r:id="rId19"/>
    <sheet name="Mixed Nuts (3)" sheetId="36" r:id="rId20"/>
    <sheet name="Lotuse Cheese Cake" sheetId="12" r:id="rId21"/>
    <sheet name="Oat Bar" sheetId="17" r:id="rId22"/>
    <sheet name="Almond Chooclate Cake" sheetId="16" r:id="rId23"/>
    <sheet name="Mixed Nuts (4)" sheetId="31" r:id="rId24"/>
    <sheet name="Mango Cheese Cake" sheetId="7" r:id="rId25"/>
    <sheet name="Classic Cheese Cake" sheetId="9" r:id="rId26"/>
    <sheet name="Muffin" sheetId="13" r:id="rId27"/>
    <sheet name="Mixed Nuts (5)" sheetId="32" r:id="rId28"/>
    <sheet name="Orange Cake" sheetId="20" r:id="rId29"/>
    <sheet name="Dukhun Cake" sheetId="10" r:id="rId30"/>
    <sheet name="Saffron Cake (2)" sheetId="23" r:id="rId31"/>
    <sheet name="Mixed Nuts (6)" sheetId="33" r:id="rId32"/>
  </sheets>
  <definedNames>
    <definedName name="_xlnm._FilterDatabase" localSheetId="0" hidden="1">Ordering!$A$1:$O$89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8" i="36" l="1"/>
  <c r="S16" i="36"/>
  <c r="S15" i="36" l="1"/>
  <c r="F1" i="36" s="1"/>
  <c r="I1" i="36" s="1"/>
  <c r="I7" i="36"/>
  <c r="I6" i="36"/>
  <c r="I5" i="36"/>
  <c r="S15" i="35"/>
  <c r="F1" i="35" s="1"/>
  <c r="I1" i="35" s="1"/>
  <c r="I7" i="35"/>
  <c r="I6" i="35"/>
  <c r="I5" i="35"/>
  <c r="S15" i="34"/>
  <c r="F1" i="34" s="1"/>
  <c r="I1" i="34" s="1"/>
  <c r="I7" i="34"/>
  <c r="I6" i="34"/>
  <c r="I5" i="34"/>
  <c r="S15" i="33"/>
  <c r="J7" i="33"/>
  <c r="I7" i="33"/>
  <c r="I6" i="33"/>
  <c r="I5" i="33"/>
  <c r="F1" i="33"/>
  <c r="I1" i="33" s="1"/>
  <c r="I12" i="20"/>
  <c r="J43" i="1"/>
  <c r="J7" i="36" s="1"/>
  <c r="K43" i="1"/>
  <c r="N43" i="1" s="1"/>
  <c r="L43" i="1"/>
  <c r="O43" i="1" s="1"/>
  <c r="J42" i="1"/>
  <c r="J6" i="34" s="1"/>
  <c r="K42" i="1"/>
  <c r="N42" i="1" s="1"/>
  <c r="L42" i="1"/>
  <c r="O42" i="1" s="1"/>
  <c r="S15" i="32"/>
  <c r="F1" i="32" s="1"/>
  <c r="I1" i="32" s="1"/>
  <c r="J7" i="32"/>
  <c r="I7" i="32"/>
  <c r="I6" i="32"/>
  <c r="I5" i="32"/>
  <c r="N15" i="1"/>
  <c r="O15" i="1"/>
  <c r="N19" i="1"/>
  <c r="O19" i="1"/>
  <c r="N25" i="1"/>
  <c r="O25" i="1"/>
  <c r="N33" i="1"/>
  <c r="O33" i="1"/>
  <c r="N37" i="1"/>
  <c r="O37" i="1"/>
  <c r="N44" i="1"/>
  <c r="O44" i="1"/>
  <c r="N61" i="1"/>
  <c r="O61" i="1"/>
  <c r="N71" i="1"/>
  <c r="O71" i="1"/>
  <c r="N74" i="1"/>
  <c r="O74" i="1"/>
  <c r="N81" i="1"/>
  <c r="O81" i="1"/>
  <c r="K75" i="1"/>
  <c r="N75" i="1" s="1"/>
  <c r="L75" i="1"/>
  <c r="O75" i="1" s="1"/>
  <c r="K76" i="1"/>
  <c r="N76" i="1" s="1"/>
  <c r="L76" i="1"/>
  <c r="O76" i="1" s="1"/>
  <c r="K77" i="1"/>
  <c r="N77" i="1" s="1"/>
  <c r="L77" i="1"/>
  <c r="O77" i="1" s="1"/>
  <c r="K78" i="1"/>
  <c r="N78" i="1" s="1"/>
  <c r="L78" i="1"/>
  <c r="O78" i="1" s="1"/>
  <c r="K79" i="1"/>
  <c r="N79" i="1" s="1"/>
  <c r="L79" i="1"/>
  <c r="O79" i="1" s="1"/>
  <c r="K80" i="1"/>
  <c r="N80" i="1" s="1"/>
  <c r="L80" i="1"/>
  <c r="O80" i="1" s="1"/>
  <c r="K82" i="1"/>
  <c r="N82" i="1" s="1"/>
  <c r="L82" i="1"/>
  <c r="O82" i="1" s="1"/>
  <c r="K4" i="1"/>
  <c r="N4" i="1" s="1"/>
  <c r="L4" i="1"/>
  <c r="O4" i="1" s="1"/>
  <c r="K5" i="1"/>
  <c r="N5" i="1" s="1"/>
  <c r="L5" i="1"/>
  <c r="O5" i="1" s="1"/>
  <c r="K6" i="1"/>
  <c r="N6" i="1" s="1"/>
  <c r="L6" i="1"/>
  <c r="O6" i="1" s="1"/>
  <c r="K7" i="1"/>
  <c r="N7" i="1" s="1"/>
  <c r="L7" i="1"/>
  <c r="O7" i="1" s="1"/>
  <c r="K8" i="1"/>
  <c r="N8" i="1" s="1"/>
  <c r="L8" i="1"/>
  <c r="O8" i="1" s="1"/>
  <c r="K9" i="1"/>
  <c r="N9" i="1" s="1"/>
  <c r="L9" i="1"/>
  <c r="O9" i="1" s="1"/>
  <c r="K12" i="1"/>
  <c r="N12" i="1" s="1"/>
  <c r="L12" i="1"/>
  <c r="O12" i="1" s="1"/>
  <c r="K13" i="1"/>
  <c r="N13" i="1" s="1"/>
  <c r="L13" i="1"/>
  <c r="O13" i="1" s="1"/>
  <c r="K14" i="1"/>
  <c r="N14" i="1" s="1"/>
  <c r="L14" i="1"/>
  <c r="O14" i="1" s="1"/>
  <c r="K16" i="1"/>
  <c r="L16" i="1"/>
  <c r="K17" i="1"/>
  <c r="N17" i="1" s="1"/>
  <c r="L17" i="1"/>
  <c r="O17" i="1" s="1"/>
  <c r="K18" i="1"/>
  <c r="N18" i="1" s="1"/>
  <c r="L18" i="1"/>
  <c r="O18" i="1" s="1"/>
  <c r="K20" i="1"/>
  <c r="N20" i="1" s="1"/>
  <c r="L20" i="1"/>
  <c r="O20" i="1" s="1"/>
  <c r="K21" i="1"/>
  <c r="N21" i="1" s="1"/>
  <c r="L21" i="1"/>
  <c r="O21" i="1" s="1"/>
  <c r="K22" i="1"/>
  <c r="N22" i="1" s="1"/>
  <c r="L22" i="1"/>
  <c r="O22" i="1" s="1"/>
  <c r="K23" i="1"/>
  <c r="N23" i="1" s="1"/>
  <c r="L23" i="1"/>
  <c r="O23" i="1" s="1"/>
  <c r="K24" i="1"/>
  <c r="N24" i="1" s="1"/>
  <c r="L24" i="1"/>
  <c r="O24" i="1" s="1"/>
  <c r="K26" i="1"/>
  <c r="N26" i="1" s="1"/>
  <c r="L26" i="1"/>
  <c r="O26" i="1" s="1"/>
  <c r="K29" i="1"/>
  <c r="N29" i="1" s="1"/>
  <c r="L29" i="1"/>
  <c r="O29" i="1" s="1"/>
  <c r="K30" i="1"/>
  <c r="N30" i="1" s="1"/>
  <c r="L30" i="1"/>
  <c r="O30" i="1" s="1"/>
  <c r="K31" i="1"/>
  <c r="N31" i="1" s="1"/>
  <c r="L31" i="1"/>
  <c r="O31" i="1" s="1"/>
  <c r="K38" i="1"/>
  <c r="N38" i="1" s="1"/>
  <c r="L38" i="1"/>
  <c r="O38" i="1" s="1"/>
  <c r="K39" i="1"/>
  <c r="N39" i="1" s="1"/>
  <c r="L39" i="1"/>
  <c r="O39" i="1" s="1"/>
  <c r="K40" i="1"/>
  <c r="N40" i="1" s="1"/>
  <c r="L40" i="1"/>
  <c r="O40" i="1" s="1"/>
  <c r="K41" i="1"/>
  <c r="N41" i="1" s="1"/>
  <c r="L41" i="1"/>
  <c r="O41" i="1" s="1"/>
  <c r="K45" i="1"/>
  <c r="N45" i="1" s="1"/>
  <c r="L45" i="1"/>
  <c r="O45" i="1" s="1"/>
  <c r="K49" i="1"/>
  <c r="N49" i="1" s="1"/>
  <c r="L49" i="1"/>
  <c r="O49" i="1" s="1"/>
  <c r="K50" i="1"/>
  <c r="N50" i="1" s="1"/>
  <c r="L50" i="1"/>
  <c r="O50" i="1" s="1"/>
  <c r="K52" i="1"/>
  <c r="N52" i="1" s="1"/>
  <c r="L52" i="1"/>
  <c r="O52" i="1" s="1"/>
  <c r="K53" i="1"/>
  <c r="N53" i="1" s="1"/>
  <c r="L53" i="1"/>
  <c r="O53" i="1" s="1"/>
  <c r="K54" i="1"/>
  <c r="L54" i="1"/>
  <c r="K55" i="1"/>
  <c r="N55" i="1" s="1"/>
  <c r="L55" i="1"/>
  <c r="O55" i="1" s="1"/>
  <c r="K56" i="1"/>
  <c r="N56" i="1" s="1"/>
  <c r="L56" i="1"/>
  <c r="O56" i="1" s="1"/>
  <c r="K57" i="1"/>
  <c r="N57" i="1" s="1"/>
  <c r="L57" i="1"/>
  <c r="O57" i="1" s="1"/>
  <c r="K58" i="1"/>
  <c r="N58" i="1" s="1"/>
  <c r="L58" i="1"/>
  <c r="O58" i="1" s="1"/>
  <c r="K60" i="1"/>
  <c r="N60" i="1" s="1"/>
  <c r="L60" i="1"/>
  <c r="O60" i="1" s="1"/>
  <c r="K62" i="1"/>
  <c r="L62" i="1"/>
  <c r="K63" i="1"/>
  <c r="L63" i="1"/>
  <c r="K64" i="1"/>
  <c r="N64" i="1" s="1"/>
  <c r="L64" i="1"/>
  <c r="O64" i="1" s="1"/>
  <c r="K65" i="1"/>
  <c r="N65" i="1" s="1"/>
  <c r="L65" i="1"/>
  <c r="O65" i="1" s="1"/>
  <c r="K68" i="1"/>
  <c r="N68" i="1" s="1"/>
  <c r="L68" i="1"/>
  <c r="O68" i="1" s="1"/>
  <c r="K69" i="1"/>
  <c r="N69" i="1" s="1"/>
  <c r="L69" i="1"/>
  <c r="O69" i="1" s="1"/>
  <c r="K72" i="1"/>
  <c r="N72" i="1" s="1"/>
  <c r="L72" i="1"/>
  <c r="O72" i="1" s="1"/>
  <c r="K73" i="1"/>
  <c r="N73" i="1" s="1"/>
  <c r="L73" i="1"/>
  <c r="O73" i="1" s="1"/>
  <c r="K2" i="1"/>
  <c r="N2" i="1" s="1"/>
  <c r="L2" i="1"/>
  <c r="O2" i="1" s="1"/>
  <c r="E5" i="36" l="1"/>
  <c r="G5" i="36" s="1"/>
  <c r="H5" i="36" s="1"/>
  <c r="K5" i="36" s="1"/>
  <c r="E6" i="36"/>
  <c r="G6" i="36" s="1"/>
  <c r="H6" i="36" s="1"/>
  <c r="K6" i="36" s="1"/>
  <c r="E6" i="34"/>
  <c r="G6" i="34" s="1"/>
  <c r="H6" i="34" s="1"/>
  <c r="E5" i="34"/>
  <c r="G5" i="34" s="1"/>
  <c r="H5" i="34" s="1"/>
  <c r="J7" i="34"/>
  <c r="J6" i="35"/>
  <c r="L6" i="35" s="1"/>
  <c r="J6" i="32"/>
  <c r="J6" i="33"/>
  <c r="J7" i="35"/>
  <c r="J6" i="36"/>
  <c r="K6" i="34"/>
  <c r="L6" i="34" s="1"/>
  <c r="K5" i="34"/>
  <c r="E7" i="36"/>
  <c r="G7" i="36" s="1"/>
  <c r="H7" i="36" s="1"/>
  <c r="K7" i="36" s="1"/>
  <c r="L7" i="36" s="1"/>
  <c r="E6" i="35"/>
  <c r="G6" i="35" s="1"/>
  <c r="H6" i="35" s="1"/>
  <c r="K6" i="35" s="1"/>
  <c r="E5" i="35"/>
  <c r="G5" i="35" s="1"/>
  <c r="H5" i="35" s="1"/>
  <c r="K5" i="35" s="1"/>
  <c r="E7" i="35"/>
  <c r="G7" i="35" s="1"/>
  <c r="H7" i="35" s="1"/>
  <c r="K7" i="35" s="1"/>
  <c r="E7" i="34"/>
  <c r="G7" i="34" s="1"/>
  <c r="H7" i="34" s="1"/>
  <c r="K7" i="34" s="1"/>
  <c r="E5" i="33"/>
  <c r="G5" i="33" s="1"/>
  <c r="H5" i="33" s="1"/>
  <c r="K5" i="33" s="1"/>
  <c r="E6" i="33"/>
  <c r="G6" i="33" s="1"/>
  <c r="H6" i="33" s="1"/>
  <c r="K6" i="33" s="1"/>
  <c r="E7" i="33"/>
  <c r="G7" i="33" s="1"/>
  <c r="H7" i="33" s="1"/>
  <c r="K7" i="33" s="1"/>
  <c r="L7" i="33" s="1"/>
  <c r="E5" i="32"/>
  <c r="G5" i="32" s="1"/>
  <c r="H5" i="32" s="1"/>
  <c r="K5" i="32" s="1"/>
  <c r="E6" i="32"/>
  <c r="G6" i="32" s="1"/>
  <c r="H6" i="32" s="1"/>
  <c r="K6" i="32" s="1"/>
  <c r="E7" i="32"/>
  <c r="G7" i="32" s="1"/>
  <c r="H7" i="32" s="1"/>
  <c r="K7" i="32" s="1"/>
  <c r="L7" i="32" s="1"/>
  <c r="I12" i="14"/>
  <c r="J41" i="1"/>
  <c r="L7" i="34" l="1"/>
  <c r="L6" i="36"/>
  <c r="L6" i="32"/>
  <c r="L7" i="35"/>
  <c r="L6" i="33"/>
  <c r="J5" i="34"/>
  <c r="L5" i="34" s="1"/>
  <c r="X8" i="34" s="1"/>
  <c r="J5" i="35"/>
  <c r="L5" i="35" s="1"/>
  <c r="S16" i="35" s="1"/>
  <c r="J5" i="36"/>
  <c r="L5" i="36" s="1"/>
  <c r="J5" i="32"/>
  <c r="L5" i="32" s="1"/>
  <c r="X8" i="32" s="1"/>
  <c r="J5" i="33"/>
  <c r="L5" i="33" s="1"/>
  <c r="I17" i="23"/>
  <c r="I18" i="23"/>
  <c r="I5" i="8"/>
  <c r="I17" i="8"/>
  <c r="I18" i="8"/>
  <c r="I17" i="29"/>
  <c r="I18" i="29"/>
  <c r="I19" i="29"/>
  <c r="I20" i="29"/>
  <c r="I21" i="29"/>
  <c r="I17" i="30"/>
  <c r="I18" i="30"/>
  <c r="I19" i="30"/>
  <c r="I20" i="30"/>
  <c r="I17" i="21"/>
  <c r="I18" i="21"/>
  <c r="I19" i="21"/>
  <c r="I20" i="21"/>
  <c r="I17" i="22"/>
  <c r="I18" i="22"/>
  <c r="I19" i="22"/>
  <c r="I20" i="22"/>
  <c r="I21" i="22"/>
  <c r="J15" i="22"/>
  <c r="J10" i="15"/>
  <c r="J9" i="2"/>
  <c r="J15" i="29"/>
  <c r="J8" i="18"/>
  <c r="J6" i="31"/>
  <c r="J7" i="31"/>
  <c r="J7" i="13"/>
  <c r="J5" i="31"/>
  <c r="J5" i="10"/>
  <c r="I6" i="22"/>
  <c r="I7" i="22"/>
  <c r="I8" i="22"/>
  <c r="I9" i="22"/>
  <c r="I10" i="22"/>
  <c r="I11" i="22"/>
  <c r="I12" i="22"/>
  <c r="I13" i="22"/>
  <c r="I14" i="22"/>
  <c r="I15" i="22"/>
  <c r="I16" i="22"/>
  <c r="I6" i="21"/>
  <c r="I7" i="21"/>
  <c r="I8" i="21"/>
  <c r="I9" i="21"/>
  <c r="I10" i="21"/>
  <c r="I11" i="21"/>
  <c r="I12" i="21"/>
  <c r="I13" i="21"/>
  <c r="I14" i="21"/>
  <c r="I15" i="21"/>
  <c r="I16" i="21"/>
  <c r="I6" i="6"/>
  <c r="I7" i="6"/>
  <c r="I8" i="6"/>
  <c r="I6" i="11"/>
  <c r="I7" i="11"/>
  <c r="I8" i="11"/>
  <c r="I9" i="11"/>
  <c r="I10" i="11"/>
  <c r="I11" i="11"/>
  <c r="I12" i="11"/>
  <c r="I6" i="5"/>
  <c r="I7" i="5"/>
  <c r="I8" i="5"/>
  <c r="I9" i="5"/>
  <c r="I6" i="15"/>
  <c r="I7" i="15"/>
  <c r="I8" i="15"/>
  <c r="I9" i="15"/>
  <c r="I10" i="15"/>
  <c r="I11" i="15"/>
  <c r="I12" i="15"/>
  <c r="I13" i="15"/>
  <c r="I14" i="15"/>
  <c r="I7" i="3"/>
  <c r="I8" i="3"/>
  <c r="I9" i="3"/>
  <c r="I10" i="3"/>
  <c r="I11" i="3"/>
  <c r="I12" i="3"/>
  <c r="I13" i="3"/>
  <c r="I6" i="2"/>
  <c r="I7" i="2"/>
  <c r="I8" i="2"/>
  <c r="I9" i="2"/>
  <c r="I10" i="2"/>
  <c r="I11" i="2"/>
  <c r="I12" i="2"/>
  <c r="I13" i="2"/>
  <c r="I14" i="2"/>
  <c r="I6" i="4"/>
  <c r="I7" i="4"/>
  <c r="I8" i="4"/>
  <c r="I9" i="4"/>
  <c r="I6" i="30"/>
  <c r="I7" i="30"/>
  <c r="I8" i="30"/>
  <c r="I9" i="30"/>
  <c r="I10" i="30"/>
  <c r="I11" i="30"/>
  <c r="I12" i="30"/>
  <c r="I13" i="30"/>
  <c r="I14" i="30"/>
  <c r="I15" i="30"/>
  <c r="I16" i="30"/>
  <c r="I6" i="29"/>
  <c r="I7" i="29"/>
  <c r="I8" i="29"/>
  <c r="I9" i="29"/>
  <c r="I10" i="29"/>
  <c r="I11" i="29"/>
  <c r="I12" i="29"/>
  <c r="I13" i="29"/>
  <c r="I14" i="29"/>
  <c r="I15" i="29"/>
  <c r="I16" i="29"/>
  <c r="I6" i="28"/>
  <c r="I7" i="28"/>
  <c r="I8" i="28"/>
  <c r="I9" i="28"/>
  <c r="I10" i="28"/>
  <c r="I11" i="28"/>
  <c r="I12" i="28"/>
  <c r="I13" i="28"/>
  <c r="I14" i="28"/>
  <c r="I15" i="28"/>
  <c r="I16" i="28"/>
  <c r="I6" i="14"/>
  <c r="I7" i="14"/>
  <c r="I8" i="14"/>
  <c r="I9" i="14"/>
  <c r="I10" i="14"/>
  <c r="I11" i="14"/>
  <c r="I13" i="14"/>
  <c r="I6" i="18"/>
  <c r="I7" i="18"/>
  <c r="I8" i="18"/>
  <c r="I9" i="18"/>
  <c r="I6" i="8"/>
  <c r="I7" i="8"/>
  <c r="I8" i="8"/>
  <c r="I9" i="8"/>
  <c r="I10" i="8"/>
  <c r="I11" i="8"/>
  <c r="I12" i="8"/>
  <c r="I13" i="8"/>
  <c r="I14" i="8"/>
  <c r="I15" i="8"/>
  <c r="I16" i="8"/>
  <c r="I6" i="12"/>
  <c r="I7" i="12"/>
  <c r="I8" i="12"/>
  <c r="I9" i="12"/>
  <c r="I6" i="17"/>
  <c r="I7" i="17"/>
  <c r="I8" i="17"/>
  <c r="I9" i="17"/>
  <c r="I6" i="16"/>
  <c r="I7" i="16"/>
  <c r="I8" i="16"/>
  <c r="I9" i="16"/>
  <c r="I10" i="16"/>
  <c r="I11" i="16"/>
  <c r="I12" i="16"/>
  <c r="I6" i="31"/>
  <c r="I7" i="31"/>
  <c r="I6" i="7"/>
  <c r="I7" i="7"/>
  <c r="I8" i="7"/>
  <c r="I9" i="7"/>
  <c r="I10" i="7"/>
  <c r="I11" i="7"/>
  <c r="I12" i="7"/>
  <c r="I6" i="9"/>
  <c r="I7" i="9"/>
  <c r="I8" i="9"/>
  <c r="I9" i="9"/>
  <c r="I10" i="9"/>
  <c r="I11" i="9"/>
  <c r="I12" i="9"/>
  <c r="I6" i="13"/>
  <c r="I7" i="13"/>
  <c r="I8" i="13"/>
  <c r="I9" i="13"/>
  <c r="I10" i="13"/>
  <c r="I11" i="13"/>
  <c r="I12" i="13"/>
  <c r="I6" i="20"/>
  <c r="I7" i="20"/>
  <c r="I8" i="20"/>
  <c r="I9" i="20"/>
  <c r="I10" i="20"/>
  <c r="I11" i="20"/>
  <c r="I6" i="10"/>
  <c r="I7" i="10"/>
  <c r="I8" i="10"/>
  <c r="I9" i="10"/>
  <c r="I10" i="10"/>
  <c r="I11" i="10"/>
  <c r="I12" i="10"/>
  <c r="I13" i="10"/>
  <c r="I14" i="10"/>
  <c r="I15" i="10"/>
  <c r="I16" i="10"/>
  <c r="I6" i="23"/>
  <c r="I7" i="23"/>
  <c r="I8" i="23"/>
  <c r="I9" i="23"/>
  <c r="I10" i="23"/>
  <c r="I11" i="23"/>
  <c r="I12" i="23"/>
  <c r="I13" i="23"/>
  <c r="I14" i="23"/>
  <c r="I15" i="23"/>
  <c r="I16" i="23"/>
  <c r="I6" i="19"/>
  <c r="I7" i="19"/>
  <c r="I8" i="19"/>
  <c r="I9" i="19"/>
  <c r="I10" i="19"/>
  <c r="I11" i="19"/>
  <c r="I12" i="19"/>
  <c r="I13" i="19"/>
  <c r="I14" i="19"/>
  <c r="I15" i="19"/>
  <c r="I16" i="19"/>
  <c r="I5" i="22"/>
  <c r="I5" i="21"/>
  <c r="I5" i="6"/>
  <c r="I5" i="11"/>
  <c r="I5" i="5"/>
  <c r="I5" i="15"/>
  <c r="I5" i="3"/>
  <c r="I5" i="2"/>
  <c r="I5" i="4"/>
  <c r="I5" i="30"/>
  <c r="I5" i="29"/>
  <c r="I5" i="28"/>
  <c r="I5" i="14"/>
  <c r="I5" i="18"/>
  <c r="I5" i="12"/>
  <c r="I5" i="17"/>
  <c r="I5" i="16"/>
  <c r="I5" i="31"/>
  <c r="I5" i="7"/>
  <c r="I5" i="9"/>
  <c r="I5" i="13"/>
  <c r="I5" i="20"/>
  <c r="I5" i="10"/>
  <c r="I5" i="23"/>
  <c r="I5" i="19"/>
  <c r="S15" i="31"/>
  <c r="F1" i="31" s="1"/>
  <c r="I1" i="31" s="1"/>
  <c r="J60" i="1"/>
  <c r="J5" i="13" s="1"/>
  <c r="G59" i="1"/>
  <c r="I16" i="1"/>
  <c r="J38" i="1"/>
  <c r="J16" i="10" s="1"/>
  <c r="I36" i="1"/>
  <c r="G36" i="1"/>
  <c r="J53" i="1"/>
  <c r="J6" i="15" s="1"/>
  <c r="I63" i="1"/>
  <c r="G47" i="1"/>
  <c r="I47" i="1"/>
  <c r="J26" i="1"/>
  <c r="J15" i="10" s="1"/>
  <c r="I62" i="1"/>
  <c r="J45" i="1"/>
  <c r="J6" i="14" s="1"/>
  <c r="J14" i="1"/>
  <c r="J11" i="13" s="1"/>
  <c r="X8" i="33" l="1"/>
  <c r="S16" i="34"/>
  <c r="S16" i="33"/>
  <c r="S16" i="32"/>
  <c r="K36" i="1"/>
  <c r="N36" i="1" s="1"/>
  <c r="L36" i="1"/>
  <c r="O36" i="1" s="1"/>
  <c r="J62" i="1"/>
  <c r="J9" i="28" s="1"/>
  <c r="L9" i="28" s="1"/>
  <c r="O62" i="1"/>
  <c r="N62" i="1"/>
  <c r="J16" i="1"/>
  <c r="J7" i="30" s="1"/>
  <c r="L7" i="30" s="1"/>
  <c r="N16" i="1"/>
  <c r="O16" i="1"/>
  <c r="J59" i="1"/>
  <c r="J5" i="18" s="1"/>
  <c r="K59" i="1"/>
  <c r="N59" i="1" s="1"/>
  <c r="L59" i="1"/>
  <c r="O59" i="1" s="1"/>
  <c r="K47" i="1"/>
  <c r="N47" i="1" s="1"/>
  <c r="L47" i="1"/>
  <c r="O47" i="1" s="1"/>
  <c r="X8" i="35"/>
  <c r="J63" i="1"/>
  <c r="J8" i="22" s="1"/>
  <c r="O63" i="1"/>
  <c r="N63" i="1"/>
  <c r="J7" i="22"/>
  <c r="J8" i="28"/>
  <c r="L8" i="28" s="1"/>
  <c r="J11" i="15"/>
  <c r="J6" i="11"/>
  <c r="J6" i="16"/>
  <c r="J7" i="28"/>
  <c r="L7" i="28" s="1"/>
  <c r="J7" i="20"/>
  <c r="J6" i="13"/>
  <c r="J9" i="15"/>
  <c r="J6" i="20"/>
  <c r="J8" i="29"/>
  <c r="L8" i="29" s="1"/>
  <c r="J7" i="29"/>
  <c r="L7" i="29" s="1"/>
  <c r="J8" i="21"/>
  <c r="J8" i="19"/>
  <c r="J6" i="10"/>
  <c r="J7" i="21"/>
  <c r="J7" i="19"/>
  <c r="J8" i="30"/>
  <c r="L8" i="30" s="1"/>
  <c r="J7" i="18"/>
  <c r="L15" i="29"/>
  <c r="E7" i="31"/>
  <c r="G7" i="31" s="1"/>
  <c r="H7" i="31" s="1"/>
  <c r="K7" i="31" s="1"/>
  <c r="L7" i="31" s="1"/>
  <c r="E6" i="31"/>
  <c r="G6" i="31" s="1"/>
  <c r="H6" i="31" s="1"/>
  <c r="K6" i="31" s="1"/>
  <c r="L6" i="31" s="1"/>
  <c r="E5" i="31"/>
  <c r="G5" i="31" s="1"/>
  <c r="H5" i="31" s="1"/>
  <c r="K5" i="31" s="1"/>
  <c r="L5" i="31" s="1"/>
  <c r="J36" i="1"/>
  <c r="J11" i="3" s="1"/>
  <c r="J47" i="1"/>
  <c r="J72" i="1"/>
  <c r="J80" i="1"/>
  <c r="J10" i="7" s="1"/>
  <c r="J73" i="1"/>
  <c r="J9" i="29" l="1"/>
  <c r="L9" i="29" s="1"/>
  <c r="J9" i="19"/>
  <c r="J9" i="30"/>
  <c r="L9" i="30" s="1"/>
  <c r="J9" i="22"/>
  <c r="J9" i="21"/>
  <c r="J18" i="30"/>
  <c r="L18" i="30" s="1"/>
  <c r="J18" i="21"/>
  <c r="J5" i="5"/>
  <c r="J10" i="9"/>
  <c r="J5" i="2"/>
  <c r="J5" i="12"/>
  <c r="J11" i="7"/>
  <c r="J8" i="6"/>
  <c r="J15" i="19"/>
  <c r="J15" i="28"/>
  <c r="L15" i="28" s="1"/>
  <c r="S16" i="31"/>
  <c r="X8" i="31"/>
  <c r="J40" i="1"/>
  <c r="J12" i="16" s="1"/>
  <c r="J39" i="1"/>
  <c r="J7" i="17" s="1"/>
  <c r="I70" i="1"/>
  <c r="G70" i="1"/>
  <c r="J69" i="1"/>
  <c r="J9" i="11" s="1"/>
  <c r="J68" i="1"/>
  <c r="J9" i="12" s="1"/>
  <c r="G67" i="1"/>
  <c r="I66" i="1"/>
  <c r="G66" i="1"/>
  <c r="J65" i="1"/>
  <c r="J11" i="2" s="1"/>
  <c r="J64" i="1"/>
  <c r="J14" i="10" s="1"/>
  <c r="J58" i="1"/>
  <c r="J13" i="10" s="1"/>
  <c r="J55" i="1"/>
  <c r="J9" i="17" s="1"/>
  <c r="J52" i="1"/>
  <c r="G51" i="1"/>
  <c r="J50" i="1"/>
  <c r="G48" i="1"/>
  <c r="G46" i="1"/>
  <c r="K70" i="1" l="1"/>
  <c r="N70" i="1" s="1"/>
  <c r="L70" i="1"/>
  <c r="O70" i="1" s="1"/>
  <c r="J46" i="1"/>
  <c r="J6" i="17" s="1"/>
  <c r="K46" i="1"/>
  <c r="N46" i="1" s="1"/>
  <c r="L46" i="1"/>
  <c r="O46" i="1" s="1"/>
  <c r="L48" i="1"/>
  <c r="O48" i="1" s="1"/>
  <c r="K48" i="1"/>
  <c r="N48" i="1" s="1"/>
  <c r="K66" i="1"/>
  <c r="N66" i="1" s="1"/>
  <c r="L66" i="1"/>
  <c r="O66" i="1" s="1"/>
  <c r="J51" i="1"/>
  <c r="K51" i="1"/>
  <c r="N51" i="1" s="1"/>
  <c r="L51" i="1"/>
  <c r="O51" i="1" s="1"/>
  <c r="J67" i="1"/>
  <c r="K67" i="1"/>
  <c r="N67" i="1" s="1"/>
  <c r="L67" i="1"/>
  <c r="O67" i="1" s="1"/>
  <c r="J9" i="5"/>
  <c r="J12" i="9"/>
  <c r="J6" i="4"/>
  <c r="J14" i="8"/>
  <c r="J14" i="23"/>
  <c r="J12" i="29"/>
  <c r="L12" i="29" s="1"/>
  <c r="J12" i="28"/>
  <c r="L12" i="28" s="1"/>
  <c r="J12" i="22"/>
  <c r="J12" i="30"/>
  <c r="L12" i="30" s="1"/>
  <c r="J12" i="19"/>
  <c r="J12" i="21"/>
  <c r="J7" i="11"/>
  <c r="J5" i="3"/>
  <c r="J11" i="28"/>
  <c r="L11" i="28" s="1"/>
  <c r="J11" i="22"/>
  <c r="J7" i="2"/>
  <c r="J7" i="10"/>
  <c r="J11" i="30"/>
  <c r="L11" i="30" s="1"/>
  <c r="J7" i="8"/>
  <c r="J11" i="19"/>
  <c r="J11" i="21"/>
  <c r="J6" i="9"/>
  <c r="J7" i="23"/>
  <c r="J11" i="29"/>
  <c r="L11" i="29" s="1"/>
  <c r="J70" i="1"/>
  <c r="J66" i="1"/>
  <c r="I35" i="1"/>
  <c r="G35" i="1"/>
  <c r="J29" i="1"/>
  <c r="J12" i="13" s="1"/>
  <c r="G11" i="1"/>
  <c r="G32" i="1"/>
  <c r="J30" i="1"/>
  <c r="I28" i="1"/>
  <c r="G28" i="1"/>
  <c r="J24" i="1"/>
  <c r="G27" i="1"/>
  <c r="J13" i="1"/>
  <c r="J12" i="1"/>
  <c r="G10" i="1"/>
  <c r="J7" i="1"/>
  <c r="G3" i="1"/>
  <c r="J3" i="1" l="1"/>
  <c r="L3" i="1"/>
  <c r="O3" i="1" s="1"/>
  <c r="K3" i="1"/>
  <c r="N3" i="1" s="1"/>
  <c r="J11" i="1"/>
  <c r="K11" i="1"/>
  <c r="N11" i="1" s="1"/>
  <c r="L11" i="1"/>
  <c r="O11" i="1" s="1"/>
  <c r="J10" i="1"/>
  <c r="J5" i="15" s="1"/>
  <c r="K10" i="1"/>
  <c r="N10" i="1" s="1"/>
  <c r="L10" i="1"/>
  <c r="O10" i="1" s="1"/>
  <c r="J32" i="1"/>
  <c r="K32" i="1"/>
  <c r="N32" i="1" s="1"/>
  <c r="L32" i="1"/>
  <c r="O32" i="1" s="1"/>
  <c r="J27" i="1"/>
  <c r="J17" i="8" s="1"/>
  <c r="L27" i="1"/>
  <c r="O27" i="1" s="1"/>
  <c r="K27" i="1"/>
  <c r="N27" i="1" s="1"/>
  <c r="K35" i="1"/>
  <c r="N35" i="1" s="1"/>
  <c r="L35" i="1"/>
  <c r="O35" i="1" s="1"/>
  <c r="K28" i="1"/>
  <c r="N28" i="1" s="1"/>
  <c r="L28" i="1"/>
  <c r="O28" i="1" s="1"/>
  <c r="J8" i="5"/>
  <c r="J8" i="12"/>
  <c r="J7" i="7"/>
  <c r="J13" i="2"/>
  <c r="J17" i="29"/>
  <c r="L17" i="29" s="1"/>
  <c r="J17" i="22"/>
  <c r="J13" i="21"/>
  <c r="J8" i="16"/>
  <c r="J13" i="29"/>
  <c r="L13" i="29" s="1"/>
  <c r="J9" i="9"/>
  <c r="J8" i="14"/>
  <c r="J13" i="8"/>
  <c r="J13" i="28"/>
  <c r="L13" i="28" s="1"/>
  <c r="J13" i="23"/>
  <c r="J13" i="22"/>
  <c r="J13" i="19"/>
  <c r="J10" i="3"/>
  <c r="J13" i="30"/>
  <c r="L13" i="30" s="1"/>
  <c r="J8" i="20"/>
  <c r="J9" i="18"/>
  <c r="J5" i="17"/>
  <c r="J12" i="8"/>
  <c r="J12" i="23"/>
  <c r="J12" i="3"/>
  <c r="J12" i="2"/>
  <c r="J18" i="8"/>
  <c r="J8" i="7"/>
  <c r="J7" i="15"/>
  <c r="J18" i="23"/>
  <c r="J15" i="8"/>
  <c r="J15" i="23"/>
  <c r="J12" i="15"/>
  <c r="J8" i="9"/>
  <c r="J7" i="14"/>
  <c r="J5" i="8"/>
  <c r="J5" i="20"/>
  <c r="J8" i="13"/>
  <c r="J7" i="3"/>
  <c r="J5" i="22"/>
  <c r="J5" i="23"/>
  <c r="J6" i="18"/>
  <c r="J7" i="4"/>
  <c r="J5" i="19"/>
  <c r="J5" i="29"/>
  <c r="L5" i="29" s="1"/>
  <c r="J7" i="16"/>
  <c r="J5" i="11"/>
  <c r="J5" i="28"/>
  <c r="L5" i="28" s="1"/>
  <c r="J8" i="11"/>
  <c r="J10" i="28"/>
  <c r="L10" i="28" s="1"/>
  <c r="J11" i="10"/>
  <c r="J10" i="22"/>
  <c r="J10" i="30"/>
  <c r="L10" i="30" s="1"/>
  <c r="J10" i="19"/>
  <c r="J10" i="21"/>
  <c r="J10" i="29"/>
  <c r="L10" i="29" s="1"/>
  <c r="J9" i="23"/>
  <c r="J16" i="23"/>
  <c r="J6" i="8"/>
  <c r="J16" i="8"/>
  <c r="J6" i="23"/>
  <c r="J13" i="14"/>
  <c r="J9" i="8"/>
  <c r="J28" i="1"/>
  <c r="J35" i="1"/>
  <c r="G34" i="1"/>
  <c r="J57" i="1"/>
  <c r="J9" i="7" s="1"/>
  <c r="J49" i="1"/>
  <c r="J13" i="15" s="1"/>
  <c r="J48" i="1"/>
  <c r="J56" i="1"/>
  <c r="I54" i="1"/>
  <c r="J5" i="21" l="1"/>
  <c r="J5" i="30"/>
  <c r="L5" i="30" s="1"/>
  <c r="J6" i="7"/>
  <c r="J5" i="9"/>
  <c r="J5" i="4"/>
  <c r="J17" i="23"/>
  <c r="J34" i="1"/>
  <c r="K34" i="1"/>
  <c r="N34" i="1" s="1"/>
  <c r="L34" i="1"/>
  <c r="O34" i="1" s="1"/>
  <c r="J54" i="1"/>
  <c r="J8" i="4" s="1"/>
  <c r="O54" i="1"/>
  <c r="N54" i="1"/>
  <c r="J19" i="30"/>
  <c r="L19" i="30" s="1"/>
  <c r="J19" i="21"/>
  <c r="J20" i="30"/>
  <c r="L20" i="30" s="1"/>
  <c r="J20" i="21"/>
  <c r="J10" i="20"/>
  <c r="J10" i="23"/>
  <c r="J11" i="16"/>
  <c r="J10" i="8"/>
  <c r="J11" i="11"/>
  <c r="J10" i="14"/>
  <c r="J10" i="10"/>
  <c r="J9" i="16"/>
  <c r="J8" i="15"/>
  <c r="J9" i="13"/>
  <c r="J13" i="3"/>
  <c r="J14" i="15"/>
  <c r="J14" i="2"/>
  <c r="J8" i="3"/>
  <c r="J5" i="6"/>
  <c r="J17" i="1"/>
  <c r="J31" i="1"/>
  <c r="J77" i="1"/>
  <c r="J78" i="1"/>
  <c r="J76" i="1"/>
  <c r="J75" i="1"/>
  <c r="J79" i="1"/>
  <c r="J8" i="1"/>
  <c r="J9" i="1"/>
  <c r="J7" i="9" s="1"/>
  <c r="J4" i="1"/>
  <c r="J5" i="1"/>
  <c r="J6" i="1"/>
  <c r="J2" i="1"/>
  <c r="J11" i="20" l="1"/>
  <c r="J12" i="20"/>
  <c r="J7" i="6"/>
  <c r="J12" i="11"/>
  <c r="J12" i="10"/>
  <c r="J10" i="16"/>
  <c r="J10" i="11"/>
  <c r="J9" i="14"/>
  <c r="J9" i="20"/>
  <c r="J14" i="19"/>
  <c r="J14" i="29"/>
  <c r="L14" i="29" s="1"/>
  <c r="J14" i="28"/>
  <c r="L14" i="28" s="1"/>
  <c r="J14" i="22"/>
  <c r="J16" i="30"/>
  <c r="L16" i="30" s="1"/>
  <c r="J16" i="21"/>
  <c r="J17" i="30"/>
  <c r="L17" i="30" s="1"/>
  <c r="J17" i="21"/>
  <c r="J6" i="2"/>
  <c r="J11" i="9"/>
  <c r="J5" i="14"/>
  <c r="J6" i="6"/>
  <c r="J8" i="2"/>
  <c r="J8" i="17"/>
  <c r="J5" i="16"/>
  <c r="J9" i="3"/>
  <c r="J12" i="7"/>
  <c r="J6" i="5"/>
  <c r="J6" i="12"/>
  <c r="J16" i="22"/>
  <c r="J15" i="30"/>
  <c r="L15" i="30" s="1"/>
  <c r="J15" i="21"/>
  <c r="J16" i="29"/>
  <c r="L16" i="29" s="1"/>
  <c r="J16" i="28"/>
  <c r="L16" i="28" s="1"/>
  <c r="J16" i="19"/>
  <c r="J6" i="19"/>
  <c r="J6" i="21"/>
  <c r="J10" i="13"/>
  <c r="J6" i="29"/>
  <c r="L6" i="29" s="1"/>
  <c r="J6" i="28"/>
  <c r="L6" i="28" s="1"/>
  <c r="J8" i="8"/>
  <c r="J8" i="23"/>
  <c r="J6" i="22"/>
  <c r="J10" i="2"/>
  <c r="J9" i="4"/>
  <c r="J6" i="30"/>
  <c r="L6" i="30" s="1"/>
  <c r="J14" i="21"/>
  <c r="J7" i="12"/>
  <c r="J5" i="7"/>
  <c r="J7" i="5"/>
  <c r="J14" i="30"/>
  <c r="L14" i="30" s="1"/>
  <c r="J12" i="14"/>
  <c r="J11" i="14"/>
  <c r="J20" i="1"/>
  <c r="J21" i="1"/>
  <c r="J23" i="1"/>
  <c r="J22" i="1"/>
  <c r="D16" i="10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20" i="30"/>
  <c r="D19" i="30"/>
  <c r="D18" i="30"/>
  <c r="D17" i="30"/>
  <c r="D16" i="30"/>
  <c r="S15" i="30"/>
  <c r="D15" i="30"/>
  <c r="D14" i="30"/>
  <c r="D13" i="30"/>
  <c r="D12" i="30"/>
  <c r="D11" i="30"/>
  <c r="D10" i="30"/>
  <c r="D9" i="30"/>
  <c r="D8" i="30"/>
  <c r="D7" i="30"/>
  <c r="D6" i="30"/>
  <c r="D5" i="30"/>
  <c r="D21" i="29"/>
  <c r="D20" i="29"/>
  <c r="D19" i="29"/>
  <c r="D18" i="29"/>
  <c r="D17" i="29"/>
  <c r="D16" i="29"/>
  <c r="S15" i="29"/>
  <c r="F1" i="29" s="1"/>
  <c r="I1" i="29" s="1"/>
  <c r="D15" i="29"/>
  <c r="D14" i="29"/>
  <c r="D13" i="29"/>
  <c r="D12" i="29"/>
  <c r="D11" i="29"/>
  <c r="D10" i="29"/>
  <c r="D9" i="29"/>
  <c r="D8" i="29"/>
  <c r="D7" i="29"/>
  <c r="D6" i="29"/>
  <c r="D5" i="29"/>
  <c r="D16" i="28"/>
  <c r="S15" i="28"/>
  <c r="F1" i="28" s="1"/>
  <c r="I1" i="28" s="1"/>
  <c r="D15" i="28"/>
  <c r="D14" i="28"/>
  <c r="D13" i="28"/>
  <c r="D12" i="28"/>
  <c r="D11" i="28"/>
  <c r="D10" i="28"/>
  <c r="D9" i="28"/>
  <c r="D8" i="28"/>
  <c r="D7" i="28"/>
  <c r="D6" i="28"/>
  <c r="D5" i="28"/>
  <c r="D11" i="9"/>
  <c r="D12" i="9"/>
  <c r="D6" i="17"/>
  <c r="D7" i="17"/>
  <c r="D8" i="17"/>
  <c r="D9" i="17"/>
  <c r="D5" i="17"/>
  <c r="D5" i="14"/>
  <c r="D18" i="23"/>
  <c r="D17" i="23"/>
  <c r="D16" i="23"/>
  <c r="D15" i="23"/>
  <c r="S14" i="23"/>
  <c r="F1" i="23" s="1"/>
  <c r="I1" i="23" s="1"/>
  <c r="D14" i="23"/>
  <c r="D13" i="23"/>
  <c r="D12" i="23"/>
  <c r="D11" i="23"/>
  <c r="D10" i="23"/>
  <c r="D9" i="23"/>
  <c r="D8" i="23"/>
  <c r="D7" i="23"/>
  <c r="D6" i="23"/>
  <c r="D5" i="23"/>
  <c r="D21" i="22"/>
  <c r="D20" i="22"/>
  <c r="D19" i="22"/>
  <c r="D18" i="22"/>
  <c r="D17" i="22"/>
  <c r="D16" i="22"/>
  <c r="S15" i="22"/>
  <c r="F1" i="22" s="1"/>
  <c r="I1" i="22" s="1"/>
  <c r="D15" i="22"/>
  <c r="D14" i="22"/>
  <c r="D13" i="22"/>
  <c r="D12" i="22"/>
  <c r="D11" i="22"/>
  <c r="D10" i="22"/>
  <c r="D9" i="22"/>
  <c r="D8" i="22"/>
  <c r="D7" i="22"/>
  <c r="D6" i="22"/>
  <c r="D5" i="22"/>
  <c r="S15" i="20"/>
  <c r="F1" i="20" s="1"/>
  <c r="I1" i="20" s="1"/>
  <c r="D12" i="20"/>
  <c r="D11" i="20"/>
  <c r="D10" i="20"/>
  <c r="D9" i="20"/>
  <c r="D8" i="20"/>
  <c r="D7" i="20"/>
  <c r="D6" i="20"/>
  <c r="D5" i="20"/>
  <c r="D16" i="19"/>
  <c r="S15" i="19"/>
  <c r="F1" i="19" s="1"/>
  <c r="I1" i="19" s="1"/>
  <c r="D15" i="19"/>
  <c r="D14" i="19"/>
  <c r="D13" i="19"/>
  <c r="D12" i="19"/>
  <c r="D11" i="19"/>
  <c r="D10" i="19"/>
  <c r="D9" i="19"/>
  <c r="D8" i="19"/>
  <c r="D7" i="19"/>
  <c r="D6" i="19"/>
  <c r="D5" i="19"/>
  <c r="S15" i="18"/>
  <c r="D9" i="18"/>
  <c r="D8" i="18"/>
  <c r="D7" i="18"/>
  <c r="D6" i="18"/>
  <c r="D5" i="18"/>
  <c r="S15" i="17"/>
  <c r="F1" i="17" s="1"/>
  <c r="I1" i="17" s="1"/>
  <c r="E9" i="17" s="1"/>
  <c r="S15" i="16"/>
  <c r="F1" i="16" s="1"/>
  <c r="I1" i="16" s="1"/>
  <c r="D12" i="16"/>
  <c r="D11" i="16"/>
  <c r="D10" i="16"/>
  <c r="D9" i="16"/>
  <c r="D8" i="16"/>
  <c r="D7" i="16"/>
  <c r="D6" i="16"/>
  <c r="D5" i="16"/>
  <c r="S15" i="15"/>
  <c r="F1" i="15" s="1"/>
  <c r="I1" i="15" s="1"/>
  <c r="D14" i="15"/>
  <c r="D13" i="15"/>
  <c r="D12" i="15"/>
  <c r="D11" i="15"/>
  <c r="D10" i="15"/>
  <c r="D9" i="15"/>
  <c r="D8" i="15"/>
  <c r="D7" i="15"/>
  <c r="D6" i="15"/>
  <c r="D5" i="15"/>
  <c r="S15" i="14"/>
  <c r="F1" i="14" s="1"/>
  <c r="I1" i="14" s="1"/>
  <c r="E5" i="14" s="1"/>
  <c r="D13" i="14"/>
  <c r="D12" i="14"/>
  <c r="D11" i="14"/>
  <c r="D10" i="14"/>
  <c r="D9" i="14"/>
  <c r="D8" i="14"/>
  <c r="D7" i="14"/>
  <c r="D6" i="14"/>
  <c r="S15" i="13"/>
  <c r="F1" i="13" s="1"/>
  <c r="I1" i="13" s="1"/>
  <c r="D12" i="13"/>
  <c r="D11" i="13"/>
  <c r="D10" i="13"/>
  <c r="D9" i="13"/>
  <c r="D8" i="13"/>
  <c r="D7" i="13"/>
  <c r="D6" i="13"/>
  <c r="D5" i="13"/>
  <c r="S15" i="12"/>
  <c r="F1" i="12" s="1"/>
  <c r="I1" i="12" s="1"/>
  <c r="D9" i="12"/>
  <c r="D8" i="12"/>
  <c r="D7" i="12"/>
  <c r="D6" i="12"/>
  <c r="D5" i="12"/>
  <c r="S15" i="11"/>
  <c r="F1" i="11" s="1"/>
  <c r="I1" i="11" s="1"/>
  <c r="D12" i="11"/>
  <c r="D11" i="11"/>
  <c r="D10" i="11"/>
  <c r="D9" i="11"/>
  <c r="D8" i="11"/>
  <c r="D7" i="11"/>
  <c r="D6" i="11"/>
  <c r="D5" i="11"/>
  <c r="S15" i="10"/>
  <c r="F1" i="10" s="1"/>
  <c r="I1" i="10" s="1"/>
  <c r="D15" i="10"/>
  <c r="D13" i="10"/>
  <c r="D12" i="10"/>
  <c r="D11" i="10"/>
  <c r="D10" i="10"/>
  <c r="D9" i="10"/>
  <c r="D8" i="10"/>
  <c r="D7" i="10"/>
  <c r="D6" i="10"/>
  <c r="D5" i="10"/>
  <c r="S15" i="9"/>
  <c r="F1" i="9" s="1"/>
  <c r="I1" i="9" s="1"/>
  <c r="E12" i="9" s="1"/>
  <c r="G12" i="9" s="1"/>
  <c r="H12" i="9" s="1"/>
  <c r="K12" i="9" s="1"/>
  <c r="L12" i="9" s="1"/>
  <c r="D10" i="9"/>
  <c r="D9" i="9"/>
  <c r="D8" i="9"/>
  <c r="D7" i="9"/>
  <c r="D6" i="9"/>
  <c r="D5" i="9"/>
  <c r="S14" i="8"/>
  <c r="F1" i="8" s="1"/>
  <c r="I1" i="8" s="1"/>
  <c r="S15" i="7"/>
  <c r="F1" i="7" s="1"/>
  <c r="I1" i="7" s="1"/>
  <c r="D12" i="7"/>
  <c r="D11" i="7"/>
  <c r="D10" i="7"/>
  <c r="D9" i="7"/>
  <c r="D8" i="7"/>
  <c r="D7" i="7"/>
  <c r="D6" i="7"/>
  <c r="D5" i="7"/>
  <c r="S15" i="6"/>
  <c r="F1" i="6" s="1"/>
  <c r="I1" i="6" s="1"/>
  <c r="D8" i="6"/>
  <c r="D7" i="6"/>
  <c r="D6" i="6"/>
  <c r="D5" i="6"/>
  <c r="S15" i="5"/>
  <c r="F1" i="5" s="1"/>
  <c r="I1" i="5" s="1"/>
  <c r="D9" i="5"/>
  <c r="D8" i="5"/>
  <c r="D7" i="5"/>
  <c r="D6" i="5"/>
  <c r="D5" i="5"/>
  <c r="S15" i="4"/>
  <c r="F1" i="4" s="1"/>
  <c r="I1" i="4" s="1"/>
  <c r="D9" i="4"/>
  <c r="D8" i="4"/>
  <c r="D7" i="4"/>
  <c r="D6" i="4"/>
  <c r="D5" i="4"/>
  <c r="S15" i="3"/>
  <c r="F1" i="3" s="1"/>
  <c r="I1" i="3" s="1"/>
  <c r="D13" i="3"/>
  <c r="D12" i="3"/>
  <c r="D11" i="3"/>
  <c r="D10" i="3"/>
  <c r="D9" i="3"/>
  <c r="D8" i="3"/>
  <c r="D7" i="3"/>
  <c r="D6" i="3"/>
  <c r="D5" i="3"/>
  <c r="S15" i="2"/>
  <c r="F1" i="2" s="1"/>
  <c r="I1" i="2" s="1"/>
  <c r="D14" i="2"/>
  <c r="D13" i="2"/>
  <c r="D12" i="2"/>
  <c r="D11" i="2"/>
  <c r="D10" i="2"/>
  <c r="D9" i="2"/>
  <c r="D8" i="2"/>
  <c r="D7" i="2"/>
  <c r="D6" i="2"/>
  <c r="D5" i="2"/>
  <c r="D20" i="21"/>
  <c r="D19" i="21"/>
  <c r="D18" i="21"/>
  <c r="D17" i="21"/>
  <c r="D16" i="21"/>
  <c r="S15" i="21"/>
  <c r="F1" i="21" s="1"/>
  <c r="I1" i="21" s="1"/>
  <c r="D15" i="21"/>
  <c r="D14" i="21"/>
  <c r="D13" i="21"/>
  <c r="D12" i="21"/>
  <c r="D11" i="21"/>
  <c r="D10" i="21"/>
  <c r="D9" i="21"/>
  <c r="D8" i="21"/>
  <c r="D7" i="21"/>
  <c r="D6" i="21"/>
  <c r="D5" i="21"/>
  <c r="F1" i="18" l="1"/>
  <c r="I1" i="18" s="1"/>
  <c r="E8" i="18" s="1"/>
  <c r="G8" i="18" s="1"/>
  <c r="H8" i="18" s="1"/>
  <c r="K8" i="18" s="1"/>
  <c r="L8" i="18" s="1"/>
  <c r="J11" i="8"/>
  <c r="J20" i="29"/>
  <c r="L20" i="29" s="1"/>
  <c r="J11" i="23"/>
  <c r="J20" i="22"/>
  <c r="J21" i="29"/>
  <c r="L21" i="29" s="1"/>
  <c r="J21" i="22"/>
  <c r="J8" i="10"/>
  <c r="J18" i="29"/>
  <c r="L18" i="29" s="1"/>
  <c r="J18" i="22"/>
  <c r="J19" i="22"/>
  <c r="J9" i="10"/>
  <c r="J19" i="29"/>
  <c r="L19" i="29" s="1"/>
  <c r="F1" i="30"/>
  <c r="I1" i="30" s="1"/>
  <c r="E16" i="10"/>
  <c r="G16" i="10" s="1"/>
  <c r="H16" i="10" s="1"/>
  <c r="K16" i="10" s="1"/>
  <c r="L16" i="10" s="1"/>
  <c r="E14" i="10"/>
  <c r="G14" i="10" s="1"/>
  <c r="H14" i="10" s="1"/>
  <c r="K14" i="10" s="1"/>
  <c r="L14" i="10" s="1"/>
  <c r="G9" i="17"/>
  <c r="H9" i="17" s="1"/>
  <c r="K9" i="17" s="1"/>
  <c r="L9" i="17" s="1"/>
  <c r="E18" i="8"/>
  <c r="G18" i="8" s="1"/>
  <c r="H18" i="8" s="1"/>
  <c r="K18" i="8" s="1"/>
  <c r="L18" i="8" s="1"/>
  <c r="E17" i="8"/>
  <c r="G17" i="8" s="1"/>
  <c r="H17" i="8" s="1"/>
  <c r="K17" i="8" s="1"/>
  <c r="L17" i="8" s="1"/>
  <c r="E16" i="8"/>
  <c r="G16" i="8" s="1"/>
  <c r="H16" i="8" s="1"/>
  <c r="K16" i="8" s="1"/>
  <c r="L16" i="8" s="1"/>
  <c r="E15" i="8"/>
  <c r="G15" i="8" s="1"/>
  <c r="H15" i="8" s="1"/>
  <c r="K15" i="8" s="1"/>
  <c r="L15" i="8" s="1"/>
  <c r="E14" i="8"/>
  <c r="G14" i="8" s="1"/>
  <c r="H14" i="8" s="1"/>
  <c r="K14" i="8" s="1"/>
  <c r="L14" i="8" s="1"/>
  <c r="E13" i="8"/>
  <c r="G13" i="8" s="1"/>
  <c r="H13" i="8" s="1"/>
  <c r="K13" i="8" s="1"/>
  <c r="L13" i="8" s="1"/>
  <c r="E8" i="8"/>
  <c r="G8" i="8" s="1"/>
  <c r="H8" i="8" s="1"/>
  <c r="K8" i="8" s="1"/>
  <c r="L8" i="8" s="1"/>
  <c r="E7" i="8"/>
  <c r="G7" i="8" s="1"/>
  <c r="H7" i="8" s="1"/>
  <c r="K7" i="8" s="1"/>
  <c r="L7" i="8" s="1"/>
  <c r="E6" i="8"/>
  <c r="G6" i="8" s="1"/>
  <c r="H6" i="8" s="1"/>
  <c r="K6" i="8" s="1"/>
  <c r="L6" i="8" s="1"/>
  <c r="E9" i="8"/>
  <c r="G9" i="8" s="1"/>
  <c r="H9" i="8" s="1"/>
  <c r="K9" i="8" s="1"/>
  <c r="L9" i="8" s="1"/>
  <c r="E12" i="8"/>
  <c r="G12" i="8" s="1"/>
  <c r="H12" i="8" s="1"/>
  <c r="K12" i="8" s="1"/>
  <c r="L12" i="8" s="1"/>
  <c r="E10" i="8"/>
  <c r="G10" i="8" s="1"/>
  <c r="H10" i="8" s="1"/>
  <c r="K10" i="8" s="1"/>
  <c r="L10" i="8" s="1"/>
  <c r="E11" i="8"/>
  <c r="G11" i="8" s="1"/>
  <c r="H11" i="8" s="1"/>
  <c r="K11" i="8" s="1"/>
  <c r="E5" i="8"/>
  <c r="G5" i="8" s="1"/>
  <c r="H5" i="8" s="1"/>
  <c r="K5" i="8" s="1"/>
  <c r="L5" i="8" s="1"/>
  <c r="E8" i="29"/>
  <c r="G8" i="29" s="1"/>
  <c r="H8" i="29" s="1"/>
  <c r="K8" i="29" s="1"/>
  <c r="E12" i="29"/>
  <c r="G12" i="29" s="1"/>
  <c r="H12" i="29" s="1"/>
  <c r="K12" i="29" s="1"/>
  <c r="E20" i="29"/>
  <c r="G20" i="29" s="1"/>
  <c r="H20" i="29" s="1"/>
  <c r="K20" i="29" s="1"/>
  <c r="E13" i="29"/>
  <c r="G13" i="29" s="1"/>
  <c r="H13" i="29" s="1"/>
  <c r="K13" i="29" s="1"/>
  <c r="E19" i="29"/>
  <c r="G19" i="29" s="1"/>
  <c r="H19" i="29" s="1"/>
  <c r="K19" i="29" s="1"/>
  <c r="E18" i="29"/>
  <c r="G18" i="29" s="1"/>
  <c r="H18" i="29" s="1"/>
  <c r="K18" i="29" s="1"/>
  <c r="E7" i="29"/>
  <c r="G7" i="29" s="1"/>
  <c r="H7" i="29" s="1"/>
  <c r="K7" i="29" s="1"/>
  <c r="E5" i="29"/>
  <c r="G5" i="29" s="1"/>
  <c r="H5" i="29" s="1"/>
  <c r="K5" i="29" s="1"/>
  <c r="E10" i="29"/>
  <c r="G10" i="29" s="1"/>
  <c r="H10" i="29" s="1"/>
  <c r="K10" i="29" s="1"/>
  <c r="E17" i="29"/>
  <c r="G17" i="29" s="1"/>
  <c r="H17" i="29" s="1"/>
  <c r="K17" i="29" s="1"/>
  <c r="E14" i="29"/>
  <c r="G14" i="29" s="1"/>
  <c r="H14" i="29" s="1"/>
  <c r="K14" i="29" s="1"/>
  <c r="E15" i="29"/>
  <c r="G15" i="29" s="1"/>
  <c r="H15" i="29" s="1"/>
  <c r="K15" i="29" s="1"/>
  <c r="E16" i="29"/>
  <c r="G16" i="29" s="1"/>
  <c r="H16" i="29" s="1"/>
  <c r="K16" i="29" s="1"/>
  <c r="E21" i="29"/>
  <c r="G21" i="29" s="1"/>
  <c r="H21" i="29" s="1"/>
  <c r="K21" i="29" s="1"/>
  <c r="E6" i="29"/>
  <c r="G6" i="29" s="1"/>
  <c r="H6" i="29" s="1"/>
  <c r="K6" i="29" s="1"/>
  <c r="E9" i="29"/>
  <c r="G9" i="29" s="1"/>
  <c r="H9" i="29" s="1"/>
  <c r="K9" i="29" s="1"/>
  <c r="E11" i="29"/>
  <c r="G11" i="29" s="1"/>
  <c r="H11" i="29" s="1"/>
  <c r="K11" i="29" s="1"/>
  <c r="E11" i="28"/>
  <c r="G11" i="28" s="1"/>
  <c r="H11" i="28" s="1"/>
  <c r="K11" i="28" s="1"/>
  <c r="E9" i="28"/>
  <c r="G9" i="28" s="1"/>
  <c r="H9" i="28" s="1"/>
  <c r="K9" i="28" s="1"/>
  <c r="E7" i="28"/>
  <c r="G7" i="28" s="1"/>
  <c r="H7" i="28" s="1"/>
  <c r="K7" i="28" s="1"/>
  <c r="E8" i="28"/>
  <c r="G8" i="28" s="1"/>
  <c r="H8" i="28" s="1"/>
  <c r="K8" i="28" s="1"/>
  <c r="E5" i="28"/>
  <c r="G5" i="28" s="1"/>
  <c r="H5" i="28" s="1"/>
  <c r="K5" i="28" s="1"/>
  <c r="E14" i="28"/>
  <c r="G14" i="28" s="1"/>
  <c r="H14" i="28" s="1"/>
  <c r="K14" i="28" s="1"/>
  <c r="E10" i="28"/>
  <c r="G10" i="28" s="1"/>
  <c r="H10" i="28" s="1"/>
  <c r="K10" i="28" s="1"/>
  <c r="E13" i="28"/>
  <c r="G13" i="28" s="1"/>
  <c r="H13" i="28" s="1"/>
  <c r="K13" i="28" s="1"/>
  <c r="E16" i="28"/>
  <c r="G16" i="28" s="1"/>
  <c r="H16" i="28" s="1"/>
  <c r="K16" i="28" s="1"/>
  <c r="E15" i="28"/>
  <c r="G15" i="28" s="1"/>
  <c r="H15" i="28" s="1"/>
  <c r="K15" i="28" s="1"/>
  <c r="E12" i="28"/>
  <c r="G12" i="28" s="1"/>
  <c r="H12" i="28" s="1"/>
  <c r="K12" i="28" s="1"/>
  <c r="E6" i="28"/>
  <c r="G6" i="28" s="1"/>
  <c r="H6" i="28" s="1"/>
  <c r="K6" i="28" s="1"/>
  <c r="E7" i="23"/>
  <c r="G7" i="23" s="1"/>
  <c r="H7" i="23" s="1"/>
  <c r="K7" i="23" s="1"/>
  <c r="L7" i="23" s="1"/>
  <c r="E16" i="23"/>
  <c r="G16" i="23" s="1"/>
  <c r="H16" i="23" s="1"/>
  <c r="K16" i="23" s="1"/>
  <c r="L16" i="23" s="1"/>
  <c r="E17" i="23"/>
  <c r="G17" i="23" s="1"/>
  <c r="H17" i="23" s="1"/>
  <c r="K17" i="23" s="1"/>
  <c r="L17" i="23" s="1"/>
  <c r="E5" i="23"/>
  <c r="G5" i="23" s="1"/>
  <c r="H5" i="23" s="1"/>
  <c r="K5" i="23" s="1"/>
  <c r="L5" i="23" s="1"/>
  <c r="E10" i="23"/>
  <c r="G10" i="23" s="1"/>
  <c r="H10" i="23" s="1"/>
  <c r="K10" i="23" s="1"/>
  <c r="L10" i="23" s="1"/>
  <c r="E11" i="23"/>
  <c r="G11" i="23" s="1"/>
  <c r="H11" i="23" s="1"/>
  <c r="K11" i="23" s="1"/>
  <c r="E6" i="23"/>
  <c r="G6" i="23" s="1"/>
  <c r="H6" i="23" s="1"/>
  <c r="K6" i="23" s="1"/>
  <c r="L6" i="23" s="1"/>
  <c r="E8" i="23"/>
  <c r="G8" i="23" s="1"/>
  <c r="H8" i="23" s="1"/>
  <c r="K8" i="23" s="1"/>
  <c r="L8" i="23" s="1"/>
  <c r="E12" i="23"/>
  <c r="G12" i="23" s="1"/>
  <c r="H12" i="23" s="1"/>
  <c r="K12" i="23" s="1"/>
  <c r="L12" i="23" s="1"/>
  <c r="E9" i="23"/>
  <c r="G9" i="23" s="1"/>
  <c r="H9" i="23" s="1"/>
  <c r="K9" i="23" s="1"/>
  <c r="L9" i="23" s="1"/>
  <c r="E13" i="23"/>
  <c r="G13" i="23" s="1"/>
  <c r="H13" i="23" s="1"/>
  <c r="K13" i="23" s="1"/>
  <c r="L13" i="23" s="1"/>
  <c r="E14" i="23"/>
  <c r="G14" i="23" s="1"/>
  <c r="H14" i="23" s="1"/>
  <c r="K14" i="23" s="1"/>
  <c r="L14" i="23" s="1"/>
  <c r="E15" i="23"/>
  <c r="G15" i="23" s="1"/>
  <c r="H15" i="23" s="1"/>
  <c r="K15" i="23" s="1"/>
  <c r="L15" i="23" s="1"/>
  <c r="E18" i="23"/>
  <c r="G18" i="23" s="1"/>
  <c r="H18" i="23" s="1"/>
  <c r="K18" i="23" s="1"/>
  <c r="L18" i="23" s="1"/>
  <c r="E5" i="22"/>
  <c r="G5" i="22" s="1"/>
  <c r="H5" i="22" s="1"/>
  <c r="K5" i="22" s="1"/>
  <c r="L5" i="22" s="1"/>
  <c r="E6" i="22"/>
  <c r="G6" i="22" s="1"/>
  <c r="H6" i="22" s="1"/>
  <c r="K6" i="22" s="1"/>
  <c r="L6" i="22" s="1"/>
  <c r="E9" i="22"/>
  <c r="G9" i="22" s="1"/>
  <c r="H9" i="22" s="1"/>
  <c r="K9" i="22" s="1"/>
  <c r="L9" i="22" s="1"/>
  <c r="E10" i="22"/>
  <c r="G10" i="22" s="1"/>
  <c r="H10" i="22" s="1"/>
  <c r="K10" i="22" s="1"/>
  <c r="L10" i="22" s="1"/>
  <c r="E13" i="22"/>
  <c r="G13" i="22" s="1"/>
  <c r="H13" i="22" s="1"/>
  <c r="K13" i="22" s="1"/>
  <c r="L13" i="22" s="1"/>
  <c r="E15" i="22"/>
  <c r="G15" i="22" s="1"/>
  <c r="H15" i="22" s="1"/>
  <c r="K15" i="22" s="1"/>
  <c r="L15" i="22" s="1"/>
  <c r="E17" i="22"/>
  <c r="G17" i="22" s="1"/>
  <c r="H17" i="22" s="1"/>
  <c r="K17" i="22" s="1"/>
  <c r="L17" i="22" s="1"/>
  <c r="E11" i="22"/>
  <c r="G11" i="22" s="1"/>
  <c r="H11" i="22" s="1"/>
  <c r="K11" i="22" s="1"/>
  <c r="L11" i="22" s="1"/>
  <c r="E18" i="22"/>
  <c r="G18" i="22" s="1"/>
  <c r="H18" i="22" s="1"/>
  <c r="K18" i="22" s="1"/>
  <c r="E8" i="22"/>
  <c r="G8" i="22" s="1"/>
  <c r="H8" i="22" s="1"/>
  <c r="K8" i="22" s="1"/>
  <c r="L8" i="22" s="1"/>
  <c r="E16" i="22"/>
  <c r="G16" i="22" s="1"/>
  <c r="H16" i="22" s="1"/>
  <c r="K16" i="22" s="1"/>
  <c r="L16" i="22" s="1"/>
  <c r="E19" i="22"/>
  <c r="G19" i="22" s="1"/>
  <c r="H19" i="22" s="1"/>
  <c r="K19" i="22" s="1"/>
  <c r="E20" i="22"/>
  <c r="G20" i="22" s="1"/>
  <c r="H20" i="22" s="1"/>
  <c r="K20" i="22" s="1"/>
  <c r="E21" i="22"/>
  <c r="G21" i="22" s="1"/>
  <c r="H21" i="22" s="1"/>
  <c r="K21" i="22" s="1"/>
  <c r="E7" i="22"/>
  <c r="G7" i="22" s="1"/>
  <c r="H7" i="22" s="1"/>
  <c r="K7" i="22" s="1"/>
  <c r="L7" i="22" s="1"/>
  <c r="E12" i="22"/>
  <c r="G12" i="22" s="1"/>
  <c r="H12" i="22" s="1"/>
  <c r="K12" i="22" s="1"/>
  <c r="L12" i="22" s="1"/>
  <c r="E14" i="22"/>
  <c r="G14" i="22" s="1"/>
  <c r="H14" i="22" s="1"/>
  <c r="K14" i="22" s="1"/>
  <c r="L14" i="22" s="1"/>
  <c r="E11" i="20"/>
  <c r="G11" i="20" s="1"/>
  <c r="H11" i="20" s="1"/>
  <c r="K11" i="20" s="1"/>
  <c r="L11" i="20" s="1"/>
  <c r="E6" i="20"/>
  <c r="G6" i="20" s="1"/>
  <c r="H6" i="20" s="1"/>
  <c r="K6" i="20" s="1"/>
  <c r="L6" i="20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9" i="20"/>
  <c r="G9" i="20" s="1"/>
  <c r="H9" i="20" s="1"/>
  <c r="K9" i="20" s="1"/>
  <c r="L9" i="20" s="1"/>
  <c r="E10" i="20"/>
  <c r="G10" i="20" s="1"/>
  <c r="H10" i="20" s="1"/>
  <c r="K10" i="20" s="1"/>
  <c r="L10" i="20" s="1"/>
  <c r="E12" i="20"/>
  <c r="G12" i="20" s="1"/>
  <c r="H12" i="20" s="1"/>
  <c r="K12" i="20" s="1"/>
  <c r="L12" i="20" s="1"/>
  <c r="E6" i="19"/>
  <c r="G6" i="19" s="1"/>
  <c r="H6" i="19" s="1"/>
  <c r="K6" i="19" s="1"/>
  <c r="L6" i="19" s="1"/>
  <c r="E12" i="19"/>
  <c r="G12" i="19" s="1"/>
  <c r="H12" i="19" s="1"/>
  <c r="K12" i="19" s="1"/>
  <c r="L12" i="19" s="1"/>
  <c r="E5" i="19"/>
  <c r="G5" i="19" s="1"/>
  <c r="H5" i="19" s="1"/>
  <c r="K5" i="19" s="1"/>
  <c r="L5" i="19" s="1"/>
  <c r="E14" i="19"/>
  <c r="G14" i="19" s="1"/>
  <c r="H14" i="19" s="1"/>
  <c r="K14" i="19" s="1"/>
  <c r="L14" i="19" s="1"/>
  <c r="E7" i="19"/>
  <c r="G7" i="19" s="1"/>
  <c r="H7" i="19" s="1"/>
  <c r="K7" i="19" s="1"/>
  <c r="L7" i="19" s="1"/>
  <c r="E16" i="19"/>
  <c r="G16" i="19" s="1"/>
  <c r="H16" i="19" s="1"/>
  <c r="K16" i="19" s="1"/>
  <c r="L16" i="19" s="1"/>
  <c r="E11" i="19"/>
  <c r="G11" i="19" s="1"/>
  <c r="H11" i="19" s="1"/>
  <c r="K11" i="19" s="1"/>
  <c r="L11" i="19" s="1"/>
  <c r="E8" i="19"/>
  <c r="G8" i="19" s="1"/>
  <c r="H8" i="19" s="1"/>
  <c r="K8" i="19" s="1"/>
  <c r="L8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E13" i="19"/>
  <c r="G13" i="19" s="1"/>
  <c r="H13" i="19" s="1"/>
  <c r="K13" i="19" s="1"/>
  <c r="L13" i="19" s="1"/>
  <c r="E15" i="19"/>
  <c r="G15" i="19" s="1"/>
  <c r="H15" i="19" s="1"/>
  <c r="K15" i="19" s="1"/>
  <c r="L15" i="19" s="1"/>
  <c r="E6" i="18"/>
  <c r="G6" i="18" s="1"/>
  <c r="H6" i="18" s="1"/>
  <c r="K6" i="18" s="1"/>
  <c r="L6" i="18" s="1"/>
  <c r="E7" i="18"/>
  <c r="G7" i="18" s="1"/>
  <c r="H7" i="18" s="1"/>
  <c r="K7" i="18" s="1"/>
  <c r="L7" i="18" s="1"/>
  <c r="E9" i="18"/>
  <c r="G9" i="18" s="1"/>
  <c r="H9" i="18" s="1"/>
  <c r="K9" i="18" s="1"/>
  <c r="L9" i="18" s="1"/>
  <c r="E5" i="18"/>
  <c r="G5" i="18" s="1"/>
  <c r="H5" i="18" s="1"/>
  <c r="K5" i="18" s="1"/>
  <c r="L5" i="18" s="1"/>
  <c r="E5" i="17"/>
  <c r="G5" i="17" s="1"/>
  <c r="H5" i="17" s="1"/>
  <c r="K5" i="17" s="1"/>
  <c r="L5" i="17" s="1"/>
  <c r="E6" i="17"/>
  <c r="G6" i="17" s="1"/>
  <c r="H6" i="17" s="1"/>
  <c r="K6" i="17" s="1"/>
  <c r="L6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5" i="16"/>
  <c r="G5" i="16" s="1"/>
  <c r="H5" i="16" s="1"/>
  <c r="K5" i="16" s="1"/>
  <c r="L5" i="16" s="1"/>
  <c r="E6" i="16"/>
  <c r="G6" i="16" s="1"/>
  <c r="H6" i="16" s="1"/>
  <c r="K6" i="16" s="1"/>
  <c r="L6" i="16" s="1"/>
  <c r="E7" i="16"/>
  <c r="G7" i="16" s="1"/>
  <c r="H7" i="16" s="1"/>
  <c r="K7" i="16" s="1"/>
  <c r="L7" i="16" s="1"/>
  <c r="E8" i="16"/>
  <c r="G8" i="16" s="1"/>
  <c r="H8" i="16" s="1"/>
  <c r="K8" i="16" s="1"/>
  <c r="L8" i="16" s="1"/>
  <c r="E9" i="16"/>
  <c r="G9" i="16" s="1"/>
  <c r="H9" i="16" s="1"/>
  <c r="K9" i="16" s="1"/>
  <c r="L9" i="16" s="1"/>
  <c r="E10" i="16"/>
  <c r="G10" i="16" s="1"/>
  <c r="H10" i="16" s="1"/>
  <c r="K10" i="16" s="1"/>
  <c r="L10" i="16" s="1"/>
  <c r="E11" i="16"/>
  <c r="G11" i="16" s="1"/>
  <c r="H11" i="16" s="1"/>
  <c r="K11" i="16" s="1"/>
  <c r="L11" i="16" s="1"/>
  <c r="E12" i="16"/>
  <c r="G12" i="16" s="1"/>
  <c r="H12" i="16" s="1"/>
  <c r="K12" i="16" s="1"/>
  <c r="L12" i="16" s="1"/>
  <c r="E5" i="15"/>
  <c r="G5" i="15" s="1"/>
  <c r="H5" i="15" s="1"/>
  <c r="K5" i="15" s="1"/>
  <c r="L5" i="15" s="1"/>
  <c r="E6" i="15"/>
  <c r="G6" i="15" s="1"/>
  <c r="H6" i="15" s="1"/>
  <c r="K6" i="15" s="1"/>
  <c r="L6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9" i="15"/>
  <c r="G9" i="15" s="1"/>
  <c r="H9" i="15" s="1"/>
  <c r="K9" i="15" s="1"/>
  <c r="L9" i="15" s="1"/>
  <c r="E10" i="15"/>
  <c r="G10" i="15" s="1"/>
  <c r="H10" i="15" s="1"/>
  <c r="K10" i="15" s="1"/>
  <c r="L10" i="15" s="1"/>
  <c r="E11" i="15"/>
  <c r="G11" i="15" s="1"/>
  <c r="H11" i="15" s="1"/>
  <c r="K11" i="15" s="1"/>
  <c r="L11" i="15" s="1"/>
  <c r="E12" i="15"/>
  <c r="G12" i="15" s="1"/>
  <c r="H12" i="15" s="1"/>
  <c r="K12" i="15" s="1"/>
  <c r="L12" i="15" s="1"/>
  <c r="E13" i="15"/>
  <c r="G13" i="15" s="1"/>
  <c r="H13" i="15" s="1"/>
  <c r="K13" i="15" s="1"/>
  <c r="L13" i="15" s="1"/>
  <c r="E14" i="15"/>
  <c r="G14" i="15" s="1"/>
  <c r="H14" i="15" s="1"/>
  <c r="K14" i="15" s="1"/>
  <c r="L14" i="15" s="1"/>
  <c r="G5" i="14"/>
  <c r="H5" i="14" s="1"/>
  <c r="K5" i="14" s="1"/>
  <c r="L5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11" i="14"/>
  <c r="G11" i="14" s="1"/>
  <c r="H11" i="14" s="1"/>
  <c r="K11" i="14" s="1"/>
  <c r="L11" i="14" s="1"/>
  <c r="E12" i="14"/>
  <c r="G12" i="14" s="1"/>
  <c r="H12" i="14" s="1"/>
  <c r="K12" i="14" s="1"/>
  <c r="L12" i="14" s="1"/>
  <c r="E13" i="14"/>
  <c r="G13" i="14" s="1"/>
  <c r="H13" i="14" s="1"/>
  <c r="K13" i="14" s="1"/>
  <c r="L13" i="14" s="1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11" i="13"/>
  <c r="G11" i="13" s="1"/>
  <c r="H11" i="13" s="1"/>
  <c r="K11" i="13" s="1"/>
  <c r="L11" i="13" s="1"/>
  <c r="E12" i="13"/>
  <c r="G12" i="13" s="1"/>
  <c r="H12" i="13" s="1"/>
  <c r="K12" i="13" s="1"/>
  <c r="L12" i="13" s="1"/>
  <c r="E5" i="12"/>
  <c r="G5" i="12" s="1"/>
  <c r="H5" i="12" s="1"/>
  <c r="K5" i="12" s="1"/>
  <c r="L5" i="12" s="1"/>
  <c r="E6" i="12"/>
  <c r="G6" i="12" s="1"/>
  <c r="H6" i="12" s="1"/>
  <c r="K6" i="12" s="1"/>
  <c r="L6" i="12" s="1"/>
  <c r="E7" i="12"/>
  <c r="G7" i="12" s="1"/>
  <c r="H7" i="12" s="1"/>
  <c r="K7" i="12" s="1"/>
  <c r="L7" i="12" s="1"/>
  <c r="E9" i="12"/>
  <c r="G9" i="12" s="1"/>
  <c r="H9" i="12" s="1"/>
  <c r="K9" i="12" s="1"/>
  <c r="L9" i="12" s="1"/>
  <c r="E8" i="12"/>
  <c r="G8" i="12" s="1"/>
  <c r="H8" i="12" s="1"/>
  <c r="K8" i="12" s="1"/>
  <c r="L8" i="12" s="1"/>
  <c r="E5" i="11"/>
  <c r="G5" i="11" s="1"/>
  <c r="H5" i="11" s="1"/>
  <c r="K5" i="11" s="1"/>
  <c r="L5" i="11" s="1"/>
  <c r="E6" i="11"/>
  <c r="G6" i="11" s="1"/>
  <c r="H6" i="11" s="1"/>
  <c r="K6" i="11" s="1"/>
  <c r="L6" i="11" s="1"/>
  <c r="E7" i="11"/>
  <c r="G7" i="11" s="1"/>
  <c r="H7" i="11" s="1"/>
  <c r="K7" i="11" s="1"/>
  <c r="L7" i="11" s="1"/>
  <c r="E8" i="11"/>
  <c r="G8" i="11" s="1"/>
  <c r="H8" i="11" s="1"/>
  <c r="K8" i="11" s="1"/>
  <c r="L8" i="11" s="1"/>
  <c r="E9" i="11"/>
  <c r="G9" i="11" s="1"/>
  <c r="H9" i="11" s="1"/>
  <c r="K9" i="11" s="1"/>
  <c r="L9" i="11" s="1"/>
  <c r="E10" i="11"/>
  <c r="G10" i="11" s="1"/>
  <c r="H10" i="11" s="1"/>
  <c r="K10" i="11" s="1"/>
  <c r="L10" i="11" s="1"/>
  <c r="E11" i="11"/>
  <c r="G11" i="11" s="1"/>
  <c r="H11" i="11" s="1"/>
  <c r="K11" i="11" s="1"/>
  <c r="L11" i="11" s="1"/>
  <c r="E12" i="11"/>
  <c r="G12" i="11" s="1"/>
  <c r="H12" i="11" s="1"/>
  <c r="K12" i="11" s="1"/>
  <c r="L12" i="11" s="1"/>
  <c r="E5" i="10"/>
  <c r="G5" i="10" s="1"/>
  <c r="H5" i="10" s="1"/>
  <c r="K5" i="10" s="1"/>
  <c r="L5" i="10" s="1"/>
  <c r="E6" i="10"/>
  <c r="G6" i="10" s="1"/>
  <c r="H6" i="10" s="1"/>
  <c r="K6" i="10" s="1"/>
  <c r="L6" i="10" s="1"/>
  <c r="E7" i="10"/>
  <c r="G7" i="10" s="1"/>
  <c r="H7" i="10" s="1"/>
  <c r="K7" i="10" s="1"/>
  <c r="L7" i="10" s="1"/>
  <c r="E8" i="10"/>
  <c r="G8" i="10" s="1"/>
  <c r="H8" i="10" s="1"/>
  <c r="K8" i="10" s="1"/>
  <c r="E9" i="10"/>
  <c r="G9" i="10" s="1"/>
  <c r="H9" i="10" s="1"/>
  <c r="K9" i="10" s="1"/>
  <c r="E10" i="10"/>
  <c r="G10" i="10" s="1"/>
  <c r="H10" i="10" s="1"/>
  <c r="K10" i="10" s="1"/>
  <c r="L10" i="10" s="1"/>
  <c r="E13" i="10"/>
  <c r="G13" i="10" s="1"/>
  <c r="H13" i="10" s="1"/>
  <c r="K13" i="10" s="1"/>
  <c r="L13" i="10" s="1"/>
  <c r="E15" i="10"/>
  <c r="G15" i="10" s="1"/>
  <c r="H15" i="10" s="1"/>
  <c r="K15" i="10" s="1"/>
  <c r="L15" i="10" s="1"/>
  <c r="E11" i="10"/>
  <c r="G11" i="10" s="1"/>
  <c r="H11" i="10" s="1"/>
  <c r="K11" i="10" s="1"/>
  <c r="L11" i="10" s="1"/>
  <c r="E12" i="10"/>
  <c r="G12" i="10" s="1"/>
  <c r="H12" i="10" s="1"/>
  <c r="K12" i="10" s="1"/>
  <c r="L12" i="10" s="1"/>
  <c r="E5" i="9"/>
  <c r="G5" i="9" s="1"/>
  <c r="H5" i="9" s="1"/>
  <c r="K5" i="9" s="1"/>
  <c r="L5" i="9" s="1"/>
  <c r="E7" i="9"/>
  <c r="G7" i="9" s="1"/>
  <c r="H7" i="9" s="1"/>
  <c r="K7" i="9" s="1"/>
  <c r="L7" i="9" s="1"/>
  <c r="E11" i="9"/>
  <c r="G11" i="9" s="1"/>
  <c r="H11" i="9" s="1"/>
  <c r="K11" i="9" s="1"/>
  <c r="L11" i="9" s="1"/>
  <c r="E10" i="9"/>
  <c r="G10" i="9" s="1"/>
  <c r="H10" i="9" s="1"/>
  <c r="K10" i="9" s="1"/>
  <c r="L10" i="9" s="1"/>
  <c r="E6" i="9"/>
  <c r="G6" i="9" s="1"/>
  <c r="H6" i="9" s="1"/>
  <c r="K6" i="9" s="1"/>
  <c r="L6" i="9" s="1"/>
  <c r="E8" i="9"/>
  <c r="G8" i="9" s="1"/>
  <c r="H8" i="9" s="1"/>
  <c r="K8" i="9" s="1"/>
  <c r="L8" i="9" s="1"/>
  <c r="E9" i="9"/>
  <c r="G9" i="9" s="1"/>
  <c r="H9" i="9" s="1"/>
  <c r="K9" i="9" s="1"/>
  <c r="L9" i="9" s="1"/>
  <c r="E5" i="7"/>
  <c r="G5" i="7" s="1"/>
  <c r="H5" i="7" s="1"/>
  <c r="K5" i="7" s="1"/>
  <c r="L5" i="7" s="1"/>
  <c r="E6" i="7"/>
  <c r="G6" i="7" s="1"/>
  <c r="H6" i="7" s="1"/>
  <c r="K6" i="7" s="1"/>
  <c r="L6" i="7" s="1"/>
  <c r="E7" i="7"/>
  <c r="G7" i="7" s="1"/>
  <c r="H7" i="7" s="1"/>
  <c r="K7" i="7" s="1"/>
  <c r="L7" i="7" s="1"/>
  <c r="E8" i="7"/>
  <c r="G8" i="7" s="1"/>
  <c r="H8" i="7" s="1"/>
  <c r="K8" i="7" s="1"/>
  <c r="L8" i="7" s="1"/>
  <c r="E9" i="7"/>
  <c r="G9" i="7" s="1"/>
  <c r="H9" i="7" s="1"/>
  <c r="K9" i="7" s="1"/>
  <c r="L9" i="7" s="1"/>
  <c r="E10" i="7"/>
  <c r="G10" i="7" s="1"/>
  <c r="H10" i="7" s="1"/>
  <c r="K10" i="7" s="1"/>
  <c r="L10" i="7" s="1"/>
  <c r="E11" i="7"/>
  <c r="G11" i="7" s="1"/>
  <c r="H11" i="7" s="1"/>
  <c r="K11" i="7" s="1"/>
  <c r="L11" i="7" s="1"/>
  <c r="E12" i="7"/>
  <c r="G12" i="7" s="1"/>
  <c r="H12" i="7" s="1"/>
  <c r="K12" i="7" s="1"/>
  <c r="L12" i="7" s="1"/>
  <c r="E5" i="6"/>
  <c r="G5" i="6" s="1"/>
  <c r="H5" i="6" s="1"/>
  <c r="K5" i="6" s="1"/>
  <c r="L5" i="6" s="1"/>
  <c r="E6" i="6"/>
  <c r="G6" i="6" s="1"/>
  <c r="H6" i="6" s="1"/>
  <c r="K6" i="6" s="1"/>
  <c r="L6" i="6" s="1"/>
  <c r="E7" i="6"/>
  <c r="G7" i="6" s="1"/>
  <c r="H7" i="6" s="1"/>
  <c r="K7" i="6" s="1"/>
  <c r="L7" i="6" s="1"/>
  <c r="E8" i="6"/>
  <c r="G8" i="6" s="1"/>
  <c r="H8" i="6" s="1"/>
  <c r="K8" i="6" s="1"/>
  <c r="L8" i="6" s="1"/>
  <c r="E5" i="5"/>
  <c r="G5" i="5" s="1"/>
  <c r="H5" i="5" s="1"/>
  <c r="K5" i="5" s="1"/>
  <c r="L5" i="5" s="1"/>
  <c r="E6" i="5"/>
  <c r="G6" i="5" s="1"/>
  <c r="H6" i="5" s="1"/>
  <c r="K6" i="5" s="1"/>
  <c r="L6" i="5" s="1"/>
  <c r="E7" i="5"/>
  <c r="G7" i="5" s="1"/>
  <c r="H7" i="5" s="1"/>
  <c r="K7" i="5" s="1"/>
  <c r="L7" i="5" s="1"/>
  <c r="E8" i="5"/>
  <c r="G8" i="5" s="1"/>
  <c r="H8" i="5" s="1"/>
  <c r="K8" i="5" s="1"/>
  <c r="L8" i="5" s="1"/>
  <c r="E9" i="5"/>
  <c r="G9" i="5" s="1"/>
  <c r="H9" i="5" s="1"/>
  <c r="K9" i="5" s="1"/>
  <c r="L9" i="5" s="1"/>
  <c r="E5" i="4"/>
  <c r="G5" i="4" s="1"/>
  <c r="H5" i="4" s="1"/>
  <c r="K5" i="4" s="1"/>
  <c r="L5" i="4" s="1"/>
  <c r="E6" i="4"/>
  <c r="G6" i="4" s="1"/>
  <c r="H6" i="4" s="1"/>
  <c r="K6" i="4" s="1"/>
  <c r="L6" i="4" s="1"/>
  <c r="E7" i="4"/>
  <c r="G7" i="4" s="1"/>
  <c r="H7" i="4" s="1"/>
  <c r="K7" i="4" s="1"/>
  <c r="L7" i="4" s="1"/>
  <c r="E8" i="4"/>
  <c r="G8" i="4" s="1"/>
  <c r="H8" i="4" s="1"/>
  <c r="K8" i="4" s="1"/>
  <c r="L8" i="4" s="1"/>
  <c r="E9" i="4"/>
  <c r="G9" i="4" s="1"/>
  <c r="H9" i="4" s="1"/>
  <c r="K9" i="4" s="1"/>
  <c r="L9" i="4" s="1"/>
  <c r="E5" i="3"/>
  <c r="G5" i="3" s="1"/>
  <c r="H5" i="3" s="1"/>
  <c r="K5" i="3" s="1"/>
  <c r="L5" i="3" s="1"/>
  <c r="E6" i="3"/>
  <c r="G6" i="3" s="1"/>
  <c r="H6" i="3" s="1"/>
  <c r="E7" i="3"/>
  <c r="G7" i="3" s="1"/>
  <c r="H7" i="3" s="1"/>
  <c r="K7" i="3" s="1"/>
  <c r="L7" i="3" s="1"/>
  <c r="E8" i="3"/>
  <c r="G8" i="3" s="1"/>
  <c r="H8" i="3" s="1"/>
  <c r="K8" i="3" s="1"/>
  <c r="L8" i="3" s="1"/>
  <c r="E9" i="3"/>
  <c r="G9" i="3" s="1"/>
  <c r="H9" i="3" s="1"/>
  <c r="K9" i="3" s="1"/>
  <c r="L9" i="3" s="1"/>
  <c r="E10" i="3"/>
  <c r="G10" i="3" s="1"/>
  <c r="H10" i="3" s="1"/>
  <c r="K10" i="3" s="1"/>
  <c r="L10" i="3" s="1"/>
  <c r="E11" i="3"/>
  <c r="G11" i="3" s="1"/>
  <c r="H11" i="3" s="1"/>
  <c r="K11" i="3" s="1"/>
  <c r="L11" i="3" s="1"/>
  <c r="E12" i="3"/>
  <c r="G12" i="3" s="1"/>
  <c r="H12" i="3" s="1"/>
  <c r="K12" i="3" s="1"/>
  <c r="L12" i="3" s="1"/>
  <c r="E13" i="3"/>
  <c r="G13" i="3" s="1"/>
  <c r="H13" i="3" s="1"/>
  <c r="K13" i="3" s="1"/>
  <c r="L13" i="3" s="1"/>
  <c r="E5" i="2"/>
  <c r="G5" i="2" s="1"/>
  <c r="H5" i="2" s="1"/>
  <c r="K5" i="2" s="1"/>
  <c r="L5" i="2" s="1"/>
  <c r="E6" i="2"/>
  <c r="G6" i="2" s="1"/>
  <c r="H6" i="2" s="1"/>
  <c r="K6" i="2" s="1"/>
  <c r="L6" i="2" s="1"/>
  <c r="E8" i="2"/>
  <c r="G8" i="2" s="1"/>
  <c r="H8" i="2" s="1"/>
  <c r="K8" i="2" s="1"/>
  <c r="L8" i="2" s="1"/>
  <c r="E10" i="2"/>
  <c r="G10" i="2" s="1"/>
  <c r="H10" i="2" s="1"/>
  <c r="K10" i="2" s="1"/>
  <c r="L10" i="2" s="1"/>
  <c r="E12" i="2"/>
  <c r="G12" i="2" s="1"/>
  <c r="H12" i="2" s="1"/>
  <c r="K12" i="2" s="1"/>
  <c r="L12" i="2" s="1"/>
  <c r="E13" i="2"/>
  <c r="G13" i="2" s="1"/>
  <c r="H13" i="2" s="1"/>
  <c r="K13" i="2" s="1"/>
  <c r="L13" i="2" s="1"/>
  <c r="E14" i="2"/>
  <c r="G14" i="2" s="1"/>
  <c r="H14" i="2" s="1"/>
  <c r="K14" i="2" s="1"/>
  <c r="L14" i="2" s="1"/>
  <c r="E7" i="2"/>
  <c r="G7" i="2" s="1"/>
  <c r="H7" i="2" s="1"/>
  <c r="K7" i="2" s="1"/>
  <c r="L7" i="2" s="1"/>
  <c r="E9" i="2"/>
  <c r="G9" i="2" s="1"/>
  <c r="H9" i="2" s="1"/>
  <c r="K9" i="2" s="1"/>
  <c r="L9" i="2" s="1"/>
  <c r="E11" i="2"/>
  <c r="G11" i="2" s="1"/>
  <c r="H11" i="2" s="1"/>
  <c r="K11" i="2" s="1"/>
  <c r="L11" i="2" s="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11" i="21"/>
  <c r="G11" i="21" s="1"/>
  <c r="H11" i="21" s="1"/>
  <c r="K11" i="21" s="1"/>
  <c r="L11" i="21" s="1"/>
  <c r="E12" i="21"/>
  <c r="G12" i="21" s="1"/>
  <c r="H12" i="21" s="1"/>
  <c r="K12" i="21" s="1"/>
  <c r="L12" i="21" s="1"/>
  <c r="E13" i="21"/>
  <c r="G13" i="21" s="1"/>
  <c r="H13" i="21" s="1"/>
  <c r="K13" i="21" s="1"/>
  <c r="L13" i="21" s="1"/>
  <c r="E14" i="21"/>
  <c r="G14" i="21" s="1"/>
  <c r="H14" i="21" s="1"/>
  <c r="K14" i="21" s="1"/>
  <c r="L14" i="21" s="1"/>
  <c r="E15" i="21"/>
  <c r="G15" i="21" s="1"/>
  <c r="H15" i="21" s="1"/>
  <c r="K15" i="21" s="1"/>
  <c r="L15" i="21" s="1"/>
  <c r="E16" i="21"/>
  <c r="G16" i="21" s="1"/>
  <c r="H16" i="21" s="1"/>
  <c r="K16" i="21" s="1"/>
  <c r="L16" i="21" s="1"/>
  <c r="E17" i="21"/>
  <c r="G17" i="21" s="1"/>
  <c r="H17" i="21" s="1"/>
  <c r="K17" i="21" s="1"/>
  <c r="L17" i="21" s="1"/>
  <c r="E18" i="21"/>
  <c r="G18" i="21" s="1"/>
  <c r="H18" i="21" s="1"/>
  <c r="K18" i="21" s="1"/>
  <c r="L18" i="21" s="1"/>
  <c r="E19" i="21"/>
  <c r="G19" i="21" s="1"/>
  <c r="H19" i="21" s="1"/>
  <c r="K19" i="21" s="1"/>
  <c r="L19" i="21" s="1"/>
  <c r="E20" i="21"/>
  <c r="G20" i="21" s="1"/>
  <c r="H20" i="21" s="1"/>
  <c r="K20" i="21" s="1"/>
  <c r="L20" i="21" s="1"/>
  <c r="X8" i="16" l="1"/>
  <c r="S16" i="16"/>
  <c r="S16" i="17"/>
  <c r="Y8" i="17"/>
  <c r="S16" i="12"/>
  <c r="Y8" i="12"/>
  <c r="L11" i="8"/>
  <c r="Y8" i="18"/>
  <c r="S16" i="18"/>
  <c r="Y8" i="14"/>
  <c r="S16" i="14"/>
  <c r="Y8" i="3"/>
  <c r="Y8" i="4"/>
  <c r="S16" i="4"/>
  <c r="S16" i="2"/>
  <c r="Y8" i="2"/>
  <c r="S16" i="3"/>
  <c r="S16" i="15"/>
  <c r="Y8" i="15"/>
  <c r="Y8" i="11"/>
  <c r="S16" i="6"/>
  <c r="S16" i="19"/>
  <c r="S16" i="11"/>
  <c r="Y8" i="6"/>
  <c r="Y8" i="21"/>
  <c r="S16" i="21"/>
  <c r="L19" i="22"/>
  <c r="L18" i="22"/>
  <c r="L21" i="22"/>
  <c r="L20" i="22"/>
  <c r="Y8" i="19"/>
  <c r="L11" i="23"/>
  <c r="L8" i="10"/>
  <c r="L9" i="10"/>
  <c r="S16" i="20"/>
  <c r="Y8" i="20"/>
  <c r="S16" i="13"/>
  <c r="Y8" i="9"/>
  <c r="Y8" i="8"/>
  <c r="S15" i="8"/>
  <c r="Y8" i="13"/>
  <c r="S16" i="9"/>
  <c r="Y8" i="7"/>
  <c r="S16" i="7"/>
  <c r="S16" i="5"/>
  <c r="Y8" i="5"/>
  <c r="E18" i="30"/>
  <c r="G18" i="30" s="1"/>
  <c r="H18" i="30" s="1"/>
  <c r="K18" i="30" s="1"/>
  <c r="E6" i="30"/>
  <c r="G6" i="30" s="1"/>
  <c r="H6" i="30" s="1"/>
  <c r="K6" i="30" s="1"/>
  <c r="E16" i="30"/>
  <c r="G16" i="30" s="1"/>
  <c r="H16" i="30" s="1"/>
  <c r="K16" i="30" s="1"/>
  <c r="E17" i="30"/>
  <c r="G17" i="30" s="1"/>
  <c r="H17" i="30" s="1"/>
  <c r="K17" i="30" s="1"/>
  <c r="E20" i="30"/>
  <c r="G20" i="30" s="1"/>
  <c r="H20" i="30" s="1"/>
  <c r="K20" i="30" s="1"/>
  <c r="E7" i="30"/>
  <c r="G7" i="30" s="1"/>
  <c r="H7" i="30" s="1"/>
  <c r="K7" i="30" s="1"/>
  <c r="E8" i="30"/>
  <c r="G8" i="30" s="1"/>
  <c r="H8" i="30" s="1"/>
  <c r="K8" i="30" s="1"/>
  <c r="E9" i="30"/>
  <c r="G9" i="30" s="1"/>
  <c r="H9" i="30" s="1"/>
  <c r="K9" i="30" s="1"/>
  <c r="E10" i="30"/>
  <c r="G10" i="30" s="1"/>
  <c r="H10" i="30" s="1"/>
  <c r="K10" i="30" s="1"/>
  <c r="E13" i="30"/>
  <c r="G13" i="30" s="1"/>
  <c r="H13" i="30" s="1"/>
  <c r="K13" i="30" s="1"/>
  <c r="E15" i="30"/>
  <c r="G15" i="30" s="1"/>
  <c r="H15" i="30" s="1"/>
  <c r="K15" i="30" s="1"/>
  <c r="E19" i="30"/>
  <c r="G19" i="30" s="1"/>
  <c r="H19" i="30" s="1"/>
  <c r="K19" i="30" s="1"/>
  <c r="E12" i="30"/>
  <c r="G12" i="30" s="1"/>
  <c r="H12" i="30" s="1"/>
  <c r="K12" i="30" s="1"/>
  <c r="E14" i="30"/>
  <c r="G14" i="30" s="1"/>
  <c r="H14" i="30" s="1"/>
  <c r="K14" i="30" s="1"/>
  <c r="E11" i="30"/>
  <c r="G11" i="30" s="1"/>
  <c r="H11" i="30" s="1"/>
  <c r="K11" i="30" s="1"/>
  <c r="E5" i="30"/>
  <c r="G5" i="30" s="1"/>
  <c r="H5" i="30" s="1"/>
  <c r="K5" i="30" s="1"/>
  <c r="S15" i="23" l="1"/>
  <c r="Y8" i="23"/>
  <c r="S16" i="22"/>
  <c r="S16" i="10"/>
  <c r="Y8" i="10"/>
  <c r="Y8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tc={013DE28C-41DD-4F2F-B369-BB58B35B6732}</author>
  </authors>
  <commentList>
    <comment ref="J82" authorId="0" shapeId="0" xr:uid="{013DE28C-41DD-4F2F-B369-BB58B35B6732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Hot Section Rate</t>
      </text>
    </comment>
  </commentList>
</comments>
</file>

<file path=xl/sharedStrings.xml><?xml version="1.0" encoding="utf-8"?>
<sst xmlns="http://schemas.openxmlformats.org/spreadsheetml/2006/main" count="1995" uniqueCount="262">
  <si>
    <t>Base Recipe (1 Portion)</t>
  </si>
  <si>
    <t xml:space="preserve">Required Quantity </t>
  </si>
  <si>
    <t>Conversion Factor</t>
  </si>
  <si>
    <t>Labneh Pie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</si>
  <si>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</si>
  <si>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</si>
  <si>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</si>
  <si>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</si>
  <si>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</si>
  <si>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</si>
  <si>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</si>
  <si>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</si>
  <si>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</si>
  <si>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</si>
  <si>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</si>
  <si>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>Piece</t>
  </si>
  <si>
    <t>ml</t>
  </si>
  <si>
    <t>gm</t>
  </si>
  <si>
    <t>Dessert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</si>
  <si>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</si>
  <si>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</si>
  <si>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</si>
  <si>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</si>
  <si>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</si>
  <si>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SHEET REFERENCE</t>
  </si>
  <si>
    <t>SHEET NAME</t>
  </si>
  <si>
    <t>DAY رقم اليوم</t>
  </si>
  <si>
    <t>Biscuit Bases - قواعد البسكويت</t>
  </si>
  <si>
    <t>Baboffee Pie</t>
  </si>
  <si>
    <t xml:space="preserve">Brownie </t>
  </si>
  <si>
    <t>Dairy &amp; Eggs - الألبان والبيض</t>
  </si>
  <si>
    <t>Sabestien</t>
  </si>
  <si>
    <t>Blueberry Cheese Cake</t>
  </si>
  <si>
    <t>Rocky Road</t>
  </si>
  <si>
    <t>Mango Cheese Cake</t>
  </si>
  <si>
    <t>Saffron Cake</t>
  </si>
  <si>
    <t>Classic Cheese Cake</t>
  </si>
  <si>
    <t>Dukhun Cake</t>
  </si>
  <si>
    <t>Basbusa</t>
  </si>
  <si>
    <t>Lotuse Cheese Cake</t>
  </si>
  <si>
    <t>Muffin</t>
  </si>
  <si>
    <t>Lemon Cake</t>
  </si>
  <si>
    <t>Raspberry Chooclate Cheese Cake</t>
  </si>
  <si>
    <t>Oat Bar</t>
  </si>
  <si>
    <t>Cookies</t>
  </si>
  <si>
    <t>Zatar Pie</t>
  </si>
  <si>
    <t>Orange Cake</t>
  </si>
  <si>
    <t>Laham Pie</t>
  </si>
  <si>
    <t>Sugar &amp; Sweeteners - السكريات</t>
  </si>
  <si>
    <t>Baking Essentials - مستلزمات الخبز</t>
  </si>
  <si>
    <t>Flour, Starch &amp; Grains - الدقيق والنشا والحبوب</t>
  </si>
  <si>
    <t>Chocolate &amp; Cocoa - الشوكولاتة</t>
  </si>
  <si>
    <t>Fruits &amp; Fillings - الفواكه والحشوات</t>
  </si>
  <si>
    <t>Spices, Nuts &amp; Extras - التوابل والمكسرات</t>
  </si>
  <si>
    <t>Pre-Mixes &amp; Powders - المزيج الجاهز</t>
  </si>
  <si>
    <t>Savory Fillings - الحشوات المالحة</t>
  </si>
  <si>
    <t xml:space="preserve">Scaling Factor 
</t>
  </si>
  <si>
    <t>DAY SELECTOR</t>
  </si>
  <si>
    <t>Zatar Pie (2)</t>
  </si>
  <si>
    <t>Laham Pie (2)</t>
  </si>
  <si>
    <t>Labneh Pie (2)</t>
  </si>
  <si>
    <t>Almond Chooclate Cake</t>
  </si>
  <si>
    <t>Saffron Cake (2)</t>
  </si>
  <si>
    <t>كيك إنجليزى بالليمون</t>
  </si>
  <si>
    <t>Lemon Cake -  كيك إنجليزى بالليمون</t>
  </si>
  <si>
    <t>كوكيز</t>
  </si>
  <si>
    <t>Cookies - كوكيز</t>
  </si>
  <si>
    <t>كيك الزعفران</t>
  </si>
  <si>
    <t>Saffron Cake - كيك الزعفران</t>
  </si>
  <si>
    <t>Base Portion</t>
  </si>
  <si>
    <t>تشيز كيك مانجو</t>
  </si>
  <si>
    <t>Mango Cheese Cake - مانجو تشيز كيك</t>
  </si>
  <si>
    <t>تشيز كيك كلاسيك</t>
  </si>
  <si>
    <t>مافن</t>
  </si>
  <si>
    <t>Muffin - مافن</t>
  </si>
  <si>
    <t xml:space="preserve">Classic Cheese Cake -تشيز كيك كلاسيك </t>
  </si>
  <si>
    <t>Orange Cake - كيكة البرتقال</t>
  </si>
  <si>
    <t>Dukhun Cake - كيكة الدخن</t>
  </si>
  <si>
    <t>Saffron Cake- كيكة الزعفران</t>
  </si>
  <si>
    <t>كيكة الزعفران</t>
  </si>
  <si>
    <t>كيكة الدخن</t>
  </si>
  <si>
    <t>كيكة البرتقال</t>
  </si>
  <si>
    <t>فطيرة الزعتر</t>
  </si>
  <si>
    <t>فطيرة لحمة و جبنة</t>
  </si>
  <si>
    <t>Zatar Pie - فطيرة زعتر</t>
  </si>
  <si>
    <t>Labneh Pie - مناقيش لبنة</t>
  </si>
  <si>
    <t>Laham Pie -  مناقيش لحمة</t>
  </si>
  <si>
    <t>مناقيش لبنة بالخضار</t>
  </si>
  <si>
    <t>بسبوسة</t>
  </si>
  <si>
    <t>Basbusa - بسبوسة</t>
  </si>
  <si>
    <t>Blueberry Cheese Cake - تشيز كيك التوت الأزرق</t>
  </si>
  <si>
    <t>تشيز كيك التوت الأزرق</t>
  </si>
  <si>
    <t>Rocky Road - روكي رود</t>
  </si>
  <si>
    <t>روكي رود</t>
  </si>
  <si>
    <t>براونى بايتس</t>
  </si>
  <si>
    <t>Brownie - براونى بايتس</t>
  </si>
  <si>
    <t>سان سباستيان تشيز كيك</t>
  </si>
  <si>
    <t xml:space="preserve">Sansbtian - سان سباستيان </t>
  </si>
  <si>
    <t>كيك الشكولاته</t>
  </si>
  <si>
    <t>Raspberry Chooclate Cheese Cake - كيك الشكولاته</t>
  </si>
  <si>
    <t>بانوفى باى</t>
  </si>
  <si>
    <t>Baboffee Pie - بانوفى باى</t>
  </si>
  <si>
    <t>Oat Bar - بار الشوفان</t>
  </si>
  <si>
    <t>English Chooclate Cake - كيك بالشوكولاته و اللوز</t>
  </si>
  <si>
    <t>Lotuse Cheese Cake - تشيز كيك اللوتس</t>
  </si>
  <si>
    <t>Yield</t>
  </si>
  <si>
    <t>Order Unit</t>
  </si>
  <si>
    <t>Weekly Order</t>
  </si>
  <si>
    <t>Daily Order</t>
  </si>
  <si>
    <t>Weekly Price</t>
  </si>
  <si>
    <t>Daily Price</t>
  </si>
  <si>
    <t>Egg - بيضة</t>
  </si>
  <si>
    <t>Milk - حليب</t>
  </si>
  <si>
    <t>Mozzarella Cheese - جبنة موتزاريلا</t>
  </si>
  <si>
    <t>White Pepper - فلفل أبيض</t>
  </si>
  <si>
    <t>Butter - زبدة</t>
  </si>
  <si>
    <t>Yogurt - زبادي</t>
  </si>
  <si>
    <t>Labneh - لبنة</t>
  </si>
  <si>
    <t>Fresh Cream (Qishta)- قشطة</t>
  </si>
  <si>
    <t>Honey - عسل</t>
  </si>
  <si>
    <t>Water - ماء</t>
  </si>
  <si>
    <t>بسكويت دايجستف - Digestive biscuits</t>
  </si>
  <si>
    <t>كريمة خفق - Whipping cream</t>
  </si>
  <si>
    <t>كريمة شانتيل - Chantilly cream</t>
  </si>
  <si>
    <t>جبنة فيلادلفيا - Philadelphia cheese</t>
  </si>
  <si>
    <t>حليب مبخر - Evaporated milk</t>
  </si>
  <si>
    <t>كريمة فستق - Pistachio cream</t>
  </si>
  <si>
    <t>Milk powder - حليب بودرة</t>
  </si>
  <si>
    <t>سكر أبيض - White sugar</t>
  </si>
  <si>
    <t>حليب مكثف محلى - Condensed milk</t>
  </si>
  <si>
    <t>سكر بودرة - Powdered sugar</t>
  </si>
  <si>
    <t>بودرة فانيليا - Vanilla powder</t>
  </si>
  <si>
    <t>بيكنج باودر - Baking powder</t>
  </si>
  <si>
    <t>Dry yeast - خميرة جافة</t>
  </si>
  <si>
    <t>Bread improver - محسن خبز</t>
  </si>
  <si>
    <t>Salt - ملح</t>
  </si>
  <si>
    <t>سميد بودرة - Semolina powder</t>
  </si>
  <si>
    <t>سبريد لوتس - Lotus spread</t>
  </si>
  <si>
    <t>شوفان كامل - Whole oats</t>
  </si>
  <si>
    <t>Wheat flour - دقيق بر</t>
  </si>
  <si>
    <t xml:space="preserve"> مسحوق الدخن - Millets Powder </t>
  </si>
  <si>
    <t>فتات شوكولاتة - Chocolate crumb</t>
  </si>
  <si>
    <t>شوكولاتة داكنة - Dark chocolate</t>
  </si>
  <si>
    <t>شوكولاتة بلجيكية - Belgian chocolate</t>
  </si>
  <si>
    <t>بودرة كاكاو - Cocoa powder</t>
  </si>
  <si>
    <t>شوكولاتة بيضاء - White chocolate</t>
  </si>
  <si>
    <t>توت العليق مجمد - Frozen raspberry</t>
  </si>
  <si>
    <t>حشوة توت أزرق - Blueberry filling</t>
  </si>
  <si>
    <t>حشوة توت العليق - Raspberry filling</t>
  </si>
  <si>
    <t>زعفران طازج - Fresh saffron</t>
  </si>
  <si>
    <t>بودرة بنكهة الزعفران - Saffron flavored powder</t>
  </si>
  <si>
    <t>بذور سمسم - Sesame seeds</t>
  </si>
  <si>
    <t>بودرة فستق - Pistachio powder</t>
  </si>
  <si>
    <t>لوز شرائح - Sliced almond</t>
  </si>
  <si>
    <t>Cucumber - خيار</t>
  </si>
  <si>
    <t>Corn Starch - نشا ذرة</t>
  </si>
  <si>
    <t>Flour - دقيق</t>
  </si>
  <si>
    <t>Dry Thyme - زعتر مجفف</t>
  </si>
  <si>
    <t>Nigella Seeds - حبة البركة</t>
  </si>
  <si>
    <t>Cinnamon Powder - قرفة مطحونة</t>
  </si>
  <si>
    <t>Cardamom Powder - هيل مطحون</t>
  </si>
  <si>
    <t>Raisin - زبيب</t>
  </si>
  <si>
    <t>Black Pepper Powder - فلفل أسود مطحون</t>
  </si>
  <si>
    <t>Tomato - طماطم</t>
  </si>
  <si>
    <t>Green Bell Pepper - فلفل أخضر رومى</t>
  </si>
  <si>
    <t>Orange - برتقال</t>
  </si>
  <si>
    <t>Brown Sugar - سكر بني</t>
  </si>
  <si>
    <t>Dried Mint Leaves - نعناع مجفف</t>
  </si>
  <si>
    <t>Olive Oil - زيت زيتون</t>
  </si>
  <si>
    <t>Lemon  -  ليمون</t>
  </si>
  <si>
    <t>Corn Oil - زيت ذرة</t>
  </si>
  <si>
    <t>زيتون أسود شرائح - Sliced black olives</t>
  </si>
  <si>
    <t>زيتون أخضر شرائح - Sliced green olives</t>
  </si>
  <si>
    <t>ITEMS</t>
  </si>
  <si>
    <t>Unit</t>
  </si>
  <si>
    <t>Daily Weight</t>
  </si>
  <si>
    <t>Weekly Weight</t>
  </si>
  <si>
    <t>معجون تمر - Date Paste</t>
  </si>
  <si>
    <t>Indian Meat Tammam Mafroom - مفروم هندى</t>
  </si>
  <si>
    <t>منتجات ألبان</t>
  </si>
  <si>
    <t>محليات</t>
  </si>
  <si>
    <t>توابل</t>
  </si>
  <si>
    <t>مكسرات</t>
  </si>
  <si>
    <t>أعشاب مجففة</t>
  </si>
  <si>
    <t>ألوان وإضافات</t>
  </si>
  <si>
    <t>خضروات</t>
  </si>
  <si>
    <t>حبوب ودقيق</t>
  </si>
  <si>
    <t>سوائل ومرق</t>
  </si>
  <si>
    <t>معلبات و مجمدات</t>
  </si>
  <si>
    <t>Order Base Unit وحدة الطلب الأساسية</t>
  </si>
  <si>
    <t>Order Unit وحدة الطلب</t>
  </si>
  <si>
    <t>Price of ordering unit سعر وحدة الطلب</t>
  </si>
  <si>
    <t>50 Kg</t>
  </si>
  <si>
    <t>Kg</t>
  </si>
  <si>
    <t>25 Kg</t>
  </si>
  <si>
    <t>12 L / Carton</t>
  </si>
  <si>
    <t>11 Kg / Carton</t>
  </si>
  <si>
    <t>kg</t>
  </si>
  <si>
    <t>10 Kg</t>
  </si>
  <si>
    <t>9.2 Kg / Carton</t>
  </si>
  <si>
    <t>10,000 KG/Carton</t>
  </si>
  <si>
    <t>10,000 KG/Can</t>
  </si>
  <si>
    <t>5000 KG per Bag</t>
  </si>
  <si>
    <t>6000 KG/Pail</t>
  </si>
  <si>
    <t>3750 gm/can</t>
  </si>
  <si>
    <t>لب مانجو مجمد - Frozen mango puree</t>
  </si>
  <si>
    <t>16000 / Carton</t>
  </si>
  <si>
    <t>12,000 KG/Carton</t>
  </si>
  <si>
    <t>بروتين</t>
  </si>
  <si>
    <t>360 Egg/Carton</t>
  </si>
  <si>
    <t>Cost Per KG or L السعر للكيلو او للتر أو الحبة</t>
  </si>
  <si>
    <t>10,000 KG/Bag</t>
  </si>
  <si>
    <t>6600 KG/Carton</t>
  </si>
  <si>
    <t>12000 L / Carton</t>
  </si>
  <si>
    <t>KG</t>
  </si>
  <si>
    <t xml:space="preserve">720gm Per Bundle </t>
  </si>
  <si>
    <t>2880gm Per Carton</t>
  </si>
  <si>
    <t>100 gm/Can</t>
  </si>
  <si>
    <t>280 gm/Carton</t>
  </si>
  <si>
    <t>18480 ml/Carton</t>
  </si>
  <si>
    <t>19800 KG/Carton</t>
  </si>
  <si>
    <t>8000 KG/Carton</t>
  </si>
  <si>
    <t>17760 KG/Carton</t>
  </si>
  <si>
    <t>15,000 KG/Carton</t>
  </si>
  <si>
    <t>10,000 KG/Bundle</t>
  </si>
  <si>
    <t>8,000 KG/Pail</t>
  </si>
  <si>
    <t>10,800 KG/Carton</t>
  </si>
  <si>
    <t>200 g / Pack</t>
  </si>
  <si>
    <t>لون صفار زعفران بودر - Saffron yellow color powder</t>
  </si>
  <si>
    <t xml:space="preserve"> مانجو  - Mango </t>
  </si>
  <si>
    <t>حبيبات الشوكولاتة المزدوجة -   Double Chocolate Chip powder</t>
  </si>
  <si>
    <t>خليط المافن بالشوكولاتة - Chocolate Muffin Mix(pillsbury)</t>
  </si>
  <si>
    <t>5000 KG/Bag</t>
  </si>
  <si>
    <t>20 Kg</t>
  </si>
  <si>
    <t>500 gm/Pack</t>
  </si>
  <si>
    <t>2400 KG/Carton</t>
  </si>
  <si>
    <t>3000 KG/Bag</t>
  </si>
  <si>
    <t>20,000 KG/ Bag</t>
  </si>
  <si>
    <t>15,000 KG/ Bag</t>
  </si>
  <si>
    <t>5952 KG/Carton</t>
  </si>
  <si>
    <t>5600 KG/Carton</t>
  </si>
  <si>
    <t>17000 /Tank</t>
  </si>
  <si>
    <t>Mixed Nuts - مكسرات مشكلة</t>
  </si>
  <si>
    <t>snacks</t>
  </si>
  <si>
    <t>لوز بالليمون - Almond</t>
  </si>
  <si>
    <t>Cashew Nut - كاجو</t>
  </si>
  <si>
    <t>Mixed Nuts</t>
  </si>
  <si>
    <t>PreCooking Yield</t>
  </si>
  <si>
    <t>Size</t>
  </si>
  <si>
    <t>Carton</t>
  </si>
  <si>
    <t>Bag</t>
  </si>
  <si>
    <t>Can</t>
  </si>
  <si>
    <t>Pail</t>
  </si>
  <si>
    <t>Pack</t>
  </si>
  <si>
    <t>Mixed Nuts (2)</t>
  </si>
  <si>
    <t>Pistachio - فستق محمص بالليمون</t>
  </si>
  <si>
    <t>Orange Zest - برش برتقال</t>
  </si>
  <si>
    <t>برش ليمون - Lemon zest</t>
  </si>
  <si>
    <t>Mixed Nuts (3)</t>
  </si>
  <si>
    <t>Mixed Nuts (6)</t>
  </si>
  <si>
    <t>Mixed Nuts (5)</t>
  </si>
  <si>
    <t>Mixed Nuts 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</si>
</sst>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 * #,##0_ ;_ * \-#,##0_ ;_ * &quot;-&quot;??_ ;_ @_ "/>
    <numFmt numFmtId="166" formatCode="0.0"/>
    <numFmt numFmtId="167" formatCode="0.0000"/>
    <numFmt numFmtId="168" formatCode="_ * #,##0.00_ ;_ * \-#,##0.00_ ;_ * &quot;-&quot;??_ ;_ @_ "/>
    <numFmt numFmtId="169" formatCode="_ * #,##0_ ;_ * \-#,##0_ ;_ * \-??_ ;_ @_ "/>
    <numFmt numFmtId="170" formatCode="_ * #,##0.00_ ;_ * \-#,##0.00_ ;_ * \-??_ ;_ @_ "/>
    <numFmt numFmtId="171" formatCode="0.000"/>
    <numFmt numFmtId="172" formatCode="_ * #,##0.0_ ;_ * \-#,##0.0_ ;_ * &quot;-&quot;??_ ;_ @_ "/>
    <numFmt numFmtId="173" formatCode="_ * #,##0.000_ ;_ * \-#,##0.000_ ;_ * \-??_ ;_ @_ "/>
    <numFmt numFmtId="174" formatCode="_ * #,##0.0_ ;_ * \-#,##0.0_ ;_ * \-??_ ;_ @_ 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4A1942"/>
      <name val="Arial"/>
      <family val="2"/>
    </font>
    <font>
      <sz val="9"/>
      <color rgb="FF000000"/>
      <name val="Arial"/>
      <family val="2"/>
    </font>
    <font>
      <b/>
      <sz val="10"/>
      <color rgb="FF4A1942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4A1942"/>
        <bgColor rgb="FF4A1942"/>
      </patternFill>
    </fill>
    <fill>
      <patternFill patternType="solid">
        <fgColor rgb="FF6B2D6B"/>
        <bgColor rgb="FF6B2D6B"/>
      </patternFill>
    </fill>
    <fill>
      <patternFill patternType="solid">
        <fgColor rgb="FFFFF0D0"/>
        <bgColor rgb="FFFFF0D0"/>
      </patternFill>
    </fill>
    <fill>
      <patternFill patternType="solid">
        <fgColor rgb="FF8B3A8B"/>
        <bgColor rgb="FF8B3A8B"/>
      </patternFill>
    </fill>
    <fill>
      <patternFill patternType="solid">
        <fgColor rgb="FFFFFFFF"/>
        <bgColor rgb="FFFFFFFF"/>
      </patternFill>
    </fill>
    <fill>
      <patternFill patternType="solid">
        <fgColor rgb="FFE8F5E9"/>
        <bgColor rgb="FFE8F5E9"/>
      </patternFill>
    </fill>
    <fill>
      <patternFill patternType="solid">
        <fgColor rgb="FFFAF0FA"/>
        <bgColor rgb="FFFAF0FA"/>
      </patternFill>
    </fill>
    <fill>
      <patternFill patternType="solid">
        <fgColor rgb="FFF9F4F9"/>
        <bgColor rgb="FFF9F4F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rgb="FFE7E6E6"/>
      </patternFill>
    </fill>
    <fill>
      <patternFill patternType="solid">
        <fgColor theme="5"/>
        <bgColor rgb="FFDEEBF7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rgb="FF00206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rgb="FFA6A6A6"/>
      </patternFill>
    </fill>
    <fill>
      <patternFill patternType="solid">
        <fgColor theme="0" tint="-4.9989318521683403E-2"/>
        <bgColor rgb="FFA6A6A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87182226020086"/>
        <bgColor rgb="FF9DC3E6"/>
      </patternFill>
    </fill>
  </fills>
  <borders count="25">
    <border>
      <left/>
      <right/>
      <top/>
      <bottom/>
      <diagonal/>
    </border>
    <border>
      <left style="double">
        <color rgb="FF505050"/>
      </left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505050"/>
      </right>
      <top style="double">
        <color rgb="FF505050"/>
      </top>
      <bottom style="double">
        <color rgb="FF505050"/>
      </bottom>
      <diagonal/>
    </border>
    <border>
      <left style="double">
        <color rgb="FF505050"/>
      </left>
      <right style="double">
        <color rgb="FF505050"/>
      </right>
      <top/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  <border>
      <left style="thin">
        <color rgb="FFBDBDBD"/>
      </left>
      <right/>
      <top style="thin">
        <color rgb="FFBDBDBD"/>
      </top>
      <bottom style="thin">
        <color rgb="FFBDBDBD"/>
      </bottom>
      <diagonal/>
    </border>
    <border>
      <left style="thin">
        <color rgb="FFBDBDBD"/>
      </left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 style="thin">
        <color indexed="64"/>
      </bottom>
      <diagonal/>
    </border>
    <border>
      <left/>
      <right style="thin">
        <color rgb="FFBDBDBD"/>
      </right>
      <top style="thin">
        <color rgb="FFBDBDBD"/>
      </top>
      <bottom style="thin">
        <color indexed="64"/>
      </bottom>
      <diagonal/>
    </border>
    <border>
      <left/>
      <right/>
      <top style="thin">
        <color rgb="FFBDBDBD"/>
      </top>
      <bottom/>
      <diagonal/>
    </border>
    <border>
      <left/>
      <right style="thin">
        <color rgb="FFBDBDBD"/>
      </right>
      <top style="thin">
        <color rgb="FFBDBDBD"/>
      </top>
      <bottom/>
      <diagonal/>
    </border>
    <border>
      <left style="thin">
        <color rgb="FFBDBDBD"/>
      </left>
      <right/>
      <top style="thin">
        <color rgb="FFBDBDBD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0" fontId="5" fillId="0" borderId="0"/>
  </cellStyleXfs>
  <cellXfs count="130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4" fillId="2" borderId="2" xfId="0" applyFont="1" applyFill="1" applyBorder="1"/>
    <xf numFmtId="0" fontId="4" fillId="2" borderId="5" xfId="0" applyFont="1" applyFill="1" applyBorder="1"/>
    <xf numFmtId="0" fontId="4" fillId="2" borderId="3" xfId="0" applyFont="1" applyFill="1" applyBorder="1"/>
    <xf numFmtId="165" fontId="0" fillId="0" borderId="6" xfId="1" applyNumberFormat="1" applyFont="1" applyBorder="1"/>
    <xf numFmtId="0" fontId="0" fillId="0" borderId="6" xfId="0" applyBorder="1"/>
    <xf numFmtId="0" fontId="4" fillId="2" borderId="7" xfId="0" applyFont="1" applyFill="1" applyBorder="1"/>
    <xf numFmtId="165" fontId="0" fillId="0" borderId="0" xfId="0" applyNumberFormat="1"/>
    <xf numFmtId="0" fontId="6" fillId="0" borderId="5" xfId="2" applyFont="1" applyBorder="1" applyAlignment="1">
      <alignment horizontal="center" vertical="center" wrapText="1"/>
    </xf>
    <xf numFmtId="165" fontId="6" fillId="0" borderId="5" xfId="2" applyNumberFormat="1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1" fontId="1" fillId="0" borderId="2" xfId="0" applyNumberFormat="1" applyFont="1" applyBorder="1"/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6" fontId="0" fillId="0" borderId="2" xfId="0" applyNumberFormat="1" applyBorder="1" applyAlignment="1">
      <alignment horizontal="center"/>
    </xf>
    <xf numFmtId="0" fontId="8" fillId="0" borderId="9" xfId="0" applyFont="1" applyBorder="1" applyAlignment="1">
      <alignment horizontal="center" wrapText="1"/>
    </xf>
    <xf numFmtId="0" fontId="1" fillId="0" borderId="0" xfId="0" applyFont="1"/>
    <xf numFmtId="0" fontId="2" fillId="0" borderId="9" xfId="0" applyFont="1" applyBorder="1" applyAlignment="1">
      <alignment horizontal="center" wrapText="1"/>
    </xf>
    <xf numFmtId="0" fontId="1" fillId="0" borderId="10" xfId="0" applyFont="1" applyBorder="1"/>
    <xf numFmtId="0" fontId="2" fillId="0" borderId="10" xfId="0" applyFont="1" applyBorder="1" applyAlignment="1">
      <alignment wrapText="1"/>
    </xf>
    <xf numFmtId="167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0" fillId="3" borderId="13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vertical="center"/>
    </xf>
    <xf numFmtId="0" fontId="9" fillId="3" borderId="16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11" fillId="6" borderId="13" xfId="0" applyFont="1" applyFill="1" applyBorder="1" applyAlignment="1">
      <alignment vertical="center" wrapText="1"/>
    </xf>
    <xf numFmtId="0" fontId="9" fillId="0" borderId="20" xfId="0" applyFont="1" applyBorder="1" applyAlignment="1">
      <alignment vertical="center"/>
    </xf>
    <xf numFmtId="0" fontId="9" fillId="3" borderId="18" xfId="0" applyFont="1" applyFill="1" applyBorder="1" applyAlignment="1">
      <alignment vertical="center"/>
    </xf>
    <xf numFmtId="165" fontId="0" fillId="0" borderId="2" xfId="1" applyNumberFormat="1" applyFont="1" applyBorder="1"/>
    <xf numFmtId="165" fontId="0" fillId="0" borderId="2" xfId="0" applyNumberFormat="1" applyBorder="1"/>
    <xf numFmtId="1" fontId="11" fillId="6" borderId="14" xfId="0" applyNumberFormat="1" applyFont="1" applyFill="1" applyBorder="1" applyAlignment="1">
      <alignment vertical="center"/>
    </xf>
    <xf numFmtId="0" fontId="1" fillId="11" borderId="0" xfId="0" applyFont="1" applyFill="1" applyAlignment="1">
      <alignment horizontal="center"/>
    </xf>
    <xf numFmtId="2" fontId="16" fillId="12" borderId="0" xfId="0" applyNumberFormat="1" applyFont="1" applyFill="1"/>
    <xf numFmtId="169" fontId="16" fillId="12" borderId="0" xfId="0" applyNumberFormat="1" applyFont="1" applyFill="1"/>
    <xf numFmtId="170" fontId="16" fillId="12" borderId="0" xfId="0" applyNumberFormat="1" applyFont="1" applyFill="1"/>
    <xf numFmtId="171" fontId="1" fillId="0" borderId="2" xfId="0" applyNumberFormat="1" applyFont="1" applyBorder="1"/>
    <xf numFmtId="0" fontId="0" fillId="0" borderId="2" xfId="0" applyBorder="1" applyAlignment="1">
      <alignment horizontal="left"/>
    </xf>
    <xf numFmtId="0" fontId="16" fillId="13" borderId="0" xfId="0" applyFont="1" applyFill="1" applyAlignment="1">
      <alignment horizontal="center" vertical="center" wrapText="1"/>
    </xf>
    <xf numFmtId="0" fontId="16" fillId="13" borderId="0" xfId="0" applyFont="1" applyFill="1" applyAlignment="1">
      <alignment horizontal="center" vertical="center"/>
    </xf>
    <xf numFmtId="0" fontId="17" fillId="7" borderId="13" xfId="0" applyFont="1" applyFill="1" applyBorder="1" applyAlignment="1">
      <alignment horizontal="left" vertical="center"/>
    </xf>
    <xf numFmtId="0" fontId="17" fillId="7" borderId="13" xfId="0" applyFont="1" applyFill="1" applyBorder="1" applyAlignment="1">
      <alignment horizontal="center" vertical="center"/>
    </xf>
    <xf numFmtId="1" fontId="17" fillId="7" borderId="13" xfId="0" applyNumberFormat="1" applyFont="1" applyFill="1" applyBorder="1" applyAlignment="1">
      <alignment horizontal="center" vertical="center"/>
    </xf>
    <xf numFmtId="1" fontId="17" fillId="8" borderId="16" xfId="0" applyNumberFormat="1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left" vertical="center"/>
    </xf>
    <xf numFmtId="0" fontId="17" fillId="9" borderId="13" xfId="0" applyFont="1" applyFill="1" applyBorder="1" applyAlignment="1">
      <alignment horizontal="center" vertical="center"/>
    </xf>
    <xf numFmtId="1" fontId="17" fillId="9" borderId="13" xfId="0" applyNumberFormat="1" applyFont="1" applyFill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1" fontId="18" fillId="8" borderId="16" xfId="0" applyNumberFormat="1" applyFont="1" applyFill="1" applyBorder="1" applyAlignment="1">
      <alignment horizontal="center" vertical="center"/>
    </xf>
    <xf numFmtId="0" fontId="17" fillId="8" borderId="16" xfId="0" applyFont="1" applyFill="1" applyBorder="1" applyAlignment="1">
      <alignment horizontal="center" vertical="center"/>
    </xf>
    <xf numFmtId="1" fontId="17" fillId="8" borderId="14" xfId="0" applyNumberFormat="1" applyFont="1" applyFill="1" applyBorder="1" applyAlignment="1">
      <alignment horizontal="center" vertical="center"/>
    </xf>
    <xf numFmtId="169" fontId="16" fillId="12" borderId="14" xfId="0" applyNumberFormat="1" applyFont="1" applyFill="1" applyBorder="1"/>
    <xf numFmtId="170" fontId="16" fillId="12" borderId="14" xfId="0" applyNumberFormat="1" applyFont="1" applyFill="1" applyBorder="1"/>
    <xf numFmtId="1" fontId="17" fillId="8" borderId="0" xfId="0" applyNumberFormat="1" applyFont="1" applyFill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69" fontId="16" fillId="12" borderId="0" xfId="0" applyNumberFormat="1" applyFont="1" applyFill="1" applyAlignment="1">
      <alignment horizontal="center"/>
    </xf>
    <xf numFmtId="170" fontId="16" fillId="12" borderId="0" xfId="0" applyNumberFormat="1" applyFont="1" applyFill="1" applyAlignment="1">
      <alignment horizontal="center"/>
    </xf>
    <xf numFmtId="1" fontId="18" fillId="8" borderId="0" xfId="0" applyNumberFormat="1" applyFont="1" applyFill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" fontId="17" fillId="0" borderId="13" xfId="0" applyNumberFormat="1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1" fillId="6" borderId="16" xfId="0" applyFont="1" applyFill="1" applyBorder="1" applyAlignment="1">
      <alignment vertical="center" wrapText="1"/>
    </xf>
    <xf numFmtId="165" fontId="0" fillId="0" borderId="3" xfId="0" applyNumberFormat="1" applyBorder="1" applyAlignment="1">
      <alignment horizontal="center"/>
    </xf>
    <xf numFmtId="0" fontId="9" fillId="3" borderId="21" xfId="0" applyFont="1" applyFill="1" applyBorder="1" applyAlignment="1">
      <alignment vertical="center"/>
    </xf>
    <xf numFmtId="0" fontId="9" fillId="3" borderId="22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9" fillId="3" borderId="17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vertical="center" wrapText="1"/>
    </xf>
    <xf numFmtId="0" fontId="17" fillId="14" borderId="0" xfId="0" applyFont="1" applyFill="1"/>
    <xf numFmtId="0" fontId="17" fillId="15" borderId="0" xfId="0" applyFont="1" applyFill="1"/>
    <xf numFmtId="2" fontId="17" fillId="15" borderId="0" xfId="0" applyNumberFormat="1" applyFont="1" applyFill="1"/>
    <xf numFmtId="0" fontId="19" fillId="16" borderId="2" xfId="0" applyFont="1" applyFill="1" applyBorder="1" applyAlignment="1">
      <alignment horizontal="left" vertical="center"/>
    </xf>
    <xf numFmtId="165" fontId="20" fillId="0" borderId="24" xfId="0" applyNumberFormat="1" applyFont="1" applyBorder="1" applyAlignment="1">
      <alignment horizontal="left" vertical="center"/>
    </xf>
    <xf numFmtId="2" fontId="0" fillId="0" borderId="2" xfId="0" applyNumberFormat="1" applyBorder="1"/>
    <xf numFmtId="166" fontId="0" fillId="0" borderId="2" xfId="0" applyNumberFormat="1" applyBorder="1"/>
    <xf numFmtId="166" fontId="0" fillId="0" borderId="0" xfId="0" applyNumberFormat="1"/>
    <xf numFmtId="0" fontId="0" fillId="17" borderId="2" xfId="0" applyFill="1" applyBorder="1" applyAlignment="1">
      <alignment horizontal="center"/>
    </xf>
    <xf numFmtId="166" fontId="0" fillId="17" borderId="2" xfId="0" applyNumberFormat="1" applyFill="1" applyBorder="1"/>
    <xf numFmtId="166" fontId="0" fillId="17" borderId="2" xfId="0" applyNumberFormat="1" applyFill="1" applyBorder="1" applyAlignment="1">
      <alignment horizontal="center"/>
    </xf>
    <xf numFmtId="2" fontId="0" fillId="17" borderId="2" xfId="0" applyNumberFormat="1" applyFill="1" applyBorder="1" applyAlignment="1">
      <alignment horizontal="center"/>
    </xf>
    <xf numFmtId="172" fontId="0" fillId="0" borderId="3" xfId="0" applyNumberFormat="1" applyBorder="1" applyAlignment="1">
      <alignment horizontal="center"/>
    </xf>
    <xf numFmtId="172" fontId="0" fillId="0" borderId="2" xfId="0" applyNumberFormat="1" applyBorder="1" applyAlignment="1">
      <alignment horizontal="center"/>
    </xf>
    <xf numFmtId="172" fontId="0" fillId="0" borderId="2" xfId="0" applyNumberFormat="1" applyBorder="1"/>
    <xf numFmtId="172" fontId="0" fillId="17" borderId="2" xfId="0" applyNumberFormat="1" applyFill="1" applyBorder="1" applyAlignment="1">
      <alignment horizontal="center"/>
    </xf>
    <xf numFmtId="0" fontId="11" fillId="6" borderId="2" xfId="0" applyFont="1" applyFill="1" applyBorder="1" applyAlignment="1">
      <alignment wrapText="1"/>
    </xf>
    <xf numFmtId="171" fontId="17" fillId="15" borderId="0" xfId="0" applyNumberFormat="1" applyFont="1" applyFill="1"/>
    <xf numFmtId="167" fontId="17" fillId="15" borderId="0" xfId="0" applyNumberFormat="1" applyFont="1" applyFill="1"/>
    <xf numFmtId="165" fontId="0" fillId="17" borderId="3" xfId="0" applyNumberFormat="1" applyFill="1" applyBorder="1" applyAlignment="1">
      <alignment horizontal="center"/>
    </xf>
    <xf numFmtId="0" fontId="0" fillId="17" borderId="2" xfId="0" applyFill="1" applyBorder="1"/>
    <xf numFmtId="169" fontId="16" fillId="18" borderId="0" xfId="0" applyNumberFormat="1" applyFont="1" applyFill="1"/>
    <xf numFmtId="169" fontId="16" fillId="19" borderId="0" xfId="0" applyNumberFormat="1" applyFont="1" applyFill="1"/>
    <xf numFmtId="0" fontId="0" fillId="20" borderId="0" xfId="0" applyFill="1"/>
    <xf numFmtId="0" fontId="1" fillId="20" borderId="0" xfId="0" applyFont="1" applyFill="1"/>
    <xf numFmtId="165" fontId="0" fillId="21" borderId="3" xfId="0" applyNumberFormat="1" applyFill="1" applyBorder="1" applyAlignment="1">
      <alignment horizontal="center"/>
    </xf>
    <xf numFmtId="173" fontId="16" fillId="18" borderId="0" xfId="0" applyNumberFormat="1" applyFont="1" applyFill="1"/>
    <xf numFmtId="174" fontId="16" fillId="22" borderId="0" xfId="0" applyNumberFormat="1" applyFont="1" applyFill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7" fillId="2" borderId="2" xfId="2" applyFont="1" applyFill="1" applyBorder="1" applyAlignment="1">
      <alignment horizontal="center"/>
    </xf>
    <xf numFmtId="0" fontId="0" fillId="0" borderId="2" xfId="0" applyBorder="1"/>
    <xf numFmtId="0" fontId="11" fillId="3" borderId="13" xfId="0" applyFont="1" applyFill="1" applyBorder="1" applyAlignment="1">
      <alignment horizontal="center" vertical="center"/>
    </xf>
    <xf numFmtId="0" fontId="0" fillId="0" borderId="15" xfId="0" applyBorder="1"/>
    <xf numFmtId="0" fontId="7" fillId="2" borderId="4" xfId="2" applyFont="1" applyFill="1" applyBorder="1" applyAlignment="1">
      <alignment horizontal="center"/>
    </xf>
    <xf numFmtId="0" fontId="0" fillId="0" borderId="4" xfId="0" applyBorder="1"/>
    <xf numFmtId="0" fontId="7" fillId="2" borderId="8" xfId="2" applyFont="1" applyFill="1" applyBorder="1" applyAlignment="1">
      <alignment horizontal="center"/>
    </xf>
    <xf numFmtId="0" fontId="0" fillId="0" borderId="8" xfId="0" applyBorder="1"/>
    <xf numFmtId="0" fontId="4" fillId="2" borderId="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296646</xdr:colOff>
      <xdr:row>1</xdr:row>
      <xdr:rowOff>108425</xdr:rowOff>
    </xdr:from>
    <xdr:to>
      <xdr:col>18</xdr:col>
      <xdr:colOff>1034237</xdr:colOff>
      <xdr:row>5</xdr:row>
      <xdr:rowOff>108425</xdr:rowOff>
    </xdr:to>
    <xdr:pic macro="[0]!RecalcWeights">
      <xdr:nvPicPr>
        <xdr:cNvPr id="4" name="Graphic 3" descr="Cupcake with solid fill">
          <a:extLst>
            <a:ext uri="{FF2B5EF4-FFF2-40B4-BE49-F238E27FC236}">
              <a16:creationId xmlns:a16="http://schemas.microsoft.com/office/drawing/2014/main" id="{F6BD22E2-E08D-9D8D-BC44-AD78F83E9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456517" y="458488"/>
          <a:ext cx="737591" cy="737133"/>
        </a:xfrm>
        <a:prstGeom prst="rect">
          <a:avLst/>
        </a:prstGeom>
      </xdr:spPr>
    </xdr:pic>
    <xdr:clientData/>
  </xdr:twoCellAnchor>
  <xdr:twoCellAnchor>
    <xdr:from>
      <xdr:col>18</xdr:col>
      <xdr:colOff>333077</xdr:colOff>
      <xdr:row>6</xdr:row>
      <xdr:rowOff>86559</xdr:rowOff>
    </xdr:from>
    <xdr:to>
      <xdr:col>18</xdr:col>
      <xdr:colOff>1016944</xdr:colOff>
      <xdr:row>9</xdr:row>
      <xdr:rowOff>4111</xdr:rowOff>
    </xdr:to>
    <xdr:sp macro="[0]!ExportDessert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87DF25-F770-AAEE-E8E3-6A2D548E0E46}"/>
            </a:ext>
          </a:extLst>
        </xdr:cNvPr>
        <xdr:cNvSpPr/>
      </xdr:nvSpPr>
      <xdr:spPr>
        <a:xfrm>
          <a:off x="22492948" y="1421688"/>
          <a:ext cx="683867" cy="45486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amal Alshareef" id="{12B3C952-A659-4AE6-A305-15DD3DC8F551}" userId="S::Alshareef.ka@octafoodksa.com::cb6032f9-5897-4e48-8775-ec7e07c838a6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2" dT="2026-06-29T00:11:18.08" personId="{12B3C952-A659-4AE6-A305-15DD3DC8F551}" id="{013DE28C-41DD-4F2F-B369-BB58B35B6732}">
    <text>From Hot Section Rate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1:AB83"/>
  <sheetViews>
    <sheetView tabSelected="1" zoomScaleNormal="100" workbookViewId="0">
      <pane ySplit="1" topLeftCell="A53" activePane="bottomLeft" state="frozen"/>
      <selection pane="bottomLeft" activeCell="A2" sqref="A2:E73"/>
    </sheetView>
  </sheetViews>
  <sheetFormatPr defaultColWidth="17.41015625" defaultRowHeight="14.35" x14ac:dyDescent="0.5"/>
  <cols>
    <col min="1" max="1" width="38.76171875" style="25" customWidth="1"/>
    <col min="2" max="2" width="14" style="25" customWidth="1"/>
    <col min="3" max="3" width="12.3515625" style="25" customWidth="1"/>
    <col min="4" max="4" width="19.3515625" style="25" customWidth="1"/>
    <col min="5" max="5" width="21.41015625" style="25" customWidth="1"/>
    <col min="6" max="6" width="13.05859375" customWidth="1"/>
    <col min="7" max="7" width="17.41015625" customWidth="1"/>
    <col min="8" max="8" width="19" customWidth="1"/>
    <col min="9" max="9" width="30.05859375" customWidth="1"/>
    <col min="10" max="10" width="23.64453125" customWidth="1"/>
    <col min="11" max="11" width="17.05859375" customWidth="1"/>
    <col min="12" max="12" width="17" bestFit="1" customWidth="1"/>
    <col min="13" max="13" width="12.46875" bestFit="1" customWidth="1"/>
    <col min="14" max="14" width="10.64453125" bestFit="1" customWidth="1"/>
    <col min="15" max="15" width="9.9375" bestFit="1" customWidth="1"/>
    <col min="16" max="16" width="4.5859375" customWidth="1"/>
    <col min="17" max="17" width="16.234375" customWidth="1"/>
    <col min="18" max="18" width="12.46875" customWidth="1"/>
    <col min="20" max="26" width="6.41015625" customWidth="1"/>
    <col min="27" max="27" width="26.05859375" bestFit="1" customWidth="1"/>
    <col min="28" max="28" width="10.3515625" bestFit="1" customWidth="1"/>
  </cols>
  <sheetData>
    <row r="1" spans="1:28" ht="27.35" x14ac:dyDescent="0.5">
      <c r="A1" s="34" t="s">
        <v>173</v>
      </c>
      <c r="B1" s="34" t="s">
        <v>4</v>
      </c>
      <c r="C1" s="34" t="s">
        <v>174</v>
      </c>
      <c r="D1" s="34" t="s">
        <v>175</v>
      </c>
      <c r="E1" s="34" t="s">
        <v>176</v>
      </c>
      <c r="F1" s="34" t="s">
        <v>105</v>
      </c>
      <c r="G1" s="56" t="s">
        <v>189</v>
      </c>
      <c r="H1" s="57" t="s">
        <v>190</v>
      </c>
      <c r="I1" s="56" t="s">
        <v>191</v>
      </c>
      <c r="J1" s="56" t="s">
        <v>210</v>
      </c>
      <c r="K1" s="34" t="s">
        <v>107</v>
      </c>
      <c r="L1" s="34" t="s">
        <v>108</v>
      </c>
      <c r="M1" s="34" t="s">
        <v>106</v>
      </c>
      <c r="N1" s="34" t="s">
        <v>109</v>
      </c>
      <c r="O1" s="34" t="s">
        <v>110</v>
      </c>
      <c r="Q1" s="33" t="s">
        <v>57</v>
      </c>
      <c r="R1" s="37">
        <v>4</v>
      </c>
      <c r="Z1">
        <v>2</v>
      </c>
      <c r="AA1" s="121" t="s">
        <v>24</v>
      </c>
      <c r="AB1" s="122"/>
    </row>
    <row r="2" spans="1:28" x14ac:dyDescent="0.5">
      <c r="A2" s="62" t="s">
        <v>115</v>
      </c>
      <c r="B2" s="62" t="s">
        <v>179</v>
      </c>
      <c r="C2" s="63" t="s">
        <v>17</v>
      </c>
      <c r="D2" s="64">
        <v>0</v>
      </c>
      <c r="E2" s="61">
        <v>8703.4577922077915</v>
      </c>
      <c r="F2" s="51">
        <v>1</v>
      </c>
      <c r="G2" s="75">
        <v>25000</v>
      </c>
      <c r="H2" s="75" t="s">
        <v>194</v>
      </c>
      <c r="I2" s="76">
        <v>750</v>
      </c>
      <c r="J2" s="76">
        <f>I2/(G2/1000)</f>
        <v>30</v>
      </c>
      <c r="K2" s="110">
        <f>(E2/F2)/G2</f>
        <v>0.34813831168831166</v>
      </c>
      <c r="L2" s="110">
        <f>(D2/F2)/G2</f>
        <v>0</v>
      </c>
      <c r="M2" s="111" t="s">
        <v>214</v>
      </c>
      <c r="N2" s="110">
        <f>K2*I2</f>
        <v>261.10373376623374</v>
      </c>
      <c r="O2" s="110">
        <f>L2*I2</f>
        <v>0</v>
      </c>
      <c r="AA2" s="34" t="s">
        <v>25</v>
      </c>
      <c r="AB2" s="34" t="s">
        <v>26</v>
      </c>
    </row>
    <row r="3" spans="1:28" x14ac:dyDescent="0.5">
      <c r="A3" s="58" t="s">
        <v>111</v>
      </c>
      <c r="B3" s="58" t="s">
        <v>179</v>
      </c>
      <c r="C3" s="59" t="s">
        <v>15</v>
      </c>
      <c r="D3" s="60">
        <v>20.400000000000002</v>
      </c>
      <c r="E3" s="61">
        <v>497.11150590150589</v>
      </c>
      <c r="F3" s="51">
        <v>1</v>
      </c>
      <c r="G3" s="75">
        <f>360</f>
        <v>360</v>
      </c>
      <c r="H3" s="75" t="s">
        <v>209</v>
      </c>
      <c r="I3" s="76">
        <v>156</v>
      </c>
      <c r="J3" s="76">
        <f>I3/(G3)</f>
        <v>0.43333333333333335</v>
      </c>
      <c r="K3" s="110">
        <f>(E3/F3)/G3</f>
        <v>1.3808652941708497</v>
      </c>
      <c r="L3" s="110">
        <f>(D3/F3)/G3</f>
        <v>5.6666666666666671E-2</v>
      </c>
      <c r="M3" s="111" t="s">
        <v>249</v>
      </c>
      <c r="N3" s="110">
        <f>K3*I3</f>
        <v>215.41498589065256</v>
      </c>
      <c r="O3" s="110">
        <f>L3*I3</f>
        <v>8.84</v>
      </c>
      <c r="AA3" s="35" t="s">
        <v>45</v>
      </c>
      <c r="AB3" s="36">
        <v>1</v>
      </c>
    </row>
    <row r="4" spans="1:28" x14ac:dyDescent="0.5">
      <c r="A4" s="62" t="s">
        <v>118</v>
      </c>
      <c r="B4" s="62" t="s">
        <v>179</v>
      </c>
      <c r="C4" s="63" t="s">
        <v>17</v>
      </c>
      <c r="D4" s="64">
        <v>0</v>
      </c>
      <c r="E4" s="61">
        <v>1832.5714285714287</v>
      </c>
      <c r="F4" s="51">
        <v>1</v>
      </c>
      <c r="G4" s="75">
        <v>5000</v>
      </c>
      <c r="H4" s="75" t="s">
        <v>197</v>
      </c>
      <c r="I4" s="76">
        <v>56.52</v>
      </c>
      <c r="J4" s="76">
        <f t="shared" ref="J4:J14" si="0">I4/(G4/1000)</f>
        <v>11.304</v>
      </c>
      <c r="K4" s="110">
        <f t="shared" ref="K4:K67" si="1">(E4/F4)/G4</f>
        <v>0.36651428571428574</v>
      </c>
      <c r="L4" s="110">
        <f t="shared" ref="L4:L67" si="2">(D4/F4)/G4</f>
        <v>0</v>
      </c>
      <c r="M4" s="111" t="s">
        <v>214</v>
      </c>
      <c r="N4" s="110">
        <f t="shared" ref="N4:N67" si="3">K4*I4</f>
        <v>20.715387428571432</v>
      </c>
      <c r="O4" s="110">
        <f t="shared" ref="O4:O67" si="4">L4*I4</f>
        <v>0</v>
      </c>
      <c r="AA4" s="35" t="s">
        <v>47</v>
      </c>
      <c r="AB4" s="36">
        <v>1</v>
      </c>
    </row>
    <row r="5" spans="1:28" x14ac:dyDescent="0.5">
      <c r="A5" s="58" t="s">
        <v>117</v>
      </c>
      <c r="B5" s="58" t="s">
        <v>179</v>
      </c>
      <c r="C5" s="59" t="s">
        <v>17</v>
      </c>
      <c r="D5" s="60">
        <v>7281.25</v>
      </c>
      <c r="E5" s="61">
        <v>26416.875</v>
      </c>
      <c r="F5" s="51">
        <v>1</v>
      </c>
      <c r="G5" s="75">
        <v>11000</v>
      </c>
      <c r="H5" s="75" t="s">
        <v>196</v>
      </c>
      <c r="I5" s="76">
        <v>149</v>
      </c>
      <c r="J5" s="76">
        <f t="shared" si="0"/>
        <v>13.545454545454545</v>
      </c>
      <c r="K5" s="110">
        <f t="shared" si="1"/>
        <v>2.4015340909090908</v>
      </c>
      <c r="L5" s="110">
        <f t="shared" si="2"/>
        <v>0.66193181818181823</v>
      </c>
      <c r="M5" s="111" t="s">
        <v>249</v>
      </c>
      <c r="N5" s="110">
        <f t="shared" si="3"/>
        <v>357.82857954545455</v>
      </c>
      <c r="O5" s="110">
        <f t="shared" si="4"/>
        <v>98.627840909090921</v>
      </c>
      <c r="AA5" s="35" t="s">
        <v>3</v>
      </c>
      <c r="AB5" s="36">
        <v>1</v>
      </c>
    </row>
    <row r="6" spans="1:28" x14ac:dyDescent="0.5">
      <c r="A6" s="62" t="s">
        <v>112</v>
      </c>
      <c r="B6" s="62" t="s">
        <v>179</v>
      </c>
      <c r="C6" s="63" t="s">
        <v>16</v>
      </c>
      <c r="D6" s="64">
        <v>0</v>
      </c>
      <c r="E6" s="61">
        <v>10513.523148148148</v>
      </c>
      <c r="F6" s="51">
        <v>1</v>
      </c>
      <c r="G6" s="75">
        <v>12000</v>
      </c>
      <c r="H6" s="75" t="s">
        <v>195</v>
      </c>
      <c r="I6" s="76">
        <v>50.44</v>
      </c>
      <c r="J6" s="76">
        <f t="shared" si="0"/>
        <v>4.2033333333333331</v>
      </c>
      <c r="K6" s="110">
        <f t="shared" si="1"/>
        <v>0.87612692901234568</v>
      </c>
      <c r="L6" s="110">
        <f t="shared" si="2"/>
        <v>0</v>
      </c>
      <c r="M6" s="111" t="s">
        <v>249</v>
      </c>
      <c r="N6" s="110">
        <f t="shared" si="3"/>
        <v>44.191842299382714</v>
      </c>
      <c r="O6" s="110">
        <f t="shared" si="4"/>
        <v>0</v>
      </c>
      <c r="AA6" s="35" t="s">
        <v>33</v>
      </c>
      <c r="AB6" s="36">
        <v>1</v>
      </c>
    </row>
    <row r="7" spans="1:28" x14ac:dyDescent="0.5">
      <c r="A7" s="58" t="s">
        <v>127</v>
      </c>
      <c r="B7" s="58" t="s">
        <v>179</v>
      </c>
      <c r="C7" s="59" t="s">
        <v>17</v>
      </c>
      <c r="D7" s="60">
        <v>0</v>
      </c>
      <c r="E7" s="61">
        <v>4479.9285714285716</v>
      </c>
      <c r="F7" s="51">
        <v>1</v>
      </c>
      <c r="G7" s="75">
        <v>10000</v>
      </c>
      <c r="H7" s="75" t="s">
        <v>211</v>
      </c>
      <c r="I7" s="76">
        <v>140</v>
      </c>
      <c r="J7" s="76">
        <f t="shared" si="0"/>
        <v>14</v>
      </c>
      <c r="K7" s="110">
        <f t="shared" si="1"/>
        <v>0.44799285714285714</v>
      </c>
      <c r="L7" s="110">
        <f t="shared" si="2"/>
        <v>0</v>
      </c>
      <c r="M7" s="111" t="s">
        <v>250</v>
      </c>
      <c r="N7" s="110">
        <f t="shared" si="3"/>
        <v>62.719000000000001</v>
      </c>
      <c r="O7" s="110">
        <f t="shared" si="4"/>
        <v>0</v>
      </c>
      <c r="AA7" s="35" t="s">
        <v>32</v>
      </c>
      <c r="AB7" s="36">
        <v>1</v>
      </c>
    </row>
    <row r="8" spans="1:28" x14ac:dyDescent="0.5">
      <c r="A8" s="62" t="s">
        <v>113</v>
      </c>
      <c r="B8" s="62" t="s">
        <v>179</v>
      </c>
      <c r="C8" s="63" t="s">
        <v>17</v>
      </c>
      <c r="D8" s="64">
        <v>0</v>
      </c>
      <c r="E8" s="61">
        <v>22740</v>
      </c>
      <c r="F8" s="51">
        <v>1</v>
      </c>
      <c r="G8" s="75">
        <v>9200</v>
      </c>
      <c r="H8" s="75" t="s">
        <v>199</v>
      </c>
      <c r="I8" s="76">
        <v>165</v>
      </c>
      <c r="J8" s="76">
        <f t="shared" si="0"/>
        <v>17.934782608695652</v>
      </c>
      <c r="K8" s="110">
        <f t="shared" si="1"/>
        <v>2.4717391304347824</v>
      </c>
      <c r="L8" s="110">
        <f t="shared" si="2"/>
        <v>0</v>
      </c>
      <c r="M8" s="111" t="s">
        <v>249</v>
      </c>
      <c r="N8" s="110">
        <f t="shared" si="3"/>
        <v>407.83695652173913</v>
      </c>
      <c r="O8" s="110">
        <f t="shared" si="4"/>
        <v>0</v>
      </c>
      <c r="AA8" s="35" t="s">
        <v>38</v>
      </c>
      <c r="AB8" s="36">
        <v>1</v>
      </c>
    </row>
    <row r="9" spans="1:28" x14ac:dyDescent="0.5">
      <c r="A9" s="58" t="s">
        <v>116</v>
      </c>
      <c r="B9" s="58" t="s">
        <v>179</v>
      </c>
      <c r="C9" s="59" t="s">
        <v>17</v>
      </c>
      <c r="D9" s="60">
        <v>0</v>
      </c>
      <c r="E9" s="61">
        <v>690</v>
      </c>
      <c r="F9" s="51">
        <v>1</v>
      </c>
      <c r="G9" s="75">
        <v>10000</v>
      </c>
      <c r="H9" s="75" t="s">
        <v>198</v>
      </c>
      <c r="I9" s="76">
        <v>66.959999999999994</v>
      </c>
      <c r="J9" s="76">
        <f t="shared" si="0"/>
        <v>6.6959999999999997</v>
      </c>
      <c r="K9" s="110">
        <f t="shared" si="1"/>
        <v>6.9000000000000006E-2</v>
      </c>
      <c r="L9" s="110">
        <f t="shared" si="2"/>
        <v>0</v>
      </c>
      <c r="M9" s="111" t="s">
        <v>214</v>
      </c>
      <c r="N9" s="110">
        <f t="shared" si="3"/>
        <v>4.6202399999999999</v>
      </c>
      <c r="O9" s="110">
        <f t="shared" si="4"/>
        <v>0</v>
      </c>
      <c r="AA9" s="35" t="s">
        <v>246</v>
      </c>
      <c r="AB9" s="36">
        <v>1</v>
      </c>
    </row>
    <row r="10" spans="1:28" x14ac:dyDescent="0.5">
      <c r="A10" s="62" t="s">
        <v>124</v>
      </c>
      <c r="B10" s="62" t="s">
        <v>179</v>
      </c>
      <c r="C10" s="63" t="s">
        <v>17</v>
      </c>
      <c r="D10" s="64">
        <v>0</v>
      </c>
      <c r="E10" s="61">
        <v>10737.625</v>
      </c>
      <c r="F10" s="51">
        <v>1</v>
      </c>
      <c r="G10" s="75">
        <f>1650*4</f>
        <v>6600</v>
      </c>
      <c r="H10" s="75" t="s">
        <v>212</v>
      </c>
      <c r="I10" s="76">
        <v>230</v>
      </c>
      <c r="J10" s="76">
        <f t="shared" si="0"/>
        <v>34.848484848484851</v>
      </c>
      <c r="K10" s="110">
        <f t="shared" si="1"/>
        <v>1.6269128787878788</v>
      </c>
      <c r="L10" s="110">
        <f t="shared" si="2"/>
        <v>0</v>
      </c>
      <c r="M10" s="111" t="s">
        <v>249</v>
      </c>
      <c r="N10" s="110">
        <f t="shared" si="3"/>
        <v>374.18996212121215</v>
      </c>
      <c r="O10" s="110">
        <f t="shared" si="4"/>
        <v>0</v>
      </c>
      <c r="AA10" s="35" t="s">
        <v>29</v>
      </c>
      <c r="AB10" s="36">
        <v>2</v>
      </c>
    </row>
    <row r="11" spans="1:28" x14ac:dyDescent="0.5">
      <c r="A11" s="58" t="s">
        <v>125</v>
      </c>
      <c r="B11" s="58" t="s">
        <v>179</v>
      </c>
      <c r="C11" s="59" t="s">
        <v>16</v>
      </c>
      <c r="D11" s="60">
        <v>0</v>
      </c>
      <c r="E11" s="61">
        <v>23962.962962962964</v>
      </c>
      <c r="F11" s="51">
        <v>1</v>
      </c>
      <c r="G11" s="75">
        <f>385*48</f>
        <v>18480</v>
      </c>
      <c r="H11" s="75" t="s">
        <v>219</v>
      </c>
      <c r="I11" s="76">
        <v>112</v>
      </c>
      <c r="J11" s="76">
        <f t="shared" si="0"/>
        <v>6.0606060606060606</v>
      </c>
      <c r="K11" s="110">
        <f t="shared" si="1"/>
        <v>1.2966971300304635</v>
      </c>
      <c r="L11" s="110">
        <f t="shared" si="2"/>
        <v>0</v>
      </c>
      <c r="M11" s="111" t="s">
        <v>249</v>
      </c>
      <c r="N11" s="110">
        <f t="shared" si="3"/>
        <v>145.23007856341192</v>
      </c>
      <c r="O11" s="110">
        <f t="shared" si="4"/>
        <v>0</v>
      </c>
      <c r="AA11" s="35" t="s">
        <v>31</v>
      </c>
      <c r="AB11" s="36">
        <v>2</v>
      </c>
    </row>
    <row r="12" spans="1:28" x14ac:dyDescent="0.5">
      <c r="A12" s="62" t="s">
        <v>122</v>
      </c>
      <c r="B12" s="62" t="s">
        <v>179</v>
      </c>
      <c r="C12" s="63" t="s">
        <v>17</v>
      </c>
      <c r="D12" s="64">
        <v>0</v>
      </c>
      <c r="E12" s="61">
        <v>17881.611111111113</v>
      </c>
      <c r="F12" s="51">
        <v>1</v>
      </c>
      <c r="G12" s="75">
        <v>12000</v>
      </c>
      <c r="H12" s="75" t="s">
        <v>213</v>
      </c>
      <c r="I12" s="76">
        <v>130</v>
      </c>
      <c r="J12" s="76">
        <f t="shared" si="0"/>
        <v>10.833333333333334</v>
      </c>
      <c r="K12" s="110">
        <f t="shared" si="1"/>
        <v>1.4901342592592595</v>
      </c>
      <c r="L12" s="110">
        <f t="shared" si="2"/>
        <v>0</v>
      </c>
      <c r="M12" s="111" t="s">
        <v>249</v>
      </c>
      <c r="N12" s="110">
        <f t="shared" si="3"/>
        <v>193.71745370370374</v>
      </c>
      <c r="O12" s="110">
        <f t="shared" si="4"/>
        <v>0</v>
      </c>
      <c r="AA12" s="35" t="s">
        <v>42</v>
      </c>
      <c r="AB12" s="36">
        <v>2</v>
      </c>
    </row>
    <row r="13" spans="1:28" x14ac:dyDescent="0.5">
      <c r="A13" s="58" t="s">
        <v>123</v>
      </c>
      <c r="B13" s="58" t="s">
        <v>179</v>
      </c>
      <c r="C13" s="59" t="s">
        <v>17</v>
      </c>
      <c r="D13" s="60">
        <v>1941.6666666666667</v>
      </c>
      <c r="E13" s="61">
        <v>4462.5</v>
      </c>
      <c r="F13" s="51">
        <v>1</v>
      </c>
      <c r="G13" s="75">
        <v>10000</v>
      </c>
      <c r="H13" s="75" t="s">
        <v>211</v>
      </c>
      <c r="I13" s="76">
        <v>142</v>
      </c>
      <c r="J13" s="76">
        <f t="shared" si="0"/>
        <v>14.2</v>
      </c>
      <c r="K13" s="110">
        <f t="shared" si="1"/>
        <v>0.44624999999999998</v>
      </c>
      <c r="L13" s="110">
        <f t="shared" si="2"/>
        <v>0.19416666666666668</v>
      </c>
      <c r="M13" s="111" t="s">
        <v>250</v>
      </c>
      <c r="N13" s="110">
        <f t="shared" si="3"/>
        <v>63.3675</v>
      </c>
      <c r="O13" s="110">
        <f t="shared" si="4"/>
        <v>27.571666666666669</v>
      </c>
      <c r="AA13" s="35" t="s">
        <v>28</v>
      </c>
      <c r="AB13" s="36">
        <v>2</v>
      </c>
    </row>
    <row r="14" spans="1:28" x14ac:dyDescent="0.5">
      <c r="A14" s="62" t="s">
        <v>126</v>
      </c>
      <c r="B14" s="62" t="s">
        <v>179</v>
      </c>
      <c r="C14" s="63" t="s">
        <v>17</v>
      </c>
      <c r="D14" s="64">
        <v>0</v>
      </c>
      <c r="E14" s="61">
        <v>1610</v>
      </c>
      <c r="F14" s="51">
        <v>1</v>
      </c>
      <c r="G14" s="75">
        <v>5000</v>
      </c>
      <c r="H14" s="75" t="s">
        <v>232</v>
      </c>
      <c r="I14" s="76">
        <v>100</v>
      </c>
      <c r="J14" s="76">
        <f t="shared" si="0"/>
        <v>20</v>
      </c>
      <c r="K14" s="110">
        <f t="shared" si="1"/>
        <v>0.32200000000000001</v>
      </c>
      <c r="L14" s="110">
        <f t="shared" si="2"/>
        <v>0</v>
      </c>
      <c r="M14" s="111" t="s">
        <v>250</v>
      </c>
      <c r="N14" s="110">
        <f t="shared" si="3"/>
        <v>32.200000000000003</v>
      </c>
      <c r="O14" s="110">
        <f t="shared" si="4"/>
        <v>0</v>
      </c>
      <c r="AA14" s="35" t="s">
        <v>254</v>
      </c>
      <c r="AB14" s="36">
        <v>2</v>
      </c>
    </row>
    <row r="15" spans="1:28" x14ac:dyDescent="0.5">
      <c r="A15" s="38"/>
      <c r="B15" s="39"/>
      <c r="C15" s="39"/>
      <c r="D15" s="49"/>
      <c r="E15" s="49"/>
      <c r="F15" s="49"/>
      <c r="G15" s="49"/>
      <c r="H15" s="49"/>
      <c r="I15" s="49"/>
      <c r="J15" s="49"/>
      <c r="K15" s="110"/>
      <c r="L15" s="110"/>
      <c r="M15" s="112"/>
      <c r="N15" s="110">
        <f t="shared" si="3"/>
        <v>0</v>
      </c>
      <c r="O15" s="110">
        <f t="shared" si="4"/>
        <v>0</v>
      </c>
      <c r="AA15" s="35" t="s">
        <v>58</v>
      </c>
      <c r="AB15" s="36">
        <v>3</v>
      </c>
    </row>
    <row r="16" spans="1:28" x14ac:dyDescent="0.5">
      <c r="A16" s="58" t="s">
        <v>170</v>
      </c>
      <c r="B16" s="58" t="s">
        <v>187</v>
      </c>
      <c r="C16" s="59" t="s">
        <v>17</v>
      </c>
      <c r="D16" s="60">
        <v>0</v>
      </c>
      <c r="E16" s="61">
        <v>8792.4203296703308</v>
      </c>
      <c r="F16" s="51">
        <v>1</v>
      </c>
      <c r="G16" s="52">
        <v>17000</v>
      </c>
      <c r="H16" s="52" t="s">
        <v>241</v>
      </c>
      <c r="I16" s="53">
        <f>100</f>
        <v>100</v>
      </c>
      <c r="J16" s="53">
        <f>I16/(G16/1000)</f>
        <v>5.882352941176471</v>
      </c>
      <c r="K16" s="110">
        <f t="shared" si="1"/>
        <v>0.51720119586296065</v>
      </c>
      <c r="L16" s="110">
        <f t="shared" si="2"/>
        <v>0</v>
      </c>
      <c r="M16" s="111" t="s">
        <v>214</v>
      </c>
      <c r="N16" s="110">
        <f t="shared" si="3"/>
        <v>51.720119586296065</v>
      </c>
      <c r="O16" s="110">
        <f t="shared" si="4"/>
        <v>0</v>
      </c>
      <c r="AA16" s="35" t="s">
        <v>59</v>
      </c>
      <c r="AB16" s="36">
        <v>3</v>
      </c>
    </row>
    <row r="17" spans="1:28" x14ac:dyDescent="0.5">
      <c r="A17" s="62" t="s">
        <v>168</v>
      </c>
      <c r="B17" s="62" t="s">
        <v>187</v>
      </c>
      <c r="C17" s="63" t="s">
        <v>16</v>
      </c>
      <c r="D17" s="64">
        <v>0</v>
      </c>
      <c r="E17" s="61">
        <v>76</v>
      </c>
      <c r="F17" s="51">
        <v>1</v>
      </c>
      <c r="G17" s="52">
        <v>10000</v>
      </c>
      <c r="H17" s="52" t="s">
        <v>201</v>
      </c>
      <c r="I17" s="53">
        <v>155</v>
      </c>
      <c r="J17" s="53">
        <f>I17/(G17/1000)</f>
        <v>15.5</v>
      </c>
      <c r="K17" s="110">
        <f t="shared" si="1"/>
        <v>7.6E-3</v>
      </c>
      <c r="L17" s="110">
        <f t="shared" si="2"/>
        <v>0</v>
      </c>
      <c r="M17" s="111" t="s">
        <v>251</v>
      </c>
      <c r="N17" s="110">
        <f t="shared" si="3"/>
        <v>1.1779999999999999</v>
      </c>
      <c r="O17" s="110">
        <f t="shared" si="4"/>
        <v>0</v>
      </c>
      <c r="AA17" s="35" t="s">
        <v>60</v>
      </c>
      <c r="AB17" s="36">
        <v>3</v>
      </c>
    </row>
    <row r="18" spans="1:28" x14ac:dyDescent="0.5">
      <c r="A18" s="58" t="s">
        <v>120</v>
      </c>
      <c r="B18" s="58" t="s">
        <v>187</v>
      </c>
      <c r="C18" s="59" t="s">
        <v>16</v>
      </c>
      <c r="D18" s="60">
        <v>0</v>
      </c>
      <c r="E18" s="61">
        <v>4201.2153846153851</v>
      </c>
      <c r="F18" s="51">
        <v>1</v>
      </c>
      <c r="G18" s="52">
        <v>1000</v>
      </c>
      <c r="H18" s="52" t="s">
        <v>214</v>
      </c>
      <c r="I18" s="53">
        <v>0</v>
      </c>
      <c r="J18" s="53">
        <v>0</v>
      </c>
      <c r="K18" s="110">
        <f t="shared" si="1"/>
        <v>4.2012153846153852</v>
      </c>
      <c r="L18" s="110">
        <f t="shared" si="2"/>
        <v>0</v>
      </c>
      <c r="M18" s="111" t="s">
        <v>214</v>
      </c>
      <c r="N18" s="110">
        <f t="shared" si="3"/>
        <v>0</v>
      </c>
      <c r="O18" s="110">
        <f t="shared" si="4"/>
        <v>0</v>
      </c>
      <c r="AA18" s="35" t="s">
        <v>41</v>
      </c>
      <c r="AB18" s="36">
        <v>3</v>
      </c>
    </row>
    <row r="19" spans="1:28" x14ac:dyDescent="0.5">
      <c r="A19" s="38"/>
      <c r="B19" s="39"/>
      <c r="C19" s="39"/>
      <c r="D19" s="49"/>
      <c r="E19" s="49"/>
      <c r="F19" s="49"/>
      <c r="G19" s="49"/>
      <c r="H19" s="49"/>
      <c r="I19" s="49"/>
      <c r="J19" s="49"/>
      <c r="K19" s="110"/>
      <c r="L19" s="110"/>
      <c r="M19" s="112"/>
      <c r="N19" s="110">
        <f t="shared" si="3"/>
        <v>0</v>
      </c>
      <c r="O19" s="110">
        <f t="shared" si="4"/>
        <v>0</v>
      </c>
      <c r="AA19" s="35" t="s">
        <v>44</v>
      </c>
      <c r="AB19" s="36">
        <v>3</v>
      </c>
    </row>
    <row r="20" spans="1:28" x14ac:dyDescent="0.5">
      <c r="A20" s="58" t="s">
        <v>160</v>
      </c>
      <c r="B20" s="58" t="s">
        <v>181</v>
      </c>
      <c r="C20" s="59" t="s">
        <v>17</v>
      </c>
      <c r="D20" s="60">
        <v>0</v>
      </c>
      <c r="E20" s="61">
        <v>41.053571428571431</v>
      </c>
      <c r="F20" s="51">
        <v>1</v>
      </c>
      <c r="G20" s="52">
        <v>1000</v>
      </c>
      <c r="H20" s="52" t="s">
        <v>193</v>
      </c>
      <c r="I20" s="53">
        <v>107</v>
      </c>
      <c r="J20" s="53">
        <f>I20/(G20/1000)</f>
        <v>107</v>
      </c>
      <c r="K20" s="110">
        <f t="shared" si="1"/>
        <v>4.1053571428571432E-2</v>
      </c>
      <c r="L20" s="110">
        <f t="shared" si="2"/>
        <v>0</v>
      </c>
      <c r="M20" s="111" t="s">
        <v>214</v>
      </c>
      <c r="N20" s="110">
        <f t="shared" si="3"/>
        <v>4.3927321428571435</v>
      </c>
      <c r="O20" s="110">
        <f t="shared" si="4"/>
        <v>0</v>
      </c>
      <c r="AA20" s="35" t="s">
        <v>35</v>
      </c>
      <c r="AB20" s="36">
        <v>3</v>
      </c>
    </row>
    <row r="21" spans="1:28" x14ac:dyDescent="0.5">
      <c r="A21" s="62" t="s">
        <v>159</v>
      </c>
      <c r="B21" s="62" t="s">
        <v>181</v>
      </c>
      <c r="C21" s="63" t="s">
        <v>17</v>
      </c>
      <c r="D21" s="64">
        <v>0</v>
      </c>
      <c r="E21" s="61">
        <v>41.053571428571431</v>
      </c>
      <c r="F21" s="51">
        <v>1</v>
      </c>
      <c r="G21" s="52">
        <v>1000</v>
      </c>
      <c r="H21" s="52" t="s">
        <v>193</v>
      </c>
      <c r="I21" s="53">
        <v>14</v>
      </c>
      <c r="J21" s="53">
        <f>I21/(G21/1000)</f>
        <v>14</v>
      </c>
      <c r="K21" s="110">
        <f t="shared" si="1"/>
        <v>4.1053571428571432E-2</v>
      </c>
      <c r="L21" s="110">
        <f t="shared" si="2"/>
        <v>0</v>
      </c>
      <c r="M21" s="111" t="s">
        <v>214</v>
      </c>
      <c r="N21" s="110">
        <f t="shared" si="3"/>
        <v>0.57475000000000009</v>
      </c>
      <c r="O21" s="110">
        <f t="shared" si="4"/>
        <v>0</v>
      </c>
      <c r="AA21" s="35" t="s">
        <v>258</v>
      </c>
      <c r="AB21" s="36">
        <v>3</v>
      </c>
    </row>
    <row r="22" spans="1:28" x14ac:dyDescent="0.5">
      <c r="A22" s="58" t="s">
        <v>135</v>
      </c>
      <c r="B22" s="58" t="s">
        <v>181</v>
      </c>
      <c r="C22" s="59" t="s">
        <v>17</v>
      </c>
      <c r="D22" s="60">
        <v>0</v>
      </c>
      <c r="E22" s="61">
        <v>36.606481481481481</v>
      </c>
      <c r="F22" s="51">
        <v>1</v>
      </c>
      <c r="G22" s="52">
        <v>50000</v>
      </c>
      <c r="H22" s="52" t="s">
        <v>192</v>
      </c>
      <c r="I22" s="53">
        <v>37</v>
      </c>
      <c r="J22" s="53">
        <f>I22/(G22/1000)</f>
        <v>0.74</v>
      </c>
      <c r="K22" s="110">
        <f t="shared" si="1"/>
        <v>7.3212962962962967E-4</v>
      </c>
      <c r="L22" s="110">
        <f t="shared" si="2"/>
        <v>0</v>
      </c>
      <c r="M22" s="111" t="s">
        <v>214</v>
      </c>
      <c r="N22" s="110">
        <f t="shared" si="3"/>
        <v>2.7088796296296298E-2</v>
      </c>
      <c r="O22" s="110">
        <f t="shared" si="4"/>
        <v>0</v>
      </c>
      <c r="AA22" s="35" t="s">
        <v>43</v>
      </c>
      <c r="AB22" s="36">
        <v>4</v>
      </c>
    </row>
    <row r="23" spans="1:28" x14ac:dyDescent="0.5">
      <c r="A23" s="62" t="s">
        <v>114</v>
      </c>
      <c r="B23" s="62" t="s">
        <v>181</v>
      </c>
      <c r="C23" s="63" t="s">
        <v>17</v>
      </c>
      <c r="D23" s="64">
        <v>0</v>
      </c>
      <c r="E23" s="61">
        <v>24.625</v>
      </c>
      <c r="F23" s="51">
        <v>1</v>
      </c>
      <c r="G23" s="52">
        <v>1000</v>
      </c>
      <c r="H23" s="52" t="s">
        <v>193</v>
      </c>
      <c r="I23" s="53">
        <v>47</v>
      </c>
      <c r="J23" s="53">
        <f>I23/(G23/1000)</f>
        <v>47</v>
      </c>
      <c r="K23" s="110">
        <f t="shared" si="1"/>
        <v>2.4625000000000001E-2</v>
      </c>
      <c r="L23" s="110">
        <f t="shared" si="2"/>
        <v>0</v>
      </c>
      <c r="M23" s="111" t="s">
        <v>214</v>
      </c>
      <c r="N23" s="110">
        <f t="shared" si="3"/>
        <v>1.157375</v>
      </c>
      <c r="O23" s="110">
        <f t="shared" si="4"/>
        <v>0</v>
      </c>
      <c r="AA23" s="35" t="s">
        <v>61</v>
      </c>
      <c r="AB23" s="36">
        <v>4</v>
      </c>
    </row>
    <row r="24" spans="1:28" x14ac:dyDescent="0.5">
      <c r="A24" s="65" t="s">
        <v>162</v>
      </c>
      <c r="B24" s="72" t="s">
        <v>181</v>
      </c>
      <c r="C24" s="73" t="s">
        <v>17</v>
      </c>
      <c r="D24" s="74">
        <v>0</v>
      </c>
      <c r="E24" s="68">
        <v>24.625</v>
      </c>
      <c r="F24" s="51">
        <v>1</v>
      </c>
      <c r="G24" s="52">
        <v>1000</v>
      </c>
      <c r="H24" s="52" t="s">
        <v>193</v>
      </c>
      <c r="I24" s="53">
        <v>31</v>
      </c>
      <c r="J24" s="53">
        <f>I24/(G24/1000)</f>
        <v>31</v>
      </c>
      <c r="K24" s="110">
        <f t="shared" si="1"/>
        <v>2.4625000000000001E-2</v>
      </c>
      <c r="L24" s="110">
        <f t="shared" si="2"/>
        <v>0</v>
      </c>
      <c r="M24" s="111" t="s">
        <v>214</v>
      </c>
      <c r="N24" s="110">
        <f t="shared" si="3"/>
        <v>0.76337500000000003</v>
      </c>
      <c r="O24" s="110">
        <f t="shared" si="4"/>
        <v>0</v>
      </c>
      <c r="AA24" s="35" t="s">
        <v>39</v>
      </c>
      <c r="AB24" s="36">
        <v>4</v>
      </c>
    </row>
    <row r="25" spans="1:28" x14ac:dyDescent="0.5">
      <c r="A25" s="38"/>
      <c r="B25" s="39"/>
      <c r="C25" s="39"/>
      <c r="D25" s="49"/>
      <c r="E25" s="49"/>
      <c r="F25" s="49"/>
      <c r="G25" s="49"/>
      <c r="H25" s="49"/>
      <c r="I25" s="49"/>
      <c r="J25" s="49"/>
      <c r="K25" s="110"/>
      <c r="L25" s="110"/>
      <c r="M25" s="112"/>
      <c r="N25" s="110">
        <f t="shared" si="3"/>
        <v>0</v>
      </c>
      <c r="O25" s="110">
        <f t="shared" si="4"/>
        <v>0</v>
      </c>
      <c r="AA25" s="35" t="s">
        <v>261</v>
      </c>
      <c r="AB25" s="36">
        <v>4</v>
      </c>
    </row>
    <row r="26" spans="1:28" x14ac:dyDescent="0.5">
      <c r="A26" s="62" t="s">
        <v>151</v>
      </c>
      <c r="B26" s="62" t="s">
        <v>184</v>
      </c>
      <c r="C26" s="63" t="s">
        <v>17</v>
      </c>
      <c r="D26" s="64">
        <v>0</v>
      </c>
      <c r="E26" s="61">
        <v>98.571428571428569</v>
      </c>
      <c r="F26" s="51">
        <v>1</v>
      </c>
      <c r="G26" s="52">
        <v>1000</v>
      </c>
      <c r="H26" s="53" t="s">
        <v>214</v>
      </c>
      <c r="I26" s="53">
        <v>10</v>
      </c>
      <c r="J26" s="52">
        <f>I26/(G26/1000)</f>
        <v>10</v>
      </c>
      <c r="K26" s="110">
        <f t="shared" si="1"/>
        <v>9.8571428571428574E-2</v>
      </c>
      <c r="L26" s="110">
        <f t="shared" si="2"/>
        <v>0</v>
      </c>
      <c r="M26" s="111" t="s">
        <v>214</v>
      </c>
      <c r="N26" s="110">
        <f t="shared" si="3"/>
        <v>0.98571428571428577</v>
      </c>
      <c r="O26" s="110">
        <f t="shared" si="4"/>
        <v>0</v>
      </c>
      <c r="AA26" s="35" t="s">
        <v>34</v>
      </c>
      <c r="AB26" s="36">
        <v>5</v>
      </c>
    </row>
    <row r="27" spans="1:28" x14ac:dyDescent="0.5">
      <c r="A27" s="58" t="s">
        <v>150</v>
      </c>
      <c r="B27" s="58" t="s">
        <v>184</v>
      </c>
      <c r="C27" s="59" t="s">
        <v>17</v>
      </c>
      <c r="D27" s="60">
        <v>0</v>
      </c>
      <c r="E27" s="61">
        <v>23.962962962962962</v>
      </c>
      <c r="F27" s="51">
        <v>1</v>
      </c>
      <c r="G27" s="52">
        <f>12*60</f>
        <v>720</v>
      </c>
      <c r="H27" s="52" t="s">
        <v>215</v>
      </c>
      <c r="I27" s="53">
        <v>18.91</v>
      </c>
      <c r="J27" s="53">
        <f>I27/(G27/1000)</f>
        <v>26.263888888888889</v>
      </c>
      <c r="K27" s="110">
        <f t="shared" si="1"/>
        <v>3.3281893004115222E-2</v>
      </c>
      <c r="L27" s="110">
        <f t="shared" si="2"/>
        <v>0</v>
      </c>
      <c r="M27" s="111" t="s">
        <v>214</v>
      </c>
      <c r="N27" s="110">
        <f t="shared" si="3"/>
        <v>0.62936059670781885</v>
      </c>
      <c r="O27" s="110">
        <f t="shared" si="4"/>
        <v>0</v>
      </c>
      <c r="AA27" s="35" t="s">
        <v>36</v>
      </c>
      <c r="AB27" s="36">
        <v>5</v>
      </c>
    </row>
    <row r="28" spans="1:28" x14ac:dyDescent="0.5">
      <c r="A28" s="62" t="s">
        <v>131</v>
      </c>
      <c r="B28" s="62" t="s">
        <v>184</v>
      </c>
      <c r="C28" s="63" t="s">
        <v>17</v>
      </c>
      <c r="D28" s="64">
        <v>29.142857142857142</v>
      </c>
      <c r="E28" s="61">
        <v>462.62962962962956</v>
      </c>
      <c r="F28" s="51">
        <v>1</v>
      </c>
      <c r="G28" s="52">
        <f>12*20*12</f>
        <v>2880</v>
      </c>
      <c r="H28" s="52" t="s">
        <v>216</v>
      </c>
      <c r="I28" s="53">
        <f>70</f>
        <v>70</v>
      </c>
      <c r="J28" s="53">
        <f>I28/(G28/1000)</f>
        <v>24.305555555555557</v>
      </c>
      <c r="K28" s="110">
        <f t="shared" si="1"/>
        <v>0.1606352880658436</v>
      </c>
      <c r="L28" s="110">
        <f t="shared" si="2"/>
        <v>1.011904761904762E-2</v>
      </c>
      <c r="M28" s="111" t="s">
        <v>249</v>
      </c>
      <c r="N28" s="110">
        <f t="shared" si="3"/>
        <v>11.244470164609051</v>
      </c>
      <c r="O28" s="110">
        <f t="shared" si="4"/>
        <v>0.70833333333333337</v>
      </c>
      <c r="AA28" s="35" t="s">
        <v>40</v>
      </c>
      <c r="AB28" s="36">
        <v>5</v>
      </c>
    </row>
    <row r="29" spans="1:28" x14ac:dyDescent="0.5">
      <c r="A29" s="58" t="s">
        <v>152</v>
      </c>
      <c r="B29" s="58" t="s">
        <v>184</v>
      </c>
      <c r="C29" s="59" t="s">
        <v>17</v>
      </c>
      <c r="D29" s="60">
        <v>0</v>
      </c>
      <c r="E29" s="61">
        <v>32.200000000000003</v>
      </c>
      <c r="F29" s="51">
        <v>1</v>
      </c>
      <c r="G29" s="52">
        <v>1000</v>
      </c>
      <c r="H29" s="52" t="s">
        <v>214</v>
      </c>
      <c r="I29" s="53">
        <v>93</v>
      </c>
      <c r="J29" s="53">
        <f>I29/(G29/1000)</f>
        <v>93</v>
      </c>
      <c r="K29" s="110">
        <f t="shared" si="1"/>
        <v>3.2199999999999999E-2</v>
      </c>
      <c r="L29" s="110">
        <f t="shared" si="2"/>
        <v>0</v>
      </c>
      <c r="M29" s="111" t="s">
        <v>214</v>
      </c>
      <c r="N29" s="110">
        <f t="shared" si="3"/>
        <v>2.9946000000000002</v>
      </c>
      <c r="O29" s="110">
        <f t="shared" si="4"/>
        <v>0</v>
      </c>
      <c r="AA29" s="35" t="s">
        <v>260</v>
      </c>
      <c r="AB29" s="36">
        <v>5</v>
      </c>
    </row>
    <row r="30" spans="1:28" x14ac:dyDescent="0.5">
      <c r="A30" s="62" t="s">
        <v>228</v>
      </c>
      <c r="B30" s="62" t="s">
        <v>184</v>
      </c>
      <c r="C30" s="63" t="s">
        <v>17</v>
      </c>
      <c r="D30" s="64">
        <v>0</v>
      </c>
      <c r="E30" s="61">
        <v>86.45809523809524</v>
      </c>
      <c r="F30" s="51">
        <v>1</v>
      </c>
      <c r="G30" s="52">
        <v>100</v>
      </c>
      <c r="H30" s="52" t="s">
        <v>217</v>
      </c>
      <c r="I30" s="53">
        <v>2.25</v>
      </c>
      <c r="J30" s="53">
        <f t="shared" ref="J30" si="5">I30/(G30/1000)</f>
        <v>22.5</v>
      </c>
      <c r="K30" s="110">
        <f t="shared" si="1"/>
        <v>0.86458095238095245</v>
      </c>
      <c r="L30" s="110">
        <f t="shared" si="2"/>
        <v>0</v>
      </c>
      <c r="M30" s="111" t="s">
        <v>251</v>
      </c>
      <c r="N30" s="110">
        <f t="shared" si="3"/>
        <v>1.9453071428571431</v>
      </c>
      <c r="O30" s="110">
        <f t="shared" si="4"/>
        <v>0</v>
      </c>
      <c r="AA30" s="35" t="s">
        <v>46</v>
      </c>
      <c r="AB30" s="36">
        <v>6</v>
      </c>
    </row>
    <row r="31" spans="1:28" x14ac:dyDescent="0.5">
      <c r="A31" s="58" t="s">
        <v>132</v>
      </c>
      <c r="B31" s="58" t="s">
        <v>184</v>
      </c>
      <c r="C31" s="59" t="s">
        <v>17</v>
      </c>
      <c r="D31" s="60">
        <v>72.857142857142861</v>
      </c>
      <c r="E31" s="61">
        <v>392.85714285714289</v>
      </c>
      <c r="F31" s="51">
        <v>1</v>
      </c>
      <c r="G31" s="52">
        <v>10000</v>
      </c>
      <c r="H31" s="52" t="s">
        <v>200</v>
      </c>
      <c r="I31" s="53">
        <v>79</v>
      </c>
      <c r="J31" s="53">
        <f>I31/(G31/1000)</f>
        <v>7.9</v>
      </c>
      <c r="K31" s="110">
        <f t="shared" si="1"/>
        <v>3.9285714285714292E-2</v>
      </c>
      <c r="L31" s="110">
        <f t="shared" si="2"/>
        <v>7.285714285714286E-3</v>
      </c>
      <c r="M31" s="111" t="s">
        <v>249</v>
      </c>
      <c r="N31" s="110">
        <f t="shared" si="3"/>
        <v>3.1035714285714291</v>
      </c>
      <c r="O31" s="110">
        <f t="shared" si="4"/>
        <v>0.57557142857142862</v>
      </c>
      <c r="AA31" s="35" t="s">
        <v>37</v>
      </c>
      <c r="AB31" s="36">
        <v>6</v>
      </c>
    </row>
    <row r="32" spans="1:28" x14ac:dyDescent="0.5">
      <c r="A32" s="62" t="s">
        <v>149</v>
      </c>
      <c r="B32" s="62" t="s">
        <v>184</v>
      </c>
      <c r="C32" s="63" t="s">
        <v>17</v>
      </c>
      <c r="D32" s="64">
        <v>0</v>
      </c>
      <c r="E32" s="61">
        <v>23.962962962962962</v>
      </c>
      <c r="F32" s="51">
        <v>1</v>
      </c>
      <c r="G32" s="52">
        <f>5*6</f>
        <v>30</v>
      </c>
      <c r="H32" s="52" t="s">
        <v>218</v>
      </c>
      <c r="I32" s="53">
        <v>280</v>
      </c>
      <c r="J32" s="52">
        <f>I32/(G32/1000)</f>
        <v>9333.3333333333339</v>
      </c>
      <c r="K32" s="110">
        <f t="shared" si="1"/>
        <v>0.79876543209876538</v>
      </c>
      <c r="L32" s="110">
        <f t="shared" si="2"/>
        <v>0</v>
      </c>
      <c r="M32" s="111" t="s">
        <v>249</v>
      </c>
      <c r="N32" s="110">
        <f t="shared" si="3"/>
        <v>223.6543209876543</v>
      </c>
      <c r="O32" s="110">
        <f t="shared" si="4"/>
        <v>0</v>
      </c>
      <c r="AA32" s="35" t="s">
        <v>62</v>
      </c>
      <c r="AB32" s="36">
        <v>6</v>
      </c>
    </row>
    <row r="33" spans="1:28" x14ac:dyDescent="0.5">
      <c r="A33" s="38"/>
      <c r="B33" s="39"/>
      <c r="C33" s="39"/>
      <c r="D33" s="49"/>
      <c r="E33" s="49"/>
      <c r="F33" s="49"/>
      <c r="G33" s="49"/>
      <c r="H33" s="49"/>
      <c r="I33" s="49"/>
      <c r="J33" s="49"/>
      <c r="K33" s="110"/>
      <c r="L33" s="110"/>
      <c r="M33" s="113"/>
      <c r="N33" s="110">
        <f t="shared" si="3"/>
        <v>0</v>
      </c>
      <c r="O33" s="110">
        <f t="shared" si="4"/>
        <v>0</v>
      </c>
      <c r="AA33" s="35" t="s">
        <v>259</v>
      </c>
      <c r="AB33" s="36">
        <v>6</v>
      </c>
    </row>
    <row r="34" spans="1:28" x14ac:dyDescent="0.5">
      <c r="A34" s="62" t="s">
        <v>171</v>
      </c>
      <c r="B34" s="62" t="s">
        <v>188</v>
      </c>
      <c r="C34" s="63" t="s">
        <v>17</v>
      </c>
      <c r="D34" s="64">
        <v>0</v>
      </c>
      <c r="E34" s="61">
        <v>472</v>
      </c>
      <c r="F34" s="51">
        <v>1</v>
      </c>
      <c r="G34" s="52">
        <f>6*2000</f>
        <v>12000</v>
      </c>
      <c r="H34" s="52" t="s">
        <v>207</v>
      </c>
      <c r="I34" s="53">
        <v>125</v>
      </c>
      <c r="J34" s="53">
        <f>I34/(G34/1000)</f>
        <v>10.416666666666666</v>
      </c>
      <c r="K34" s="110">
        <f t="shared" si="1"/>
        <v>3.9333333333333331E-2</v>
      </c>
      <c r="L34" s="110">
        <f t="shared" si="2"/>
        <v>0</v>
      </c>
      <c r="M34" s="111" t="s">
        <v>249</v>
      </c>
      <c r="N34" s="110">
        <f t="shared" si="3"/>
        <v>4.9166666666666661</v>
      </c>
      <c r="O34" s="110">
        <f t="shared" si="4"/>
        <v>0</v>
      </c>
    </row>
    <row r="35" spans="1:28" x14ac:dyDescent="0.5">
      <c r="A35" s="65" t="s">
        <v>172</v>
      </c>
      <c r="B35" s="58" t="s">
        <v>188</v>
      </c>
      <c r="C35" s="78" t="s">
        <v>17</v>
      </c>
      <c r="D35" s="79">
        <v>0</v>
      </c>
      <c r="E35" s="61">
        <v>472</v>
      </c>
      <c r="F35" s="51">
        <v>1</v>
      </c>
      <c r="G35" s="52">
        <f>6*3300</f>
        <v>19800</v>
      </c>
      <c r="H35" s="52" t="s">
        <v>220</v>
      </c>
      <c r="I35" s="53">
        <f>130.45</f>
        <v>130.44999999999999</v>
      </c>
      <c r="J35" s="53">
        <f>I35/(G35/1000)</f>
        <v>6.5883838383838373</v>
      </c>
      <c r="K35" s="110">
        <f t="shared" si="1"/>
        <v>2.3838383838383839E-2</v>
      </c>
      <c r="L35" s="110">
        <f t="shared" si="2"/>
        <v>0</v>
      </c>
      <c r="M35" s="111" t="s">
        <v>249</v>
      </c>
      <c r="N35" s="110">
        <f t="shared" si="3"/>
        <v>3.1097171717171714</v>
      </c>
      <c r="O35" s="110">
        <f t="shared" si="4"/>
        <v>0</v>
      </c>
    </row>
    <row r="36" spans="1:28" x14ac:dyDescent="0.5">
      <c r="A36" s="62" t="s">
        <v>146</v>
      </c>
      <c r="B36" s="62" t="s">
        <v>188</v>
      </c>
      <c r="C36" s="63" t="s">
        <v>17</v>
      </c>
      <c r="D36" s="64">
        <v>0</v>
      </c>
      <c r="E36" s="61">
        <v>543.75</v>
      </c>
      <c r="F36" s="51">
        <v>1</v>
      </c>
      <c r="G36" s="52">
        <f>16*350</f>
        <v>5600</v>
      </c>
      <c r="H36" s="52" t="s">
        <v>240</v>
      </c>
      <c r="I36" s="53">
        <f>286.96</f>
        <v>286.95999999999998</v>
      </c>
      <c r="J36" s="53">
        <f>I36/(G36/1000)</f>
        <v>51.24285714285714</v>
      </c>
      <c r="K36" s="110">
        <f t="shared" si="1"/>
        <v>9.7098214285714288E-2</v>
      </c>
      <c r="L36" s="110">
        <f t="shared" si="2"/>
        <v>0</v>
      </c>
      <c r="M36" s="111" t="s">
        <v>249</v>
      </c>
      <c r="N36" s="110">
        <f t="shared" si="3"/>
        <v>27.86330357142857</v>
      </c>
      <c r="O36" s="110">
        <f t="shared" si="4"/>
        <v>0</v>
      </c>
    </row>
    <row r="37" spans="1:28" x14ac:dyDescent="0.5">
      <c r="A37" s="38"/>
      <c r="B37" s="39"/>
      <c r="C37" s="39"/>
      <c r="D37" s="49"/>
      <c r="E37" s="49"/>
      <c r="F37" s="49"/>
      <c r="G37" s="49"/>
      <c r="H37" s="49"/>
      <c r="I37" s="49"/>
      <c r="J37" s="49"/>
      <c r="K37" s="110"/>
      <c r="L37" s="110"/>
      <c r="M37" s="112"/>
      <c r="N37" s="110">
        <f t="shared" si="3"/>
        <v>0</v>
      </c>
      <c r="O37" s="110">
        <f t="shared" si="4"/>
        <v>0</v>
      </c>
    </row>
    <row r="38" spans="1:28" x14ac:dyDescent="0.5">
      <c r="A38" s="58" t="s">
        <v>158</v>
      </c>
      <c r="B38" s="58" t="s">
        <v>182</v>
      </c>
      <c r="C38" s="59" t="s">
        <v>17</v>
      </c>
      <c r="D38" s="60">
        <v>0</v>
      </c>
      <c r="E38" s="61">
        <v>98.571428571428569</v>
      </c>
      <c r="F38" s="51">
        <v>1</v>
      </c>
      <c r="G38" s="52">
        <v>1000</v>
      </c>
      <c r="H38" s="52" t="s">
        <v>214</v>
      </c>
      <c r="I38" s="53">
        <v>13</v>
      </c>
      <c r="J38" s="53">
        <f>I38/(G38/1000)</f>
        <v>13</v>
      </c>
      <c r="K38" s="110">
        <f t="shared" si="1"/>
        <v>9.8571428571428574E-2</v>
      </c>
      <c r="L38" s="110">
        <f t="shared" si="2"/>
        <v>0</v>
      </c>
      <c r="M38" s="111" t="s">
        <v>214</v>
      </c>
      <c r="N38" s="110">
        <f t="shared" si="3"/>
        <v>1.2814285714285714</v>
      </c>
      <c r="O38" s="110">
        <f t="shared" si="4"/>
        <v>0</v>
      </c>
    </row>
    <row r="39" spans="1:28" x14ac:dyDescent="0.5">
      <c r="A39" s="62" t="s">
        <v>161</v>
      </c>
      <c r="B39" s="62" t="s">
        <v>182</v>
      </c>
      <c r="C39" s="63" t="s">
        <v>17</v>
      </c>
      <c r="D39" s="64">
        <v>83.116883116883116</v>
      </c>
      <c r="E39" s="61">
        <v>83.116883116883116</v>
      </c>
      <c r="F39" s="51">
        <v>1</v>
      </c>
      <c r="G39" s="52">
        <v>1000</v>
      </c>
      <c r="H39" s="52" t="s">
        <v>193</v>
      </c>
      <c r="I39" s="53">
        <v>17.5</v>
      </c>
      <c r="J39" s="53">
        <f>I39</f>
        <v>17.5</v>
      </c>
      <c r="K39" s="110">
        <f t="shared" si="1"/>
        <v>8.3116883116883117E-2</v>
      </c>
      <c r="L39" s="110">
        <f t="shared" si="2"/>
        <v>8.3116883116883117E-2</v>
      </c>
      <c r="M39" s="111" t="s">
        <v>214</v>
      </c>
      <c r="N39" s="110">
        <f t="shared" si="3"/>
        <v>1.4545454545454546</v>
      </c>
      <c r="O39" s="110">
        <f t="shared" si="4"/>
        <v>1.4545454545454546</v>
      </c>
    </row>
    <row r="40" spans="1:28" x14ac:dyDescent="0.5">
      <c r="A40" s="58" t="s">
        <v>153</v>
      </c>
      <c r="B40" s="58" t="s">
        <v>182</v>
      </c>
      <c r="C40" s="59" t="s">
        <v>17</v>
      </c>
      <c r="D40" s="60">
        <v>437.14285714285711</v>
      </c>
      <c r="E40" s="61">
        <v>437.14285714285711</v>
      </c>
      <c r="F40" s="51">
        <v>1</v>
      </c>
      <c r="G40" s="52">
        <v>1000</v>
      </c>
      <c r="H40" s="52" t="s">
        <v>193</v>
      </c>
      <c r="I40" s="53">
        <v>39</v>
      </c>
      <c r="J40" s="53">
        <f>I40/(G40/1000)</f>
        <v>39</v>
      </c>
      <c r="K40" s="110">
        <f t="shared" si="1"/>
        <v>0.43714285714285711</v>
      </c>
      <c r="L40" s="110">
        <f t="shared" si="2"/>
        <v>0.43714285714285711</v>
      </c>
      <c r="M40" s="111" t="s">
        <v>214</v>
      </c>
      <c r="N40" s="110">
        <f t="shared" si="3"/>
        <v>17.048571428571428</v>
      </c>
      <c r="O40" s="110">
        <f t="shared" si="4"/>
        <v>17.048571428571428</v>
      </c>
    </row>
    <row r="41" spans="1:28" x14ac:dyDescent="0.5">
      <c r="A41" s="62" t="s">
        <v>245</v>
      </c>
      <c r="B41" s="62" t="s">
        <v>182</v>
      </c>
      <c r="C41" s="63" t="s">
        <v>17</v>
      </c>
      <c r="D41" s="64">
        <v>247</v>
      </c>
      <c r="E41" s="61">
        <v>1839.5</v>
      </c>
      <c r="F41" s="51">
        <v>1</v>
      </c>
      <c r="G41" s="52">
        <v>1000</v>
      </c>
      <c r="H41" s="52" t="s">
        <v>193</v>
      </c>
      <c r="I41" s="53">
        <v>40</v>
      </c>
      <c r="J41" s="53">
        <f>I41/(G41/1000)</f>
        <v>40</v>
      </c>
      <c r="K41" s="110">
        <f t="shared" si="1"/>
        <v>1.8394999999999999</v>
      </c>
      <c r="L41" s="110">
        <f t="shared" si="2"/>
        <v>0.247</v>
      </c>
      <c r="M41" s="111" t="s">
        <v>214</v>
      </c>
      <c r="N41" s="110">
        <f t="shared" si="3"/>
        <v>73.58</v>
      </c>
      <c r="O41" s="110">
        <f t="shared" si="4"/>
        <v>9.879999999999999</v>
      </c>
    </row>
    <row r="42" spans="1:28" x14ac:dyDescent="0.5">
      <c r="A42" s="80" t="s">
        <v>255</v>
      </c>
      <c r="B42" s="58" t="s">
        <v>182</v>
      </c>
      <c r="C42" s="81" t="s">
        <v>17</v>
      </c>
      <c r="D42" s="81">
        <v>471.2</v>
      </c>
      <c r="E42" s="61">
        <v>3509.2000000000003</v>
      </c>
      <c r="F42" s="51">
        <v>1</v>
      </c>
      <c r="G42" s="52">
        <v>1000</v>
      </c>
      <c r="H42" s="52" t="s">
        <v>214</v>
      </c>
      <c r="I42" s="53">
        <v>51</v>
      </c>
      <c r="J42" s="53">
        <f>I42/(G42/1000)</f>
        <v>51</v>
      </c>
      <c r="K42" s="110">
        <f t="shared" si="1"/>
        <v>3.5092000000000003</v>
      </c>
      <c r="L42" s="110">
        <f t="shared" si="2"/>
        <v>0.47120000000000001</v>
      </c>
      <c r="M42" s="111" t="s">
        <v>214</v>
      </c>
      <c r="N42" s="110">
        <f t="shared" si="3"/>
        <v>178.96920000000003</v>
      </c>
      <c r="O42" s="110">
        <f t="shared" si="4"/>
        <v>24.031200000000002</v>
      </c>
    </row>
    <row r="43" spans="1:28" x14ac:dyDescent="0.5">
      <c r="A43" s="62" t="s">
        <v>244</v>
      </c>
      <c r="B43" s="62" t="s">
        <v>182</v>
      </c>
      <c r="C43" s="63" t="s">
        <v>17</v>
      </c>
      <c r="D43" s="64">
        <v>190</v>
      </c>
      <c r="E43" s="61">
        <v>1415</v>
      </c>
      <c r="F43" s="51">
        <v>1</v>
      </c>
      <c r="G43" s="52">
        <v>1000</v>
      </c>
      <c r="H43" s="52" t="s">
        <v>214</v>
      </c>
      <c r="I43" s="53">
        <v>41</v>
      </c>
      <c r="J43" s="53">
        <f>I43/(G43/1000)</f>
        <v>41</v>
      </c>
      <c r="K43" s="110">
        <f t="shared" si="1"/>
        <v>1.415</v>
      </c>
      <c r="L43" s="110">
        <f t="shared" si="2"/>
        <v>0.19</v>
      </c>
      <c r="M43" s="111" t="s">
        <v>214</v>
      </c>
      <c r="N43" s="110">
        <f t="shared" si="3"/>
        <v>58.015000000000001</v>
      </c>
      <c r="O43" s="110">
        <f t="shared" si="4"/>
        <v>7.79</v>
      </c>
    </row>
    <row r="44" spans="1:28" x14ac:dyDescent="0.5">
      <c r="A44" s="38"/>
      <c r="B44" s="39"/>
      <c r="C44" s="39"/>
      <c r="D44" s="49"/>
      <c r="E44" s="49"/>
      <c r="F44" s="49"/>
      <c r="G44" s="49"/>
      <c r="H44" s="49"/>
      <c r="I44" s="49"/>
      <c r="J44" s="49"/>
      <c r="K44" s="110"/>
      <c r="L44" s="110"/>
      <c r="M44" s="112"/>
      <c r="N44" s="110">
        <f t="shared" si="3"/>
        <v>0</v>
      </c>
      <c r="O44" s="110">
        <f t="shared" si="4"/>
        <v>0</v>
      </c>
    </row>
    <row r="45" spans="1:28" x14ac:dyDescent="0.5">
      <c r="A45" s="62" t="s">
        <v>166</v>
      </c>
      <c r="B45" s="62" t="s">
        <v>180</v>
      </c>
      <c r="C45" s="63" t="s">
        <v>17</v>
      </c>
      <c r="D45" s="64">
        <v>1020</v>
      </c>
      <c r="E45" s="71">
        <v>3449.2857142857142</v>
      </c>
      <c r="F45" s="51">
        <v>1</v>
      </c>
      <c r="G45" s="52">
        <v>20000</v>
      </c>
      <c r="H45" s="52" t="s">
        <v>233</v>
      </c>
      <c r="I45" s="53">
        <v>130</v>
      </c>
      <c r="J45" s="53">
        <f>I45/20</f>
        <v>6.5</v>
      </c>
      <c r="K45" s="110">
        <f t="shared" si="1"/>
        <v>0.17246428571428571</v>
      </c>
      <c r="L45" s="110">
        <f t="shared" si="2"/>
        <v>5.0999999999999997E-2</v>
      </c>
      <c r="M45" s="111" t="s">
        <v>214</v>
      </c>
      <c r="N45" s="110">
        <f t="shared" si="3"/>
        <v>22.420357142857142</v>
      </c>
      <c r="O45" s="110">
        <f t="shared" si="4"/>
        <v>6.63</v>
      </c>
    </row>
    <row r="46" spans="1:28" x14ac:dyDescent="0.5">
      <c r="A46" s="58" t="s">
        <v>119</v>
      </c>
      <c r="B46" s="58" t="s">
        <v>180</v>
      </c>
      <c r="C46" s="59" t="s">
        <v>17</v>
      </c>
      <c r="D46" s="60">
        <v>415.58441558441558</v>
      </c>
      <c r="E46" s="61">
        <v>415.58441558441558</v>
      </c>
      <c r="F46" s="51">
        <v>1</v>
      </c>
      <c r="G46" s="52">
        <f>4*2000</f>
        <v>8000</v>
      </c>
      <c r="H46" s="52" t="s">
        <v>221</v>
      </c>
      <c r="I46" s="53">
        <v>136</v>
      </c>
      <c r="J46" s="53">
        <f t="shared" ref="J46:J60" si="6">I46/(G46/1000)</f>
        <v>17</v>
      </c>
      <c r="K46" s="110">
        <f t="shared" si="1"/>
        <v>5.1948051948051945E-2</v>
      </c>
      <c r="L46" s="110">
        <f t="shared" si="2"/>
        <v>5.1948051948051945E-2</v>
      </c>
      <c r="M46" s="111" t="s">
        <v>249</v>
      </c>
      <c r="N46" s="110">
        <f t="shared" si="3"/>
        <v>7.0649350649350646</v>
      </c>
      <c r="O46" s="110">
        <f t="shared" si="4"/>
        <v>7.0649350649350646</v>
      </c>
    </row>
    <row r="47" spans="1:28" x14ac:dyDescent="0.5">
      <c r="A47" s="62" t="s">
        <v>121</v>
      </c>
      <c r="B47" s="62" t="s">
        <v>180</v>
      </c>
      <c r="C47" s="63" t="s">
        <v>17</v>
      </c>
      <c r="D47" s="64">
        <v>5825</v>
      </c>
      <c r="E47" s="67">
        <v>15704.5</v>
      </c>
      <c r="F47" s="51">
        <v>1</v>
      </c>
      <c r="G47" s="52">
        <f>24*100</f>
        <v>2400</v>
      </c>
      <c r="H47" s="52" t="s">
        <v>235</v>
      </c>
      <c r="I47" s="53">
        <f>22</f>
        <v>22</v>
      </c>
      <c r="J47" s="53">
        <f t="shared" si="6"/>
        <v>9.1666666666666679</v>
      </c>
      <c r="K47" s="110">
        <f t="shared" si="1"/>
        <v>6.543541666666667</v>
      </c>
      <c r="L47" s="110">
        <f t="shared" si="2"/>
        <v>2.4270833333333335</v>
      </c>
      <c r="M47" s="111" t="s">
        <v>249</v>
      </c>
      <c r="N47" s="110">
        <f t="shared" si="3"/>
        <v>143.95791666666668</v>
      </c>
      <c r="O47" s="110">
        <f t="shared" si="4"/>
        <v>53.395833333333336</v>
      </c>
    </row>
    <row r="48" spans="1:28" x14ac:dyDescent="0.5">
      <c r="A48" s="58" t="s">
        <v>144</v>
      </c>
      <c r="B48" s="58" t="s">
        <v>180</v>
      </c>
      <c r="C48" s="59" t="s">
        <v>17</v>
      </c>
      <c r="D48" s="60">
        <v>145.71428571428572</v>
      </c>
      <c r="E48" s="61">
        <v>409.71428571428572</v>
      </c>
      <c r="F48" s="51">
        <v>1</v>
      </c>
      <c r="G48" s="52">
        <f>30*125</f>
        <v>3750</v>
      </c>
      <c r="H48" s="52" t="s">
        <v>204</v>
      </c>
      <c r="I48" s="53">
        <v>128</v>
      </c>
      <c r="J48" s="53">
        <f t="shared" si="6"/>
        <v>34.133333333333333</v>
      </c>
      <c r="K48" s="110">
        <f t="shared" si="1"/>
        <v>0.10925714285714286</v>
      </c>
      <c r="L48" s="110">
        <f t="shared" si="2"/>
        <v>3.8857142857142861E-2</v>
      </c>
      <c r="M48" s="111" t="s">
        <v>251</v>
      </c>
      <c r="N48" s="110">
        <f t="shared" si="3"/>
        <v>13.984914285714286</v>
      </c>
      <c r="O48" s="110">
        <f t="shared" si="4"/>
        <v>4.9737142857142862</v>
      </c>
    </row>
    <row r="49" spans="1:15" x14ac:dyDescent="0.5">
      <c r="A49" s="62" t="s">
        <v>148</v>
      </c>
      <c r="B49" s="62" t="s">
        <v>180</v>
      </c>
      <c r="C49" s="63" t="s">
        <v>17</v>
      </c>
      <c r="D49" s="64">
        <v>0</v>
      </c>
      <c r="E49" s="61">
        <v>1320</v>
      </c>
      <c r="F49" s="51">
        <v>1</v>
      </c>
      <c r="G49" s="52">
        <v>6000</v>
      </c>
      <c r="H49" s="52" t="s">
        <v>203</v>
      </c>
      <c r="I49" s="53">
        <v>185</v>
      </c>
      <c r="J49" s="53">
        <f t="shared" si="6"/>
        <v>30.833333333333332</v>
      </c>
      <c r="K49" s="110">
        <f t="shared" si="1"/>
        <v>0.22</v>
      </c>
      <c r="L49" s="110">
        <f t="shared" si="2"/>
        <v>0</v>
      </c>
      <c r="M49" s="111" t="s">
        <v>252</v>
      </c>
      <c r="N49" s="110">
        <f t="shared" si="3"/>
        <v>40.700000000000003</v>
      </c>
      <c r="O49" s="110">
        <f t="shared" si="4"/>
        <v>0</v>
      </c>
    </row>
    <row r="50" spans="1:15" x14ac:dyDescent="0.5">
      <c r="A50" s="58" t="s">
        <v>147</v>
      </c>
      <c r="B50" s="58" t="s">
        <v>180</v>
      </c>
      <c r="C50" s="59" t="s">
        <v>17</v>
      </c>
      <c r="D50" s="60">
        <v>0</v>
      </c>
      <c r="E50" s="61">
        <v>4097.083333333333</v>
      </c>
      <c r="F50" s="51">
        <v>1</v>
      </c>
      <c r="G50" s="52">
        <v>6000</v>
      </c>
      <c r="H50" s="52" t="s">
        <v>203</v>
      </c>
      <c r="I50" s="53">
        <v>215</v>
      </c>
      <c r="J50" s="53">
        <f t="shared" si="6"/>
        <v>35.833333333333336</v>
      </c>
      <c r="K50" s="110">
        <f t="shared" si="1"/>
        <v>0.68284722222222216</v>
      </c>
      <c r="L50" s="110">
        <f t="shared" si="2"/>
        <v>0</v>
      </c>
      <c r="M50" s="111" t="s">
        <v>252</v>
      </c>
      <c r="N50" s="110">
        <f t="shared" si="3"/>
        <v>146.81215277777775</v>
      </c>
      <c r="O50" s="110">
        <f t="shared" si="4"/>
        <v>0</v>
      </c>
    </row>
    <row r="51" spans="1:15" x14ac:dyDescent="0.5">
      <c r="A51" s="62" t="s">
        <v>129</v>
      </c>
      <c r="B51" s="62" t="s">
        <v>180</v>
      </c>
      <c r="C51" s="63" t="s">
        <v>17</v>
      </c>
      <c r="D51" s="64">
        <v>0</v>
      </c>
      <c r="E51" s="71">
        <v>28365.837962962964</v>
      </c>
      <c r="F51" s="51">
        <v>1</v>
      </c>
      <c r="G51" s="52">
        <f>370*48</f>
        <v>17760</v>
      </c>
      <c r="H51" s="52" t="s">
        <v>222</v>
      </c>
      <c r="I51" s="53">
        <v>210</v>
      </c>
      <c r="J51" s="53">
        <f t="shared" si="6"/>
        <v>11.824324324324323</v>
      </c>
      <c r="K51" s="110">
        <f t="shared" si="1"/>
        <v>1.5971755609776443</v>
      </c>
      <c r="L51" s="110">
        <f t="shared" si="2"/>
        <v>0</v>
      </c>
      <c r="M51" s="111" t="s">
        <v>249</v>
      </c>
      <c r="N51" s="110">
        <f t="shared" si="3"/>
        <v>335.4068678053053</v>
      </c>
      <c r="O51" s="110">
        <f t="shared" si="4"/>
        <v>0</v>
      </c>
    </row>
    <row r="52" spans="1:15" x14ac:dyDescent="0.5">
      <c r="A52" s="58" t="s">
        <v>128</v>
      </c>
      <c r="B52" s="58" t="s">
        <v>180</v>
      </c>
      <c r="C52" s="59" t="s">
        <v>17</v>
      </c>
      <c r="D52" s="60">
        <v>0</v>
      </c>
      <c r="E52" s="61">
        <v>11730.169312169312</v>
      </c>
      <c r="F52" s="51">
        <v>1</v>
      </c>
      <c r="G52" s="52">
        <v>10000</v>
      </c>
      <c r="H52" s="52" t="s">
        <v>211</v>
      </c>
      <c r="I52" s="53">
        <v>27</v>
      </c>
      <c r="J52" s="53">
        <f t="shared" si="6"/>
        <v>2.7</v>
      </c>
      <c r="K52" s="110">
        <f t="shared" si="1"/>
        <v>1.1730169312169312</v>
      </c>
      <c r="L52" s="110">
        <f t="shared" si="2"/>
        <v>0</v>
      </c>
      <c r="M52" s="111" t="s">
        <v>250</v>
      </c>
      <c r="N52" s="110">
        <f t="shared" si="3"/>
        <v>31.671457142857143</v>
      </c>
      <c r="O52" s="110">
        <f t="shared" si="4"/>
        <v>0</v>
      </c>
    </row>
    <row r="53" spans="1:15" x14ac:dyDescent="0.5">
      <c r="A53" s="62" t="s">
        <v>130</v>
      </c>
      <c r="B53" s="62" t="s">
        <v>180</v>
      </c>
      <c r="C53" s="63" t="s">
        <v>17</v>
      </c>
      <c r="D53" s="64">
        <v>0</v>
      </c>
      <c r="E53" s="61">
        <v>396</v>
      </c>
      <c r="F53" s="51">
        <v>1</v>
      </c>
      <c r="G53" s="52">
        <v>15000</v>
      </c>
      <c r="H53" s="52" t="s">
        <v>238</v>
      </c>
      <c r="I53" s="53">
        <v>50</v>
      </c>
      <c r="J53" s="53">
        <f t="shared" si="6"/>
        <v>3.3333333333333335</v>
      </c>
      <c r="K53" s="110">
        <f t="shared" si="1"/>
        <v>2.64E-2</v>
      </c>
      <c r="L53" s="110">
        <f t="shared" si="2"/>
        <v>0</v>
      </c>
      <c r="M53" s="111" t="s">
        <v>250</v>
      </c>
      <c r="N53" s="110">
        <f t="shared" si="3"/>
        <v>1.32</v>
      </c>
      <c r="O53" s="110">
        <f t="shared" si="4"/>
        <v>0</v>
      </c>
    </row>
    <row r="54" spans="1:15" x14ac:dyDescent="0.5">
      <c r="A54" s="58" t="s">
        <v>143</v>
      </c>
      <c r="B54" s="58" t="s">
        <v>180</v>
      </c>
      <c r="C54" s="59" t="s">
        <v>17</v>
      </c>
      <c r="D54" s="60">
        <v>0</v>
      </c>
      <c r="E54" s="61">
        <v>3627.604166666667</v>
      </c>
      <c r="F54" s="51">
        <v>1</v>
      </c>
      <c r="G54" s="52">
        <v>5000</v>
      </c>
      <c r="H54" s="52" t="s">
        <v>202</v>
      </c>
      <c r="I54" s="53">
        <f>350</f>
        <v>350</v>
      </c>
      <c r="J54" s="53">
        <f t="shared" si="6"/>
        <v>70</v>
      </c>
      <c r="K54" s="110">
        <f t="shared" si="1"/>
        <v>0.72552083333333339</v>
      </c>
      <c r="L54" s="110">
        <f t="shared" si="2"/>
        <v>0</v>
      </c>
      <c r="M54" s="111" t="s">
        <v>250</v>
      </c>
      <c r="N54" s="110">
        <f t="shared" si="3"/>
        <v>253.93229166666669</v>
      </c>
      <c r="O54" s="110">
        <f t="shared" si="4"/>
        <v>0</v>
      </c>
    </row>
    <row r="55" spans="1:15" x14ac:dyDescent="0.5">
      <c r="A55" s="62" t="s">
        <v>145</v>
      </c>
      <c r="B55" s="62" t="s">
        <v>180</v>
      </c>
      <c r="C55" s="63" t="s">
        <v>17</v>
      </c>
      <c r="D55" s="64">
        <v>166.23376623376623</v>
      </c>
      <c r="E55" s="61">
        <v>166.23376623376623</v>
      </c>
      <c r="F55" s="51">
        <v>1</v>
      </c>
      <c r="G55" s="52">
        <v>20000</v>
      </c>
      <c r="H55" s="52" t="s">
        <v>237</v>
      </c>
      <c r="I55" s="53">
        <v>395</v>
      </c>
      <c r="J55" s="53">
        <f t="shared" si="6"/>
        <v>19.75</v>
      </c>
      <c r="K55" s="110">
        <f t="shared" si="1"/>
        <v>8.3116883116883117E-3</v>
      </c>
      <c r="L55" s="110">
        <f t="shared" si="2"/>
        <v>8.3116883116883117E-3</v>
      </c>
      <c r="M55" s="111" t="s">
        <v>250</v>
      </c>
      <c r="N55" s="110">
        <f t="shared" si="3"/>
        <v>3.2831168831168833</v>
      </c>
      <c r="O55" s="110">
        <f t="shared" si="4"/>
        <v>3.2831168831168833</v>
      </c>
    </row>
    <row r="56" spans="1:15" x14ac:dyDescent="0.5">
      <c r="A56" s="58" t="s">
        <v>142</v>
      </c>
      <c r="B56" s="58" t="s">
        <v>180</v>
      </c>
      <c r="C56" s="59" t="s">
        <v>17</v>
      </c>
      <c r="D56" s="60">
        <v>0</v>
      </c>
      <c r="E56" s="77">
        <v>6635</v>
      </c>
      <c r="F56" s="51">
        <v>1</v>
      </c>
      <c r="G56" s="52">
        <v>20000</v>
      </c>
      <c r="H56" s="52" t="s">
        <v>237</v>
      </c>
      <c r="I56" s="53">
        <v>395</v>
      </c>
      <c r="J56" s="53">
        <f t="shared" si="6"/>
        <v>19.75</v>
      </c>
      <c r="K56" s="110">
        <f t="shared" si="1"/>
        <v>0.33174999999999999</v>
      </c>
      <c r="L56" s="110">
        <f t="shared" si="2"/>
        <v>0</v>
      </c>
      <c r="M56" s="111" t="s">
        <v>250</v>
      </c>
      <c r="N56" s="110">
        <f t="shared" si="3"/>
        <v>131.04124999999999</v>
      </c>
      <c r="O56" s="110">
        <f t="shared" si="4"/>
        <v>0</v>
      </c>
    </row>
    <row r="57" spans="1:15" x14ac:dyDescent="0.5">
      <c r="A57" s="62" t="s">
        <v>205</v>
      </c>
      <c r="B57" s="62" t="s">
        <v>180</v>
      </c>
      <c r="C57" s="63" t="s">
        <v>17</v>
      </c>
      <c r="D57" s="64">
        <v>0</v>
      </c>
      <c r="E57" s="61">
        <v>4620</v>
      </c>
      <c r="F57" s="51">
        <v>1</v>
      </c>
      <c r="G57" s="52">
        <v>16000</v>
      </c>
      <c r="H57" s="52" t="s">
        <v>206</v>
      </c>
      <c r="I57" s="53">
        <v>140.87</v>
      </c>
      <c r="J57" s="53">
        <f t="shared" si="6"/>
        <v>8.8043750000000003</v>
      </c>
      <c r="K57" s="110">
        <f t="shared" si="1"/>
        <v>0.28875000000000001</v>
      </c>
      <c r="L57" s="110">
        <f t="shared" si="2"/>
        <v>0</v>
      </c>
      <c r="M57" s="111" t="s">
        <v>249</v>
      </c>
      <c r="N57" s="110">
        <f t="shared" si="3"/>
        <v>40.676212500000005</v>
      </c>
      <c r="O57" s="110">
        <f t="shared" si="4"/>
        <v>0</v>
      </c>
    </row>
    <row r="58" spans="1:15" x14ac:dyDescent="0.5">
      <c r="A58" s="58" t="s">
        <v>177</v>
      </c>
      <c r="B58" s="58" t="s">
        <v>180</v>
      </c>
      <c r="C58" s="59" t="s">
        <v>17</v>
      </c>
      <c r="D58" s="60">
        <v>0</v>
      </c>
      <c r="E58" s="61">
        <v>2300</v>
      </c>
      <c r="F58" s="51">
        <v>1</v>
      </c>
      <c r="G58" s="69">
        <v>15000</v>
      </c>
      <c r="H58" s="69" t="s">
        <v>223</v>
      </c>
      <c r="I58" s="70">
        <v>65</v>
      </c>
      <c r="J58" s="53">
        <f t="shared" si="6"/>
        <v>4.333333333333333</v>
      </c>
      <c r="K58" s="110">
        <f t="shared" si="1"/>
        <v>0.15333333333333332</v>
      </c>
      <c r="L58" s="110">
        <f t="shared" si="2"/>
        <v>0</v>
      </c>
      <c r="M58" s="111" t="s">
        <v>249</v>
      </c>
      <c r="N58" s="110">
        <f t="shared" si="3"/>
        <v>9.966666666666665</v>
      </c>
      <c r="O58" s="110">
        <f t="shared" si="4"/>
        <v>0</v>
      </c>
    </row>
    <row r="59" spans="1:15" x14ac:dyDescent="0.5">
      <c r="A59" s="62" t="s">
        <v>230</v>
      </c>
      <c r="B59" s="62" t="s">
        <v>180</v>
      </c>
      <c r="C59" s="63" t="s">
        <v>17</v>
      </c>
      <c r="D59" s="64">
        <v>0</v>
      </c>
      <c r="E59" s="61">
        <v>5884.6153846153848</v>
      </c>
      <c r="F59" s="51">
        <v>1</v>
      </c>
      <c r="G59" s="52">
        <f>496*12</f>
        <v>5952</v>
      </c>
      <c r="H59" s="52" t="s">
        <v>239</v>
      </c>
      <c r="I59" s="53">
        <v>151.30000000000001</v>
      </c>
      <c r="J59" s="53">
        <f t="shared" si="6"/>
        <v>25.420026881720432</v>
      </c>
      <c r="K59" s="110">
        <f t="shared" si="1"/>
        <v>0.98867866004962779</v>
      </c>
      <c r="L59" s="110">
        <f t="shared" si="2"/>
        <v>0</v>
      </c>
      <c r="M59" s="111" t="s">
        <v>249</v>
      </c>
      <c r="N59" s="110">
        <f t="shared" si="3"/>
        <v>149.58708126550869</v>
      </c>
      <c r="O59" s="110">
        <f t="shared" si="4"/>
        <v>0</v>
      </c>
    </row>
    <row r="60" spans="1:15" x14ac:dyDescent="0.5">
      <c r="A60" s="58" t="s">
        <v>231</v>
      </c>
      <c r="B60" s="58" t="s">
        <v>180</v>
      </c>
      <c r="C60" s="59" t="s">
        <v>17</v>
      </c>
      <c r="D60" s="60">
        <v>0</v>
      </c>
      <c r="E60" s="61">
        <v>4540</v>
      </c>
      <c r="F60" s="51">
        <v>1</v>
      </c>
      <c r="G60" s="52">
        <v>3000</v>
      </c>
      <c r="H60" s="52" t="s">
        <v>236</v>
      </c>
      <c r="I60" s="53">
        <v>28</v>
      </c>
      <c r="J60" s="53">
        <f t="shared" si="6"/>
        <v>9.3333333333333339</v>
      </c>
      <c r="K60" s="110">
        <f t="shared" si="1"/>
        <v>1.5133333333333334</v>
      </c>
      <c r="L60" s="110">
        <f t="shared" si="2"/>
        <v>0</v>
      </c>
      <c r="M60" s="111" t="s">
        <v>250</v>
      </c>
      <c r="N60" s="110">
        <f t="shared" si="3"/>
        <v>42.373333333333335</v>
      </c>
      <c r="O60" s="110">
        <f t="shared" si="4"/>
        <v>0</v>
      </c>
    </row>
    <row r="61" spans="1:15" x14ac:dyDescent="0.5">
      <c r="A61" s="38"/>
      <c r="B61" s="39"/>
      <c r="C61" s="39"/>
      <c r="D61" s="49"/>
      <c r="E61" s="49"/>
      <c r="F61" s="49"/>
      <c r="G61" s="49"/>
      <c r="H61" s="49"/>
      <c r="I61" s="49"/>
      <c r="J61" s="49"/>
      <c r="K61" s="110"/>
      <c r="L61" s="110"/>
      <c r="M61" s="112"/>
      <c r="N61" s="110">
        <f t="shared" si="3"/>
        <v>0</v>
      </c>
      <c r="O61" s="110">
        <f t="shared" si="4"/>
        <v>0</v>
      </c>
    </row>
    <row r="62" spans="1:15" x14ac:dyDescent="0.5">
      <c r="A62" s="62" t="s">
        <v>134</v>
      </c>
      <c r="B62" s="62" t="s">
        <v>186</v>
      </c>
      <c r="C62" s="63" t="s">
        <v>17</v>
      </c>
      <c r="D62" s="64">
        <v>0</v>
      </c>
      <c r="E62" s="66">
        <v>110.25</v>
      </c>
      <c r="F62" s="51">
        <v>1</v>
      </c>
      <c r="G62" s="52">
        <v>500</v>
      </c>
      <c r="H62" s="52" t="s">
        <v>234</v>
      </c>
      <c r="I62" s="53">
        <f>45</f>
        <v>45</v>
      </c>
      <c r="J62" s="53">
        <f>I62/(G62/1000)</f>
        <v>90</v>
      </c>
      <c r="K62" s="110">
        <f t="shared" si="1"/>
        <v>0.2205</v>
      </c>
      <c r="L62" s="115">
        <f t="shared" si="2"/>
        <v>0</v>
      </c>
      <c r="M62" s="111" t="s">
        <v>253</v>
      </c>
      <c r="N62" s="110">
        <f t="shared" si="3"/>
        <v>9.9224999999999994</v>
      </c>
      <c r="O62" s="110">
        <f t="shared" si="4"/>
        <v>0</v>
      </c>
    </row>
    <row r="63" spans="1:15" x14ac:dyDescent="0.5">
      <c r="A63" s="58" t="s">
        <v>133</v>
      </c>
      <c r="B63" s="58" t="s">
        <v>186</v>
      </c>
      <c r="C63" s="59" t="s">
        <v>17</v>
      </c>
      <c r="D63" s="60">
        <v>0</v>
      </c>
      <c r="E63" s="66">
        <v>110.25</v>
      </c>
      <c r="F63" s="51">
        <v>1</v>
      </c>
      <c r="G63" s="52">
        <v>500</v>
      </c>
      <c r="H63" s="53" t="s">
        <v>234</v>
      </c>
      <c r="I63" s="53">
        <f>10.87</f>
        <v>10.87</v>
      </c>
      <c r="J63" s="52">
        <f>I63/(G63/1000)</f>
        <v>21.74</v>
      </c>
      <c r="K63" s="110">
        <f t="shared" si="1"/>
        <v>0.2205</v>
      </c>
      <c r="L63" s="115">
        <f t="shared" si="2"/>
        <v>0</v>
      </c>
      <c r="M63" s="111" t="s">
        <v>253</v>
      </c>
      <c r="N63" s="110">
        <f t="shared" si="3"/>
        <v>2.3968349999999998</v>
      </c>
      <c r="O63" s="110">
        <f t="shared" si="4"/>
        <v>0</v>
      </c>
    </row>
    <row r="64" spans="1:15" x14ac:dyDescent="0.5">
      <c r="A64" s="62" t="s">
        <v>140</v>
      </c>
      <c r="B64" s="62" t="s">
        <v>186</v>
      </c>
      <c r="C64" s="63" t="s">
        <v>17</v>
      </c>
      <c r="D64" s="64">
        <v>0</v>
      </c>
      <c r="E64" s="61">
        <v>2628.5714285714284</v>
      </c>
      <c r="F64" s="51">
        <v>1</v>
      </c>
      <c r="G64" s="52">
        <v>1000</v>
      </c>
      <c r="H64" s="52" t="s">
        <v>214</v>
      </c>
      <c r="I64" s="53">
        <v>6.96</v>
      </c>
      <c r="J64" s="53">
        <f t="shared" ref="J64:J67" si="7">I64/(G64/1000)</f>
        <v>6.96</v>
      </c>
      <c r="K64" s="110">
        <f t="shared" si="1"/>
        <v>2.6285714285714286</v>
      </c>
      <c r="L64" s="110">
        <f t="shared" si="2"/>
        <v>0</v>
      </c>
      <c r="M64" s="111" t="s">
        <v>214</v>
      </c>
      <c r="N64" s="110">
        <f t="shared" si="3"/>
        <v>18.294857142857143</v>
      </c>
      <c r="O64" s="110">
        <f t="shared" si="4"/>
        <v>0</v>
      </c>
    </row>
    <row r="65" spans="1:15" x14ac:dyDescent="0.5">
      <c r="A65" s="58" t="s">
        <v>155</v>
      </c>
      <c r="B65" s="58" t="s">
        <v>186</v>
      </c>
      <c r="C65" s="59" t="s">
        <v>17</v>
      </c>
      <c r="D65" s="60">
        <v>0</v>
      </c>
      <c r="E65" s="61">
        <v>48</v>
      </c>
      <c r="F65" s="51">
        <v>1</v>
      </c>
      <c r="G65" s="52">
        <v>25000</v>
      </c>
      <c r="H65" s="52" t="s">
        <v>214</v>
      </c>
      <c r="I65" s="53">
        <v>58</v>
      </c>
      <c r="J65" s="53">
        <f t="shared" si="7"/>
        <v>2.3199999999999998</v>
      </c>
      <c r="K65" s="110">
        <f t="shared" si="1"/>
        <v>1.92E-3</v>
      </c>
      <c r="L65" s="110">
        <f t="shared" si="2"/>
        <v>0</v>
      </c>
      <c r="M65" s="111" t="s">
        <v>214</v>
      </c>
      <c r="N65" s="110">
        <f t="shared" si="3"/>
        <v>0.11136</v>
      </c>
      <c r="O65" s="110">
        <f t="shared" si="4"/>
        <v>0</v>
      </c>
    </row>
    <row r="66" spans="1:15" x14ac:dyDescent="0.5">
      <c r="A66" s="62" t="s">
        <v>156</v>
      </c>
      <c r="B66" s="62" t="s">
        <v>186</v>
      </c>
      <c r="C66" s="63" t="s">
        <v>17</v>
      </c>
      <c r="D66" s="64">
        <v>1457.1428571428571</v>
      </c>
      <c r="E66" s="61">
        <v>17175.652777777777</v>
      </c>
      <c r="F66" s="51">
        <v>1</v>
      </c>
      <c r="G66" s="52">
        <f>1*10000</f>
        <v>10000</v>
      </c>
      <c r="H66" s="52" t="s">
        <v>224</v>
      </c>
      <c r="I66" s="53">
        <f>17</f>
        <v>17</v>
      </c>
      <c r="J66" s="53">
        <f t="shared" si="7"/>
        <v>1.7</v>
      </c>
      <c r="K66" s="110">
        <f t="shared" si="1"/>
        <v>1.7175652777777777</v>
      </c>
      <c r="L66" s="115">
        <f t="shared" si="2"/>
        <v>0.14571428571428571</v>
      </c>
      <c r="M66" s="111" t="s">
        <v>214</v>
      </c>
      <c r="N66" s="110">
        <f t="shared" si="3"/>
        <v>29.198609722222219</v>
      </c>
      <c r="O66" s="110">
        <f t="shared" si="4"/>
        <v>2.4771428571428573</v>
      </c>
    </row>
    <row r="67" spans="1:15" x14ac:dyDescent="0.5">
      <c r="A67" s="58" t="s">
        <v>139</v>
      </c>
      <c r="B67" s="58" t="s">
        <v>186</v>
      </c>
      <c r="C67" s="59" t="s">
        <v>17</v>
      </c>
      <c r="D67" s="60">
        <v>0</v>
      </c>
      <c r="E67" s="61">
        <v>4593.75</v>
      </c>
      <c r="F67" s="51">
        <v>1</v>
      </c>
      <c r="G67" s="52">
        <f>1*10000</f>
        <v>10000</v>
      </c>
      <c r="H67" s="52" t="s">
        <v>224</v>
      </c>
      <c r="I67" s="53">
        <v>18</v>
      </c>
      <c r="J67" s="53">
        <f t="shared" si="7"/>
        <v>1.8</v>
      </c>
      <c r="K67" s="110">
        <f t="shared" si="1"/>
        <v>0.45937499999999998</v>
      </c>
      <c r="L67" s="115">
        <f t="shared" si="2"/>
        <v>0</v>
      </c>
      <c r="M67" s="111" t="s">
        <v>214</v>
      </c>
      <c r="N67" s="110">
        <f t="shared" si="3"/>
        <v>8.2687499999999989</v>
      </c>
      <c r="O67" s="110">
        <f t="shared" si="4"/>
        <v>0</v>
      </c>
    </row>
    <row r="68" spans="1:15" x14ac:dyDescent="0.5">
      <c r="A68" s="62" t="s">
        <v>137</v>
      </c>
      <c r="B68" s="62" t="s">
        <v>186</v>
      </c>
      <c r="C68" s="63" t="s">
        <v>17</v>
      </c>
      <c r="D68" s="64">
        <v>2427.083333333333</v>
      </c>
      <c r="E68" s="61">
        <v>2427.083333333333</v>
      </c>
      <c r="F68" s="51">
        <v>1</v>
      </c>
      <c r="G68" s="52">
        <v>8000</v>
      </c>
      <c r="H68" s="52" t="s">
        <v>225</v>
      </c>
      <c r="I68" s="53">
        <v>250</v>
      </c>
      <c r="J68" s="53">
        <f>I68/(G68/1000)</f>
        <v>31.25</v>
      </c>
      <c r="K68" s="110">
        <f t="shared" ref="K68:K73" si="8">(E68/F68)/G68</f>
        <v>0.30338541666666663</v>
      </c>
      <c r="L68" s="110">
        <f t="shared" ref="L68:L73" si="9">(D68/F68)/G68</f>
        <v>0.30338541666666663</v>
      </c>
      <c r="M68" s="111" t="s">
        <v>252</v>
      </c>
      <c r="N68" s="110">
        <f t="shared" ref="N68:N82" si="10">K68*I68</f>
        <v>75.846354166666657</v>
      </c>
      <c r="O68" s="110">
        <f t="shared" ref="O68:O82" si="11">L68*I68</f>
        <v>75.846354166666657</v>
      </c>
    </row>
    <row r="69" spans="1:15" x14ac:dyDescent="0.5">
      <c r="A69" s="58" t="s">
        <v>136</v>
      </c>
      <c r="B69" s="58" t="s">
        <v>186</v>
      </c>
      <c r="C69" s="59" t="s">
        <v>17</v>
      </c>
      <c r="D69" s="60">
        <v>0</v>
      </c>
      <c r="E69" s="61">
        <v>3071.4285714285716</v>
      </c>
      <c r="F69" s="51">
        <v>1</v>
      </c>
      <c r="G69" s="52">
        <v>1000</v>
      </c>
      <c r="H69" s="52" t="s">
        <v>214</v>
      </c>
      <c r="I69" s="53">
        <v>5</v>
      </c>
      <c r="J69" s="53">
        <f>I69/(G69/1000)</f>
        <v>5</v>
      </c>
      <c r="K69" s="110">
        <f t="shared" si="8"/>
        <v>3.0714285714285716</v>
      </c>
      <c r="L69" s="110">
        <f t="shared" si="9"/>
        <v>0</v>
      </c>
      <c r="M69" s="111" t="s">
        <v>214</v>
      </c>
      <c r="N69" s="110">
        <f t="shared" si="10"/>
        <v>15.357142857142858</v>
      </c>
      <c r="O69" s="110">
        <f t="shared" si="11"/>
        <v>0</v>
      </c>
    </row>
    <row r="70" spans="1:15" x14ac:dyDescent="0.5">
      <c r="A70" s="62" t="s">
        <v>138</v>
      </c>
      <c r="B70" s="62" t="s">
        <v>186</v>
      </c>
      <c r="C70" s="63" t="s">
        <v>17</v>
      </c>
      <c r="D70" s="64">
        <v>831.16883116883116</v>
      </c>
      <c r="E70" s="68">
        <v>1537.3226773226772</v>
      </c>
      <c r="F70" s="51">
        <v>1</v>
      </c>
      <c r="G70" s="69">
        <f>900*12</f>
        <v>10800</v>
      </c>
      <c r="H70" s="69" t="s">
        <v>226</v>
      </c>
      <c r="I70" s="70">
        <f>130</f>
        <v>130</v>
      </c>
      <c r="J70" s="53">
        <f>I70/(G70/1000)</f>
        <v>12.037037037037036</v>
      </c>
      <c r="K70" s="110">
        <f t="shared" si="8"/>
        <v>0.14234469234469233</v>
      </c>
      <c r="L70" s="115">
        <f t="shared" si="9"/>
        <v>7.6960076960076965E-2</v>
      </c>
      <c r="M70" s="111" t="s">
        <v>249</v>
      </c>
      <c r="N70" s="110">
        <f t="shared" si="10"/>
        <v>18.504810004810004</v>
      </c>
      <c r="O70" s="110">
        <f t="shared" si="11"/>
        <v>10.004810004810006</v>
      </c>
    </row>
    <row r="71" spans="1:15" x14ac:dyDescent="0.5">
      <c r="A71" s="38"/>
      <c r="B71" s="39"/>
      <c r="C71" s="39"/>
      <c r="D71" s="49"/>
      <c r="E71" s="49"/>
      <c r="F71" s="49"/>
      <c r="G71" s="49"/>
      <c r="H71" s="49"/>
      <c r="I71" s="49"/>
      <c r="J71" s="49"/>
      <c r="K71" s="110"/>
      <c r="L71" s="110"/>
      <c r="M71" s="112"/>
      <c r="N71" s="110">
        <f t="shared" si="10"/>
        <v>0</v>
      </c>
      <c r="O71" s="110">
        <f t="shared" si="11"/>
        <v>0</v>
      </c>
    </row>
    <row r="72" spans="1:15" x14ac:dyDescent="0.5">
      <c r="A72" s="58" t="s">
        <v>167</v>
      </c>
      <c r="B72" s="58" t="s">
        <v>183</v>
      </c>
      <c r="C72" s="59" t="s">
        <v>17</v>
      </c>
      <c r="D72" s="60">
        <v>0</v>
      </c>
      <c r="E72" s="61">
        <v>59</v>
      </c>
      <c r="F72" s="51">
        <v>1</v>
      </c>
      <c r="G72" s="75">
        <v>200</v>
      </c>
      <c r="H72" s="75" t="s">
        <v>227</v>
      </c>
      <c r="I72" s="76">
        <v>4</v>
      </c>
      <c r="J72" s="76">
        <f>I72/0.2</f>
        <v>20</v>
      </c>
      <c r="K72" s="110">
        <f t="shared" si="8"/>
        <v>0.29499999999999998</v>
      </c>
      <c r="L72" s="110">
        <f t="shared" si="9"/>
        <v>0</v>
      </c>
      <c r="M72" s="111" t="s">
        <v>253</v>
      </c>
      <c r="N72" s="110">
        <f t="shared" si="10"/>
        <v>1.18</v>
      </c>
      <c r="O72" s="110">
        <f t="shared" si="11"/>
        <v>0</v>
      </c>
    </row>
    <row r="73" spans="1:15" x14ac:dyDescent="0.5">
      <c r="A73" s="62" t="s">
        <v>157</v>
      </c>
      <c r="B73" s="62" t="s">
        <v>183</v>
      </c>
      <c r="C73" s="63" t="s">
        <v>17</v>
      </c>
      <c r="D73" s="64">
        <v>0</v>
      </c>
      <c r="E73" s="61">
        <v>950</v>
      </c>
      <c r="F73" s="51">
        <v>1</v>
      </c>
      <c r="G73" s="75">
        <v>1000</v>
      </c>
      <c r="H73" s="75" t="s">
        <v>193</v>
      </c>
      <c r="I73" s="76">
        <v>7</v>
      </c>
      <c r="J73" s="76">
        <f>I73*(G73/1000)</f>
        <v>7</v>
      </c>
      <c r="K73" s="110">
        <f t="shared" si="8"/>
        <v>0.95</v>
      </c>
      <c r="L73" s="110">
        <f t="shared" si="9"/>
        <v>0</v>
      </c>
      <c r="M73" s="111" t="s">
        <v>214</v>
      </c>
      <c r="N73" s="110">
        <f t="shared" si="10"/>
        <v>6.6499999999999995</v>
      </c>
      <c r="O73" s="110">
        <f t="shared" si="11"/>
        <v>0</v>
      </c>
    </row>
    <row r="74" spans="1:15" x14ac:dyDescent="0.5">
      <c r="A74" s="38"/>
      <c r="B74" s="39"/>
      <c r="C74" s="39"/>
      <c r="D74" s="49"/>
      <c r="E74" s="49"/>
      <c r="F74" s="49"/>
      <c r="G74" s="49"/>
      <c r="H74" s="49"/>
      <c r="I74" s="49"/>
      <c r="J74" s="49"/>
      <c r="K74" s="110"/>
      <c r="L74" s="110"/>
      <c r="M74" s="112"/>
      <c r="N74" s="110">
        <f t="shared" si="10"/>
        <v>0</v>
      </c>
      <c r="O74" s="110">
        <f t="shared" si="11"/>
        <v>0</v>
      </c>
    </row>
    <row r="75" spans="1:15" x14ac:dyDescent="0.5">
      <c r="A75" s="62" t="s">
        <v>154</v>
      </c>
      <c r="B75" s="62" t="s">
        <v>185</v>
      </c>
      <c r="C75" s="63" t="s">
        <v>17</v>
      </c>
      <c r="D75" s="64">
        <v>0</v>
      </c>
      <c r="E75" s="61">
        <v>295</v>
      </c>
      <c r="F75" s="51">
        <v>0.8</v>
      </c>
      <c r="G75" s="52">
        <v>1000</v>
      </c>
      <c r="H75" s="52" t="s">
        <v>197</v>
      </c>
      <c r="I75" s="53">
        <v>3</v>
      </c>
      <c r="J75" s="53">
        <f t="shared" ref="J75:J80" si="12">I75/(G75/1000)</f>
        <v>3</v>
      </c>
      <c r="K75" s="110">
        <f t="shared" ref="K75:K82" si="13">(E75/F75)/G75</f>
        <v>0.36875000000000002</v>
      </c>
      <c r="L75" s="115">
        <f t="shared" ref="L75:L82" si="14">(D75/F75)/G75</f>
        <v>0</v>
      </c>
      <c r="M75" s="111" t="s">
        <v>214</v>
      </c>
      <c r="N75" s="110">
        <f t="shared" si="10"/>
        <v>1.1062500000000002</v>
      </c>
      <c r="O75" s="110">
        <f t="shared" si="11"/>
        <v>0</v>
      </c>
    </row>
    <row r="76" spans="1:15" x14ac:dyDescent="0.5">
      <c r="A76" s="58" t="s">
        <v>164</v>
      </c>
      <c r="B76" s="58" t="s">
        <v>185</v>
      </c>
      <c r="C76" s="59" t="s">
        <v>17</v>
      </c>
      <c r="D76" s="60">
        <v>0</v>
      </c>
      <c r="E76" s="61">
        <v>2165</v>
      </c>
      <c r="F76" s="51">
        <v>0.69</v>
      </c>
      <c r="G76" s="52">
        <v>1000</v>
      </c>
      <c r="H76" s="52" t="s">
        <v>197</v>
      </c>
      <c r="I76" s="53">
        <v>4</v>
      </c>
      <c r="J76" s="53">
        <f t="shared" si="12"/>
        <v>4</v>
      </c>
      <c r="K76" s="110">
        <f t="shared" si="13"/>
        <v>3.13768115942029</v>
      </c>
      <c r="L76" s="115">
        <f t="shared" si="14"/>
        <v>0</v>
      </c>
      <c r="M76" s="111" t="s">
        <v>214</v>
      </c>
      <c r="N76" s="110">
        <f t="shared" si="10"/>
        <v>12.55072463768116</v>
      </c>
      <c r="O76" s="110">
        <f t="shared" si="11"/>
        <v>0</v>
      </c>
    </row>
    <row r="77" spans="1:15" x14ac:dyDescent="0.5">
      <c r="A77" s="62" t="s">
        <v>169</v>
      </c>
      <c r="B77" s="62" t="s">
        <v>185</v>
      </c>
      <c r="C77" s="63" t="s">
        <v>17</v>
      </c>
      <c r="D77" s="64">
        <v>0</v>
      </c>
      <c r="E77" s="61">
        <v>210.57142857142858</v>
      </c>
      <c r="F77" s="51">
        <v>0.33</v>
      </c>
      <c r="G77" s="52">
        <v>1000</v>
      </c>
      <c r="H77" s="52" t="s">
        <v>17</v>
      </c>
      <c r="I77" s="53">
        <v>4.5</v>
      </c>
      <c r="J77" s="53">
        <f t="shared" si="12"/>
        <v>4.5</v>
      </c>
      <c r="K77" s="110">
        <f t="shared" si="13"/>
        <v>0.63809523809523805</v>
      </c>
      <c r="L77" s="110">
        <f t="shared" si="14"/>
        <v>0</v>
      </c>
      <c r="M77" s="111" t="s">
        <v>214</v>
      </c>
      <c r="N77" s="110">
        <f t="shared" si="10"/>
        <v>2.871428571428571</v>
      </c>
      <c r="O77" s="110">
        <f t="shared" si="11"/>
        <v>0</v>
      </c>
    </row>
    <row r="78" spans="1:15" x14ac:dyDescent="0.5">
      <c r="A78" s="58" t="s">
        <v>165</v>
      </c>
      <c r="B78" s="58" t="s">
        <v>185</v>
      </c>
      <c r="C78" s="59" t="s">
        <v>17</v>
      </c>
      <c r="D78" s="60">
        <v>0</v>
      </c>
      <c r="E78" s="61">
        <v>1655.7142857142856</v>
      </c>
      <c r="F78" s="51">
        <v>0.38</v>
      </c>
      <c r="G78" s="52">
        <v>1000</v>
      </c>
      <c r="H78" s="52" t="s">
        <v>193</v>
      </c>
      <c r="I78" s="53">
        <v>4.5</v>
      </c>
      <c r="J78" s="53">
        <f t="shared" si="12"/>
        <v>4.5</v>
      </c>
      <c r="K78" s="110">
        <f t="shared" si="13"/>
        <v>4.3571428571428568</v>
      </c>
      <c r="L78" s="110">
        <f t="shared" si="14"/>
        <v>0</v>
      </c>
      <c r="M78" s="111" t="s">
        <v>214</v>
      </c>
      <c r="N78" s="110">
        <f t="shared" si="10"/>
        <v>19.607142857142854</v>
      </c>
      <c r="O78" s="110">
        <f t="shared" si="11"/>
        <v>0</v>
      </c>
    </row>
    <row r="79" spans="1:15" x14ac:dyDescent="0.5">
      <c r="A79" s="62" t="s">
        <v>163</v>
      </c>
      <c r="B79" s="62" t="s">
        <v>185</v>
      </c>
      <c r="C79" s="63" t="s">
        <v>17</v>
      </c>
      <c r="D79" s="64">
        <v>0</v>
      </c>
      <c r="E79" s="61">
        <v>295</v>
      </c>
      <c r="F79" s="51">
        <v>0.9</v>
      </c>
      <c r="G79" s="52">
        <v>1000</v>
      </c>
      <c r="H79" s="52" t="s">
        <v>197</v>
      </c>
      <c r="I79" s="53">
        <v>3.5</v>
      </c>
      <c r="J79" s="53">
        <f t="shared" si="12"/>
        <v>3.5</v>
      </c>
      <c r="K79" s="110">
        <f t="shared" si="13"/>
        <v>0.32777777777777778</v>
      </c>
      <c r="L79" s="115">
        <f t="shared" si="14"/>
        <v>0</v>
      </c>
      <c r="M79" s="111" t="s">
        <v>214</v>
      </c>
      <c r="N79" s="110">
        <f t="shared" si="10"/>
        <v>1.1472222222222221</v>
      </c>
      <c r="O79" s="110">
        <f t="shared" si="11"/>
        <v>0</v>
      </c>
    </row>
    <row r="80" spans="1:15" x14ac:dyDescent="0.5">
      <c r="A80" s="58" t="s">
        <v>229</v>
      </c>
      <c r="B80" s="58" t="s">
        <v>185</v>
      </c>
      <c r="C80" s="59" t="s">
        <v>17</v>
      </c>
      <c r="D80" s="60">
        <v>0</v>
      </c>
      <c r="E80" s="61">
        <v>6160</v>
      </c>
      <c r="F80" s="51">
        <v>0.52</v>
      </c>
      <c r="G80" s="52">
        <v>1000</v>
      </c>
      <c r="H80" s="52" t="s">
        <v>197</v>
      </c>
      <c r="I80" s="53">
        <v>9</v>
      </c>
      <c r="J80" s="53">
        <f t="shared" si="12"/>
        <v>9</v>
      </c>
      <c r="K80" s="110">
        <f t="shared" si="13"/>
        <v>11.846153846153845</v>
      </c>
      <c r="L80" s="110">
        <f t="shared" si="14"/>
        <v>0</v>
      </c>
      <c r="M80" s="111" t="s">
        <v>214</v>
      </c>
      <c r="N80" s="110">
        <f t="shared" si="10"/>
        <v>106.6153846153846</v>
      </c>
      <c r="O80" s="110">
        <f t="shared" si="11"/>
        <v>0</v>
      </c>
    </row>
    <row r="81" spans="1:15" x14ac:dyDescent="0.5">
      <c r="A81" s="38"/>
      <c r="B81" s="39"/>
      <c r="C81" s="39"/>
      <c r="D81" s="49"/>
      <c r="E81" s="49"/>
      <c r="F81" s="49"/>
      <c r="G81" s="49"/>
      <c r="H81" s="49"/>
      <c r="I81" s="49"/>
      <c r="J81" s="49"/>
      <c r="K81" s="110"/>
      <c r="L81" s="110"/>
      <c r="M81" s="112"/>
      <c r="N81" s="110">
        <f t="shared" si="10"/>
        <v>0</v>
      </c>
      <c r="O81" s="110">
        <f t="shared" si="11"/>
        <v>0</v>
      </c>
    </row>
    <row r="82" spans="1:15" x14ac:dyDescent="0.5">
      <c r="A82" s="58" t="s">
        <v>178</v>
      </c>
      <c r="B82" s="58" t="s">
        <v>208</v>
      </c>
      <c r="C82" s="59" t="s">
        <v>17</v>
      </c>
      <c r="D82" s="60">
        <v>0</v>
      </c>
      <c r="E82" s="61">
        <v>19700</v>
      </c>
      <c r="F82" s="51">
        <v>0.99</v>
      </c>
      <c r="G82" s="52">
        <v>1000</v>
      </c>
      <c r="H82" s="52" t="s">
        <v>193</v>
      </c>
      <c r="I82" s="53">
        <v>0</v>
      </c>
      <c r="J82" s="116">
        <v>12</v>
      </c>
      <c r="K82" s="110">
        <f t="shared" si="13"/>
        <v>19.898989898989896</v>
      </c>
      <c r="L82" s="110">
        <f t="shared" si="14"/>
        <v>0</v>
      </c>
      <c r="M82" s="111" t="s">
        <v>214</v>
      </c>
      <c r="N82" s="110">
        <f t="shared" si="10"/>
        <v>0</v>
      </c>
      <c r="O82" s="110">
        <f t="shared" si="11"/>
        <v>0</v>
      </c>
    </row>
    <row r="83" spans="1:15" x14ac:dyDescent="0.5">
      <c r="A83" s="38"/>
      <c r="B83" s="39"/>
      <c r="C83" s="39"/>
      <c r="D83" s="49"/>
      <c r="E83" s="49"/>
      <c r="F83" s="49"/>
      <c r="G83" s="49"/>
      <c r="H83" s="49"/>
      <c r="I83" s="49"/>
      <c r="J83" s="49"/>
    </row>
  </sheetData>
  <autoFilter ref="A1:O89" xr:uid="{00000000-0001-0000-0000-000000000000}"/>
  <mergeCells count="1">
    <mergeCell ref="AA1:AB1"/>
  </mergeCells>
  <pageMargins left="0.75" right="0.75" top="1" bottom="1" header="0.5" footer="0.5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1">
    <tabColor theme="9" tint="-0.249977111117893"/>
    <pageSetUpPr fitToPage="1"/>
  </sheetPr>
  <dimension ref="A1:Y17"/>
  <sheetViews>
    <sheetView topLeftCell="C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8" bestFit="1" customWidth="1"/>
    <col min="12" max="12" width="11.1171875" bestFit="1" customWidth="1"/>
    <col min="13" max="17" width="3.8203125" customWidth="1"/>
    <col min="18" max="18" width="16.0585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22</v>
      </c>
      <c r="G1" s="4"/>
      <c r="H1" s="38" t="s">
        <v>2</v>
      </c>
      <c r="I1" s="13">
        <f>F1/B1</f>
        <v>22</v>
      </c>
      <c r="J1" s="4"/>
      <c r="K1" s="38"/>
    </row>
    <row r="2" spans="1:25" ht="14.25" customHeight="1" x14ac:dyDescent="0.5">
      <c r="A2" s="42"/>
      <c r="B2" s="117" t="s">
        <v>45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thickTop="1" thickBot="1" x14ac:dyDescent="0.55000000000000004">
      <c r="A5" s="15" t="s">
        <v>30</v>
      </c>
      <c r="B5" s="14" t="s">
        <v>111</v>
      </c>
      <c r="C5" s="15" t="s">
        <v>15</v>
      </c>
      <c r="D5" s="20">
        <f t="shared" ref="D5:D16" si="0">N5/8</f>
        <v>0.125</v>
      </c>
      <c r="E5" s="17">
        <f t="shared" ref="E5:E16" si="1">$I$1</f>
        <v>22</v>
      </c>
      <c r="F5" s="18">
        <v>1</v>
      </c>
      <c r="G5" s="30">
        <f t="shared" ref="G5:G16" si="2">E5*D5</f>
        <v>2.75</v>
      </c>
      <c r="H5" s="83">
        <f t="shared" ref="H5:H16" si="3">G5*F5</f>
        <v>2.75</v>
      </c>
      <c r="I5" s="15">
        <f>VLOOKUP(B5,Ordering!$A$1:$J$83,6,FALSE)</f>
        <v>1</v>
      </c>
      <c r="J5" s="23">
        <f>VLOOKUP(B5,Ordering!$A$1:$J$83,10,FALSE)</f>
        <v>0.43333333333333335</v>
      </c>
      <c r="K5" s="23">
        <f>H5/I5</f>
        <v>2.75</v>
      </c>
      <c r="L5" s="95">
        <f t="shared" ref="L5:L10" si="4">J5*K5</f>
        <v>1.1916666666666667</v>
      </c>
      <c r="N5" s="1">
        <v>1</v>
      </c>
    </row>
    <row r="6" spans="1:25" ht="15" customHeight="1" thickTop="1" thickBot="1" x14ac:dyDescent="0.55000000000000004">
      <c r="A6" s="15" t="s">
        <v>30</v>
      </c>
      <c r="B6" s="14" t="s">
        <v>112</v>
      </c>
      <c r="C6" s="15" t="s">
        <v>16</v>
      </c>
      <c r="D6" s="20">
        <f t="shared" si="0"/>
        <v>14</v>
      </c>
      <c r="E6" s="17">
        <f t="shared" si="1"/>
        <v>22</v>
      </c>
      <c r="F6" s="18">
        <v>1</v>
      </c>
      <c r="G6" s="17">
        <f t="shared" si="2"/>
        <v>308</v>
      </c>
      <c r="H6" s="83">
        <f t="shared" si="3"/>
        <v>308</v>
      </c>
      <c r="I6" s="15">
        <f>VLOOKUP(B6,Ordering!$A$1:$J$83,6,FALSE)</f>
        <v>1</v>
      </c>
      <c r="J6" s="23">
        <f>VLOOKUP(B6,Ordering!$A$1:$J$83,10,FALSE)</f>
        <v>4.2033333333333331</v>
      </c>
      <c r="K6" s="23">
        <f t="shared" ref="K6:K16" si="5">((H6/(I6))/1000)</f>
        <v>0.308</v>
      </c>
      <c r="L6" s="95">
        <f t="shared" si="4"/>
        <v>1.2946266666666666</v>
      </c>
      <c r="N6" s="31">
        <v>112</v>
      </c>
    </row>
    <row r="7" spans="1:25" ht="15" customHeight="1" thickTop="1" thickBot="1" x14ac:dyDescent="0.55000000000000004">
      <c r="A7" s="15" t="s">
        <v>49</v>
      </c>
      <c r="B7" s="14" t="s">
        <v>170</v>
      </c>
      <c r="C7" s="15" t="s">
        <v>17</v>
      </c>
      <c r="D7" s="20">
        <f t="shared" si="0"/>
        <v>3.125</v>
      </c>
      <c r="E7" s="17">
        <f t="shared" si="1"/>
        <v>22</v>
      </c>
      <c r="F7" s="18">
        <v>1</v>
      </c>
      <c r="G7" s="17">
        <f t="shared" si="2"/>
        <v>68.75</v>
      </c>
      <c r="H7" s="83">
        <f t="shared" si="3"/>
        <v>68.75</v>
      </c>
      <c r="I7" s="15">
        <f>VLOOKUP(B7,Ordering!$A$1:$J$83,6,FALSE)</f>
        <v>1</v>
      </c>
      <c r="J7" s="23">
        <f>VLOOKUP(B7,Ordering!$A$1:$J$83,10,FALSE)</f>
        <v>5.882352941176471</v>
      </c>
      <c r="K7" s="23">
        <f t="shared" si="5"/>
        <v>6.8750000000000006E-2</v>
      </c>
      <c r="L7" s="95">
        <f t="shared" si="4"/>
        <v>0.40441176470588241</v>
      </c>
      <c r="N7" s="1">
        <v>25</v>
      </c>
    </row>
    <row r="8" spans="1:25" ht="14.75" customHeight="1" thickTop="1" x14ac:dyDescent="0.5">
      <c r="A8" s="15" t="s">
        <v>49</v>
      </c>
      <c r="B8" s="14" t="s">
        <v>133</v>
      </c>
      <c r="C8" s="15" t="s">
        <v>17</v>
      </c>
      <c r="D8" s="20">
        <f t="shared" si="0"/>
        <v>0.375</v>
      </c>
      <c r="E8" s="17">
        <f t="shared" si="1"/>
        <v>22</v>
      </c>
      <c r="F8" s="18">
        <v>1</v>
      </c>
      <c r="G8" s="17">
        <f t="shared" si="2"/>
        <v>8.25</v>
      </c>
      <c r="H8" s="83">
        <f t="shared" si="3"/>
        <v>8.25</v>
      </c>
      <c r="I8" s="15">
        <f>VLOOKUP(B8,Ordering!$A$1:$J$83,6,FALSE)</f>
        <v>1</v>
      </c>
      <c r="J8" s="23">
        <f>VLOOKUP(B8,Ordering!$A$1:$J$83,10,FALSE)</f>
        <v>21.74</v>
      </c>
      <c r="K8" s="23">
        <f t="shared" si="5"/>
        <v>8.2500000000000004E-3</v>
      </c>
      <c r="L8" s="95">
        <f t="shared" si="4"/>
        <v>0.17935499999999999</v>
      </c>
      <c r="N8" s="31">
        <v>3</v>
      </c>
      <c r="V8" s="89" t="s">
        <v>248</v>
      </c>
      <c r="W8" s="90">
        <v>1</v>
      </c>
      <c r="X8" s="89" t="s">
        <v>14</v>
      </c>
      <c r="Y8" s="91">
        <f>SUM(L5:L16)/S15</f>
        <v>1.9113182949701619</v>
      </c>
    </row>
    <row r="9" spans="1:25" x14ac:dyDescent="0.5">
      <c r="A9" s="15" t="s">
        <v>49</v>
      </c>
      <c r="B9" s="14" t="s">
        <v>134</v>
      </c>
      <c r="C9" s="15" t="s">
        <v>17</v>
      </c>
      <c r="D9" s="20">
        <f t="shared" si="0"/>
        <v>0.375</v>
      </c>
      <c r="E9" s="17">
        <f t="shared" si="1"/>
        <v>22</v>
      </c>
      <c r="F9" s="18">
        <v>1</v>
      </c>
      <c r="G9" s="17">
        <f t="shared" si="2"/>
        <v>8.25</v>
      </c>
      <c r="H9" s="83">
        <f t="shared" si="3"/>
        <v>8.25</v>
      </c>
      <c r="I9" s="15">
        <f>VLOOKUP(B9,Ordering!$A$1:$J$83,6,FALSE)</f>
        <v>1</v>
      </c>
      <c r="J9" s="23">
        <f>VLOOKUP(B9,Ordering!$A$1:$J$83,10,FALSE)</f>
        <v>90</v>
      </c>
      <c r="K9" s="23">
        <f t="shared" si="5"/>
        <v>8.2500000000000004E-3</v>
      </c>
      <c r="L9" s="95">
        <f t="shared" si="4"/>
        <v>0.74250000000000005</v>
      </c>
      <c r="N9" s="31">
        <v>3</v>
      </c>
    </row>
    <row r="10" spans="1:25" x14ac:dyDescent="0.5">
      <c r="A10" s="14" t="s">
        <v>30</v>
      </c>
      <c r="B10" s="14" t="s">
        <v>127</v>
      </c>
      <c r="C10" s="15" t="s">
        <v>17</v>
      </c>
      <c r="D10" s="20">
        <f t="shared" si="0"/>
        <v>2.75</v>
      </c>
      <c r="E10" s="17">
        <f t="shared" si="1"/>
        <v>22</v>
      </c>
      <c r="F10" s="18">
        <v>1</v>
      </c>
      <c r="G10" s="17">
        <f t="shared" si="2"/>
        <v>60.5</v>
      </c>
      <c r="H10" s="83">
        <f t="shared" si="3"/>
        <v>60.5</v>
      </c>
      <c r="I10" s="15">
        <f>VLOOKUP(B10,Ordering!$A$1:$J$83,6,FALSE)</f>
        <v>1</v>
      </c>
      <c r="J10" s="23">
        <f>VLOOKUP(B10,Ordering!$A$1:$J$83,10,FALSE)</f>
        <v>14</v>
      </c>
      <c r="K10" s="23">
        <f t="shared" si="5"/>
        <v>6.0499999999999998E-2</v>
      </c>
      <c r="L10" s="95">
        <f t="shared" si="4"/>
        <v>0.84699999999999998</v>
      </c>
      <c r="N10" s="31">
        <v>22</v>
      </c>
      <c r="R10" s="123" t="s">
        <v>84</v>
      </c>
      <c r="S10" s="124"/>
    </row>
    <row r="11" spans="1:25" x14ac:dyDescent="0.5">
      <c r="A11" s="14" t="s">
        <v>48</v>
      </c>
      <c r="B11" s="55" t="s">
        <v>128</v>
      </c>
      <c r="C11" s="15" t="s">
        <v>17</v>
      </c>
      <c r="D11" s="20">
        <f t="shared" si="0"/>
        <v>1.5</v>
      </c>
      <c r="E11" s="17">
        <f t="shared" si="1"/>
        <v>22</v>
      </c>
      <c r="F11" s="18">
        <v>1</v>
      </c>
      <c r="G11" s="17">
        <f t="shared" si="2"/>
        <v>33</v>
      </c>
      <c r="H11" s="83">
        <f t="shared" si="3"/>
        <v>33</v>
      </c>
      <c r="I11" s="15">
        <f>VLOOKUP(B11,Ordering!$A$1:$J$83,6,FALSE)</f>
        <v>1</v>
      </c>
      <c r="J11" s="23">
        <f>VLOOKUP(B11,Ordering!$A$1:$J$83,10,FALSE)</f>
        <v>2.7</v>
      </c>
      <c r="K11" s="23">
        <f t="shared" si="5"/>
        <v>3.3000000000000002E-2</v>
      </c>
      <c r="L11" s="95">
        <f>J11*K11</f>
        <v>8.9100000000000013E-2</v>
      </c>
      <c r="N11" s="31">
        <v>12</v>
      </c>
      <c r="R11" s="125" t="s">
        <v>18</v>
      </c>
      <c r="S11" s="126"/>
    </row>
    <row r="12" spans="1:25" ht="14.75" customHeight="1" thickBot="1" x14ac:dyDescent="0.55000000000000004">
      <c r="A12" s="14" t="s">
        <v>50</v>
      </c>
      <c r="B12" s="14" t="s">
        <v>139</v>
      </c>
      <c r="C12" s="15" t="s">
        <v>17</v>
      </c>
      <c r="D12" s="20">
        <f t="shared" si="0"/>
        <v>15.625</v>
      </c>
      <c r="E12" s="17">
        <f t="shared" si="1"/>
        <v>22</v>
      </c>
      <c r="F12" s="18">
        <v>1</v>
      </c>
      <c r="G12" s="17">
        <f t="shared" si="2"/>
        <v>343.75</v>
      </c>
      <c r="H12" s="83">
        <f t="shared" si="3"/>
        <v>343.75</v>
      </c>
      <c r="I12" s="15">
        <f>VLOOKUP(B12,Ordering!$A$1:$J$83,6,FALSE)</f>
        <v>1</v>
      </c>
      <c r="J12" s="23">
        <f>VLOOKUP(B12,Ordering!$A$1:$J$83,10,FALSE)</f>
        <v>1.8</v>
      </c>
      <c r="K12" s="23">
        <f t="shared" si="5"/>
        <v>0.34375</v>
      </c>
      <c r="L12" s="95">
        <f t="shared" ref="L12:L16" si="6">J12*K12</f>
        <v>0.61875000000000002</v>
      </c>
      <c r="N12" s="31">
        <v>125</v>
      </c>
      <c r="R12" s="5" t="s">
        <v>19</v>
      </c>
      <c r="S12" s="6" t="s">
        <v>20</v>
      </c>
    </row>
    <row r="13" spans="1:25" ht="14.75" customHeight="1" thickBot="1" x14ac:dyDescent="0.55000000000000004">
      <c r="A13" s="14" t="s">
        <v>50</v>
      </c>
      <c r="B13" s="14" t="s">
        <v>156</v>
      </c>
      <c r="C13" s="15" t="s">
        <v>17</v>
      </c>
      <c r="D13" s="20">
        <f t="shared" si="0"/>
        <v>15.625</v>
      </c>
      <c r="E13" s="17">
        <f t="shared" si="1"/>
        <v>22</v>
      </c>
      <c r="F13" s="18">
        <v>1</v>
      </c>
      <c r="G13" s="17">
        <f t="shared" si="2"/>
        <v>343.75</v>
      </c>
      <c r="H13" s="83">
        <f t="shared" si="3"/>
        <v>343.75</v>
      </c>
      <c r="I13" s="15">
        <f>VLOOKUP(B13,Ordering!$A$1:$J$83,6,FALSE)</f>
        <v>1</v>
      </c>
      <c r="J13" s="23">
        <f>VLOOKUP(B13,Ordering!$A$1:$J$83,10,FALSE)</f>
        <v>1.7</v>
      </c>
      <c r="K13" s="23">
        <f t="shared" si="5"/>
        <v>0.34375</v>
      </c>
      <c r="L13" s="95">
        <f t="shared" si="6"/>
        <v>0.58437499999999998</v>
      </c>
      <c r="N13" s="31">
        <v>125</v>
      </c>
      <c r="R13" s="7" t="s">
        <v>21</v>
      </c>
      <c r="S13" s="8">
        <v>20</v>
      </c>
    </row>
    <row r="14" spans="1:25" ht="14.75" customHeight="1" thickBot="1" x14ac:dyDescent="0.55000000000000004">
      <c r="A14" s="14" t="s">
        <v>30</v>
      </c>
      <c r="B14" s="14" t="s">
        <v>113</v>
      </c>
      <c r="C14" s="15" t="s">
        <v>17</v>
      </c>
      <c r="D14" s="20">
        <f t="shared" si="0"/>
        <v>80</v>
      </c>
      <c r="E14" s="17">
        <f t="shared" si="1"/>
        <v>22</v>
      </c>
      <c r="F14" s="18">
        <v>1</v>
      </c>
      <c r="G14" s="17">
        <f t="shared" si="2"/>
        <v>1760</v>
      </c>
      <c r="H14" s="83">
        <f t="shared" si="3"/>
        <v>1760</v>
      </c>
      <c r="I14" s="15">
        <f>VLOOKUP(B14,Ordering!$A$1:$J$83,6,FALSE)</f>
        <v>1</v>
      </c>
      <c r="J14" s="23">
        <f>VLOOKUP(B14,Ordering!$A$1:$J$83,10,FALSE)</f>
        <v>17.934782608695652</v>
      </c>
      <c r="K14" s="23">
        <f t="shared" si="5"/>
        <v>1.76</v>
      </c>
      <c r="L14" s="95">
        <f t="shared" si="6"/>
        <v>31.565217391304348</v>
      </c>
      <c r="N14" s="31">
        <v>640</v>
      </c>
      <c r="R14" s="7" t="s">
        <v>22</v>
      </c>
      <c r="S14" s="9">
        <v>2</v>
      </c>
    </row>
    <row r="15" spans="1:25" x14ac:dyDescent="0.5">
      <c r="A15" s="14" t="s">
        <v>53</v>
      </c>
      <c r="B15" s="14" t="s">
        <v>157</v>
      </c>
      <c r="C15" s="15" t="s">
        <v>17</v>
      </c>
      <c r="D15" s="20">
        <f t="shared" si="0"/>
        <v>25</v>
      </c>
      <c r="E15" s="17">
        <f t="shared" si="1"/>
        <v>22</v>
      </c>
      <c r="F15" s="18">
        <v>1</v>
      </c>
      <c r="G15" s="17">
        <f t="shared" si="2"/>
        <v>550</v>
      </c>
      <c r="H15" s="83">
        <f t="shared" si="3"/>
        <v>550</v>
      </c>
      <c r="I15" s="15">
        <f>VLOOKUP(B15,Ordering!$A$1:$J$83,6,FALSE)</f>
        <v>1</v>
      </c>
      <c r="J15" s="23">
        <f>VLOOKUP(B15,Ordering!$A$1:$J$83,10,FALSE)</f>
        <v>7</v>
      </c>
      <c r="K15" s="23">
        <f t="shared" si="5"/>
        <v>0.55000000000000004</v>
      </c>
      <c r="L15" s="95">
        <f t="shared" si="6"/>
        <v>3.8500000000000005</v>
      </c>
      <c r="N15" s="31">
        <v>200</v>
      </c>
      <c r="R15" s="10" t="s">
        <v>23</v>
      </c>
      <c r="S15" s="11">
        <f>S13+S14</f>
        <v>22</v>
      </c>
    </row>
    <row r="16" spans="1:25" x14ac:dyDescent="0.5">
      <c r="A16" s="14" t="s">
        <v>49</v>
      </c>
      <c r="B16" s="14" t="s">
        <v>168</v>
      </c>
      <c r="C16" s="15" t="s">
        <v>16</v>
      </c>
      <c r="D16" s="20">
        <f t="shared" si="0"/>
        <v>2</v>
      </c>
      <c r="E16" s="17">
        <f t="shared" si="1"/>
        <v>22</v>
      </c>
      <c r="F16" s="18">
        <v>1</v>
      </c>
      <c r="G16" s="17">
        <f t="shared" si="2"/>
        <v>44</v>
      </c>
      <c r="H16" s="83">
        <f t="shared" si="3"/>
        <v>44</v>
      </c>
      <c r="I16" s="15">
        <f>VLOOKUP(B16,Ordering!$A$1:$J$83,6,FALSE)</f>
        <v>1</v>
      </c>
      <c r="J16" s="23">
        <f>VLOOKUP(B16,Ordering!$A$1:$J$83,10,FALSE)</f>
        <v>15.5</v>
      </c>
      <c r="K16" s="23">
        <f t="shared" si="5"/>
        <v>4.3999999999999997E-2</v>
      </c>
      <c r="L16" s="95">
        <f t="shared" si="6"/>
        <v>0.68199999999999994</v>
      </c>
      <c r="N16" s="32">
        <v>16</v>
      </c>
      <c r="R16" s="92" t="s">
        <v>14</v>
      </c>
      <c r="S16" s="93">
        <f>SUM(L5:L16)</f>
        <v>42.049002489343565</v>
      </c>
    </row>
    <row r="17" spans="10:12" x14ac:dyDescent="0.5">
      <c r="J17" s="96"/>
      <c r="K17" s="96"/>
      <c r="L17" s="96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">
    <tabColor theme="9" tint="-0.249977111117893"/>
    <pageSetUpPr fitToPage="1"/>
  </sheetPr>
  <dimension ref="A1:Y21"/>
  <sheetViews>
    <sheetView topLeftCell="D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1.1171875" bestFit="1" customWidth="1"/>
    <col min="12" max="12" width="12.1171875" bestFit="1" customWidth="1"/>
    <col min="18" max="18" width="21.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101</v>
      </c>
      <c r="G1" s="4"/>
      <c r="H1" s="38" t="s">
        <v>2</v>
      </c>
      <c r="I1" s="13">
        <f>F1/B1</f>
        <v>101</v>
      </c>
      <c r="J1" s="4"/>
      <c r="K1" s="38"/>
    </row>
    <row r="2" spans="1:25" ht="14.25" customHeight="1" x14ac:dyDescent="0.5">
      <c r="A2" s="42"/>
      <c r="B2" s="117" t="s">
        <v>47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83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15" t="s">
        <v>15</v>
      </c>
      <c r="D5" s="20">
        <f t="shared" ref="D5:D21" si="0">N5/8</f>
        <v>0.125</v>
      </c>
      <c r="E5" s="17">
        <f t="shared" ref="E5:E21" si="1">$I$1</f>
        <v>101</v>
      </c>
      <c r="F5" s="18">
        <v>1</v>
      </c>
      <c r="G5" s="30">
        <f t="shared" ref="G5:G21" si="2">E5*D5</f>
        <v>12.625</v>
      </c>
      <c r="H5" s="83">
        <f t="shared" ref="H5:H21" si="3">G5*F5</f>
        <v>12.625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12.625</v>
      </c>
      <c r="L5" s="94">
        <f t="shared" ref="L5:L21" si="4">J5*K5</f>
        <v>5.4708333333333332</v>
      </c>
      <c r="N5" s="1">
        <v>1</v>
      </c>
    </row>
    <row r="6" spans="1:25" ht="14.75" customHeight="1" thickTop="1" x14ac:dyDescent="0.5">
      <c r="A6" s="15" t="s">
        <v>30</v>
      </c>
      <c r="B6" s="15" t="s">
        <v>112</v>
      </c>
      <c r="C6" s="15" t="s">
        <v>16</v>
      </c>
      <c r="D6" s="20">
        <f t="shared" si="0"/>
        <v>14</v>
      </c>
      <c r="E6" s="17">
        <f t="shared" si="1"/>
        <v>101</v>
      </c>
      <c r="F6" s="18">
        <v>1</v>
      </c>
      <c r="G6" s="17">
        <f t="shared" si="2"/>
        <v>1414</v>
      </c>
      <c r="H6" s="83">
        <f t="shared" si="3"/>
        <v>1414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21" si="5">((H6/(I6))/1000)</f>
        <v>1.4139999999999999</v>
      </c>
      <c r="L6" s="94">
        <f t="shared" si="4"/>
        <v>5.9435133333333328</v>
      </c>
      <c r="N6" s="31">
        <v>112</v>
      </c>
    </row>
    <row r="7" spans="1:25" x14ac:dyDescent="0.5">
      <c r="A7" s="15" t="s">
        <v>49</v>
      </c>
      <c r="B7" s="15" t="s">
        <v>170</v>
      </c>
      <c r="C7" s="15" t="s">
        <v>16</v>
      </c>
      <c r="D7" s="20">
        <f t="shared" si="0"/>
        <v>3.125</v>
      </c>
      <c r="E7" s="17">
        <f t="shared" si="1"/>
        <v>101</v>
      </c>
      <c r="F7" s="18">
        <v>1</v>
      </c>
      <c r="G7" s="17">
        <f t="shared" si="2"/>
        <v>315.625</v>
      </c>
      <c r="H7" s="83">
        <f t="shared" si="3"/>
        <v>315.625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5"/>
        <v>0.31562499999999999</v>
      </c>
      <c r="L7" s="94">
        <f t="shared" si="4"/>
        <v>1.8566176470588236</v>
      </c>
      <c r="N7" s="31">
        <v>25</v>
      </c>
    </row>
    <row r="8" spans="1:25" x14ac:dyDescent="0.5">
      <c r="A8" s="15" t="s">
        <v>49</v>
      </c>
      <c r="B8" s="15" t="s">
        <v>133</v>
      </c>
      <c r="C8" s="15" t="s">
        <v>17</v>
      </c>
      <c r="D8" s="20">
        <f t="shared" si="0"/>
        <v>0.375</v>
      </c>
      <c r="E8" s="17">
        <f t="shared" si="1"/>
        <v>101</v>
      </c>
      <c r="F8" s="18">
        <v>1</v>
      </c>
      <c r="G8" s="17">
        <f t="shared" si="2"/>
        <v>37.875</v>
      </c>
      <c r="H8" s="83">
        <f t="shared" si="3"/>
        <v>37.875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5"/>
        <v>3.7874999999999999E-2</v>
      </c>
      <c r="L8" s="94">
        <f t="shared" si="4"/>
        <v>0.82340249999999993</v>
      </c>
      <c r="N8" s="31">
        <v>3</v>
      </c>
      <c r="V8" s="89" t="s">
        <v>248</v>
      </c>
      <c r="W8" s="90">
        <v>1</v>
      </c>
      <c r="X8" s="89" t="s">
        <v>14</v>
      </c>
      <c r="Y8" s="91">
        <f>SUM(L5:L21)/S15</f>
        <v>3.3300881665116631</v>
      </c>
    </row>
    <row r="9" spans="1:25" x14ac:dyDescent="0.5">
      <c r="A9" s="15" t="s">
        <v>49</v>
      </c>
      <c r="B9" s="15" t="s">
        <v>134</v>
      </c>
      <c r="C9" s="15" t="s">
        <v>17</v>
      </c>
      <c r="D9" s="20">
        <f t="shared" si="0"/>
        <v>0.375</v>
      </c>
      <c r="E9" s="17">
        <f t="shared" si="1"/>
        <v>101</v>
      </c>
      <c r="F9" s="18">
        <v>1</v>
      </c>
      <c r="G9" s="17">
        <f t="shared" si="2"/>
        <v>37.875</v>
      </c>
      <c r="H9" s="83">
        <f t="shared" si="3"/>
        <v>37.875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5"/>
        <v>3.7874999999999999E-2</v>
      </c>
      <c r="L9" s="94">
        <f t="shared" si="4"/>
        <v>3.4087499999999999</v>
      </c>
      <c r="N9" s="31">
        <v>3</v>
      </c>
    </row>
    <row r="10" spans="1:25" x14ac:dyDescent="0.5">
      <c r="A10" s="14" t="s">
        <v>30</v>
      </c>
      <c r="B10" s="15" t="s">
        <v>127</v>
      </c>
      <c r="C10" s="15" t="s">
        <v>17</v>
      </c>
      <c r="D10" s="20">
        <f t="shared" si="0"/>
        <v>2.75</v>
      </c>
      <c r="E10" s="17">
        <f t="shared" si="1"/>
        <v>101</v>
      </c>
      <c r="F10" s="18">
        <v>1</v>
      </c>
      <c r="G10" s="17">
        <f t="shared" si="2"/>
        <v>277.75</v>
      </c>
      <c r="H10" s="83">
        <f t="shared" si="3"/>
        <v>277.75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5"/>
        <v>0.27775</v>
      </c>
      <c r="L10" s="94">
        <f t="shared" si="4"/>
        <v>3.8885000000000001</v>
      </c>
      <c r="N10" s="31">
        <v>22</v>
      </c>
      <c r="R10" s="119" t="s">
        <v>86</v>
      </c>
      <c r="S10" s="120"/>
    </row>
    <row r="11" spans="1:25" x14ac:dyDescent="0.5">
      <c r="A11" s="14" t="s">
        <v>48</v>
      </c>
      <c r="B11" s="15" t="s">
        <v>128</v>
      </c>
      <c r="C11" s="15" t="s">
        <v>17</v>
      </c>
      <c r="D11" s="20">
        <f t="shared" si="0"/>
        <v>1.5</v>
      </c>
      <c r="E11" s="17">
        <f t="shared" si="1"/>
        <v>101</v>
      </c>
      <c r="F11" s="18">
        <v>1</v>
      </c>
      <c r="G11" s="17">
        <f t="shared" si="2"/>
        <v>151.5</v>
      </c>
      <c r="H11" s="83">
        <f t="shared" si="3"/>
        <v>151.5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5"/>
        <v>0.1515</v>
      </c>
      <c r="L11" s="94">
        <f t="shared" si="4"/>
        <v>0.40905000000000002</v>
      </c>
      <c r="N11" s="31">
        <v>12</v>
      </c>
      <c r="R11" s="119" t="s">
        <v>18</v>
      </c>
      <c r="S11" s="120"/>
    </row>
    <row r="12" spans="1:25" ht="14.75" customHeight="1" x14ac:dyDescent="0.5">
      <c r="A12" s="14" t="s">
        <v>50</v>
      </c>
      <c r="B12" s="15" t="s">
        <v>139</v>
      </c>
      <c r="C12" s="15" t="s">
        <v>17</v>
      </c>
      <c r="D12" s="20">
        <f t="shared" si="0"/>
        <v>15.625</v>
      </c>
      <c r="E12" s="17">
        <f t="shared" si="1"/>
        <v>101</v>
      </c>
      <c r="F12" s="18">
        <v>1</v>
      </c>
      <c r="G12" s="17">
        <f t="shared" si="2"/>
        <v>1578.125</v>
      </c>
      <c r="H12" s="83">
        <f t="shared" si="3"/>
        <v>1578.125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5"/>
        <v>1.578125</v>
      </c>
      <c r="L12" s="94">
        <f t="shared" si="4"/>
        <v>2.8406250000000002</v>
      </c>
      <c r="N12" s="31">
        <v>125</v>
      </c>
      <c r="R12" s="5" t="s">
        <v>19</v>
      </c>
      <c r="S12" s="5" t="s">
        <v>20</v>
      </c>
    </row>
    <row r="13" spans="1:25" ht="14.75" customHeight="1" x14ac:dyDescent="0.5">
      <c r="A13" s="14" t="s">
        <v>50</v>
      </c>
      <c r="B13" s="15" t="s">
        <v>156</v>
      </c>
      <c r="C13" s="15" t="s">
        <v>17</v>
      </c>
      <c r="D13" s="20">
        <f t="shared" si="0"/>
        <v>15.625</v>
      </c>
      <c r="E13" s="17">
        <f t="shared" si="1"/>
        <v>101</v>
      </c>
      <c r="F13" s="18">
        <v>1</v>
      </c>
      <c r="G13" s="17">
        <f t="shared" si="2"/>
        <v>1578.125</v>
      </c>
      <c r="H13" s="83">
        <f t="shared" si="3"/>
        <v>1578.125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5"/>
        <v>1.578125</v>
      </c>
      <c r="L13" s="94">
        <f t="shared" si="4"/>
        <v>2.6828124999999998</v>
      </c>
      <c r="N13" s="31">
        <v>125</v>
      </c>
      <c r="R13" s="5" t="s">
        <v>21</v>
      </c>
      <c r="S13" s="47">
        <v>99</v>
      </c>
    </row>
    <row r="14" spans="1:25" ht="14.75" customHeight="1" x14ac:dyDescent="0.5">
      <c r="A14" s="14" t="s">
        <v>30</v>
      </c>
      <c r="B14" s="15" t="s">
        <v>113</v>
      </c>
      <c r="C14" s="15" t="s">
        <v>17</v>
      </c>
      <c r="D14" s="20">
        <f t="shared" si="0"/>
        <v>100</v>
      </c>
      <c r="E14" s="17">
        <f t="shared" si="1"/>
        <v>101</v>
      </c>
      <c r="F14" s="18">
        <v>1</v>
      </c>
      <c r="G14" s="17">
        <f t="shared" si="2"/>
        <v>10100</v>
      </c>
      <c r="H14" s="83">
        <f t="shared" si="3"/>
        <v>10100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5"/>
        <v>10.1</v>
      </c>
      <c r="L14" s="94">
        <f t="shared" si="4"/>
        <v>181.14130434782609</v>
      </c>
      <c r="N14" s="31">
        <v>800</v>
      </c>
      <c r="R14" s="5" t="s">
        <v>22</v>
      </c>
      <c r="S14" s="14">
        <v>2</v>
      </c>
    </row>
    <row r="15" spans="1:25" x14ac:dyDescent="0.5">
      <c r="A15" s="14" t="s">
        <v>55</v>
      </c>
      <c r="B15" s="15" t="s">
        <v>178</v>
      </c>
      <c r="C15" s="15" t="s">
        <v>17</v>
      </c>
      <c r="D15" s="20">
        <f t="shared" si="0"/>
        <v>100</v>
      </c>
      <c r="E15" s="17">
        <f t="shared" si="1"/>
        <v>101</v>
      </c>
      <c r="F15" s="18">
        <v>1</v>
      </c>
      <c r="G15" s="17">
        <f t="shared" si="2"/>
        <v>10100</v>
      </c>
      <c r="H15" s="83">
        <f t="shared" si="3"/>
        <v>10100</v>
      </c>
      <c r="I15" s="15">
        <f>VLOOKUP(B15,Ordering!$A$1:$J$83,6,FALSE)</f>
        <v>0.99</v>
      </c>
      <c r="J15" s="20">
        <f>VLOOKUP(B15,Ordering!$A$1:$J$83,10,FALSE)</f>
        <v>12</v>
      </c>
      <c r="K15" s="20">
        <f t="shared" si="5"/>
        <v>10.202020202020201</v>
      </c>
      <c r="L15" s="94">
        <f t="shared" si="4"/>
        <v>122.42424242424241</v>
      </c>
      <c r="N15" s="31">
        <v>800</v>
      </c>
      <c r="R15" s="5" t="s">
        <v>23</v>
      </c>
      <c r="S15" s="48">
        <f>S13+S14</f>
        <v>101</v>
      </c>
    </row>
    <row r="16" spans="1:25" x14ac:dyDescent="0.5">
      <c r="A16" s="14" t="s">
        <v>53</v>
      </c>
      <c r="B16" s="15" t="s">
        <v>164</v>
      </c>
      <c r="C16" s="15" t="s">
        <v>17</v>
      </c>
      <c r="D16" s="20">
        <f t="shared" si="0"/>
        <v>5</v>
      </c>
      <c r="E16" s="17">
        <f t="shared" si="1"/>
        <v>101</v>
      </c>
      <c r="F16" s="18">
        <v>1</v>
      </c>
      <c r="G16" s="17">
        <f t="shared" si="2"/>
        <v>505</v>
      </c>
      <c r="H16" s="83">
        <f t="shared" si="3"/>
        <v>505</v>
      </c>
      <c r="I16" s="15">
        <f>VLOOKUP(B16,Ordering!$A$1:$J$83,6,FALSE)</f>
        <v>0.69</v>
      </c>
      <c r="J16" s="20">
        <f>VLOOKUP(B16,Ordering!$A$1:$J$83,10,FALSE)</f>
        <v>4</v>
      </c>
      <c r="K16" s="20">
        <f t="shared" si="5"/>
        <v>0.73188405797101452</v>
      </c>
      <c r="L16" s="94">
        <f t="shared" si="4"/>
        <v>2.9275362318840581</v>
      </c>
      <c r="N16" s="31">
        <v>40</v>
      </c>
      <c r="R16" s="92" t="s">
        <v>14</v>
      </c>
      <c r="S16" s="93">
        <f>SUM(L5:L21)</f>
        <v>336.33890481767799</v>
      </c>
    </row>
    <row r="17" spans="1:14" x14ac:dyDescent="0.5">
      <c r="A17" s="14" t="s">
        <v>53</v>
      </c>
      <c r="B17" s="15" t="s">
        <v>162</v>
      </c>
      <c r="C17" s="15" t="s">
        <v>17</v>
      </c>
      <c r="D17" s="20">
        <f t="shared" si="0"/>
        <v>0.125</v>
      </c>
      <c r="E17" s="17">
        <f t="shared" si="1"/>
        <v>101</v>
      </c>
      <c r="F17" s="18">
        <v>1</v>
      </c>
      <c r="G17" s="17">
        <f t="shared" si="2"/>
        <v>12.625</v>
      </c>
      <c r="H17" s="17">
        <f t="shared" si="3"/>
        <v>12.625</v>
      </c>
      <c r="I17" s="15">
        <f>VLOOKUP(B17,Ordering!$A$1:$J$83,6,FALSE)</f>
        <v>1</v>
      </c>
      <c r="J17" s="20">
        <f>VLOOKUP(B17,Ordering!$A$1:$J$83,10,FALSE)</f>
        <v>31</v>
      </c>
      <c r="K17" s="20">
        <f t="shared" si="5"/>
        <v>1.2625000000000001E-2</v>
      </c>
      <c r="L17" s="94">
        <f t="shared" si="4"/>
        <v>0.39137500000000003</v>
      </c>
      <c r="N17" s="31">
        <v>1</v>
      </c>
    </row>
    <row r="18" spans="1:14" x14ac:dyDescent="0.5">
      <c r="A18" s="14" t="s">
        <v>53</v>
      </c>
      <c r="B18" s="15" t="s">
        <v>159</v>
      </c>
      <c r="C18" s="15" t="s">
        <v>17</v>
      </c>
      <c r="D18" s="20">
        <f t="shared" si="0"/>
        <v>0.125</v>
      </c>
      <c r="E18" s="17">
        <f t="shared" si="1"/>
        <v>101</v>
      </c>
      <c r="F18" s="18">
        <v>1</v>
      </c>
      <c r="G18" s="17">
        <f t="shared" si="2"/>
        <v>12.625</v>
      </c>
      <c r="H18" s="17">
        <f t="shared" si="3"/>
        <v>12.625</v>
      </c>
      <c r="I18" s="15">
        <f>VLOOKUP(B18,Ordering!$A$1:$J$83,6,FALSE)</f>
        <v>1</v>
      </c>
      <c r="J18" s="20">
        <f>VLOOKUP(B18,Ordering!$A$1:$J$83,10,FALSE)</f>
        <v>14</v>
      </c>
      <c r="K18" s="20">
        <f t="shared" si="5"/>
        <v>1.2625000000000001E-2</v>
      </c>
      <c r="L18" s="94">
        <f t="shared" si="4"/>
        <v>0.17675000000000002</v>
      </c>
      <c r="N18" s="31">
        <v>1</v>
      </c>
    </row>
    <row r="19" spans="1:14" x14ac:dyDescent="0.5">
      <c r="A19" s="14" t="s">
        <v>53</v>
      </c>
      <c r="B19" s="15" t="s">
        <v>160</v>
      </c>
      <c r="C19" s="15" t="s">
        <v>17</v>
      </c>
      <c r="D19" s="20">
        <f t="shared" si="0"/>
        <v>0.125</v>
      </c>
      <c r="E19" s="17">
        <f t="shared" si="1"/>
        <v>101</v>
      </c>
      <c r="F19" s="18">
        <v>1</v>
      </c>
      <c r="G19" s="17">
        <f t="shared" si="2"/>
        <v>12.625</v>
      </c>
      <c r="H19" s="17">
        <f t="shared" si="3"/>
        <v>12.625</v>
      </c>
      <c r="I19" s="15">
        <f>VLOOKUP(B19,Ordering!$A$1:$J$83,6,FALSE)</f>
        <v>1</v>
      </c>
      <c r="J19" s="20">
        <f>VLOOKUP(B19,Ordering!$A$1:$J$83,10,FALSE)</f>
        <v>107</v>
      </c>
      <c r="K19" s="20">
        <f t="shared" si="5"/>
        <v>1.2625000000000001E-2</v>
      </c>
      <c r="L19" s="94">
        <f t="shared" si="4"/>
        <v>1.350875</v>
      </c>
      <c r="N19" s="31">
        <v>1</v>
      </c>
    </row>
    <row r="20" spans="1:14" x14ac:dyDescent="0.5">
      <c r="A20" s="14" t="s">
        <v>49</v>
      </c>
      <c r="B20" s="15" t="s">
        <v>135</v>
      </c>
      <c r="C20" s="15" t="s">
        <v>17</v>
      </c>
      <c r="D20" s="20">
        <f t="shared" si="0"/>
        <v>0.125</v>
      </c>
      <c r="E20" s="17">
        <f t="shared" si="1"/>
        <v>101</v>
      </c>
      <c r="F20" s="18">
        <v>1</v>
      </c>
      <c r="G20" s="17">
        <f t="shared" si="2"/>
        <v>12.625</v>
      </c>
      <c r="H20" s="17">
        <f t="shared" si="3"/>
        <v>12.625</v>
      </c>
      <c r="I20" s="15">
        <f>VLOOKUP(B20,Ordering!$A$1:$J$83,6,FALSE)</f>
        <v>1</v>
      </c>
      <c r="J20" s="20">
        <f>VLOOKUP(B20,Ordering!$A$1:$J$83,10,FALSE)</f>
        <v>0.74</v>
      </c>
      <c r="K20" s="20">
        <f t="shared" si="5"/>
        <v>1.2625000000000001E-2</v>
      </c>
      <c r="L20" s="94">
        <f t="shared" si="4"/>
        <v>9.3425000000000001E-3</v>
      </c>
      <c r="N20" s="31">
        <v>1</v>
      </c>
    </row>
    <row r="21" spans="1:14" x14ac:dyDescent="0.5">
      <c r="A21" s="14" t="s">
        <v>30</v>
      </c>
      <c r="B21" s="15" t="s">
        <v>114</v>
      </c>
      <c r="C21" s="15" t="s">
        <v>17</v>
      </c>
      <c r="D21" s="20">
        <f t="shared" si="0"/>
        <v>0.125</v>
      </c>
      <c r="E21" s="17">
        <f t="shared" si="1"/>
        <v>101</v>
      </c>
      <c r="F21" s="18">
        <v>1</v>
      </c>
      <c r="G21" s="17">
        <f t="shared" si="2"/>
        <v>12.625</v>
      </c>
      <c r="H21" s="17">
        <f t="shared" si="3"/>
        <v>12.625</v>
      </c>
      <c r="I21" s="15">
        <f>VLOOKUP(B21,Ordering!$A$1:$J$83,6,FALSE)</f>
        <v>1</v>
      </c>
      <c r="J21" s="20">
        <f>VLOOKUP(B21,Ordering!$A$1:$J$83,10,FALSE)</f>
        <v>47</v>
      </c>
      <c r="K21" s="20">
        <f t="shared" si="5"/>
        <v>1.2625000000000001E-2</v>
      </c>
      <c r="L21" s="94">
        <f t="shared" si="4"/>
        <v>0.59337499999999999</v>
      </c>
      <c r="N21" s="31">
        <v>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">
    <tabColor theme="9" tint="-0.249977111117893"/>
    <pageSetUpPr fitToPage="1"/>
  </sheetPr>
  <dimension ref="A1:Y20"/>
  <sheetViews>
    <sheetView topLeftCell="C2" zoomScale="55" zoomScaleNormal="55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585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29</v>
      </c>
      <c r="G1" s="4"/>
      <c r="H1" s="38" t="s">
        <v>2</v>
      </c>
      <c r="I1" s="13">
        <f>F1/B1</f>
        <v>29</v>
      </c>
      <c r="J1" s="4"/>
      <c r="K1" s="38"/>
    </row>
    <row r="2" spans="1:25" ht="14.25" customHeight="1" x14ac:dyDescent="0.5">
      <c r="A2" s="42"/>
      <c r="B2" s="117" t="s">
        <v>3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87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15" t="s">
        <v>15</v>
      </c>
      <c r="D5" s="20">
        <f t="shared" ref="D5:D20" si="0">N5/8</f>
        <v>0.125</v>
      </c>
      <c r="E5" s="17">
        <f t="shared" ref="E5:E20" si="1">$I$1</f>
        <v>29</v>
      </c>
      <c r="F5" s="18">
        <v>1</v>
      </c>
      <c r="G5" s="30">
        <f t="shared" ref="G5:G20" si="2">E5*D5</f>
        <v>3.625</v>
      </c>
      <c r="H5" s="83">
        <f t="shared" ref="H5:H20" si="3">G5*F5</f>
        <v>3.625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3.625</v>
      </c>
      <c r="L5" s="95">
        <f t="shared" ref="L5:L20" si="4">J5*K5</f>
        <v>1.5708333333333333</v>
      </c>
      <c r="N5" s="1">
        <v>1</v>
      </c>
    </row>
    <row r="6" spans="1:25" ht="14.75" customHeight="1" thickTop="1" x14ac:dyDescent="0.5">
      <c r="A6" s="15" t="s">
        <v>30</v>
      </c>
      <c r="B6" s="15" t="s">
        <v>112</v>
      </c>
      <c r="C6" s="15" t="s">
        <v>16</v>
      </c>
      <c r="D6" s="20">
        <f t="shared" si="0"/>
        <v>14</v>
      </c>
      <c r="E6" s="17">
        <f t="shared" si="1"/>
        <v>29</v>
      </c>
      <c r="F6" s="18">
        <v>1</v>
      </c>
      <c r="G6" s="17">
        <f t="shared" si="2"/>
        <v>406</v>
      </c>
      <c r="H6" s="83">
        <f t="shared" si="3"/>
        <v>406</v>
      </c>
      <c r="I6" s="15">
        <f>VLOOKUP(B6,Ordering!$A$1:$J$83,6,FALSE)</f>
        <v>1</v>
      </c>
      <c r="J6" s="15">
        <f>VLOOKUP(B6,Ordering!$A$1:$J$83,10,FALSE)</f>
        <v>4.2033333333333331</v>
      </c>
      <c r="K6" s="23">
        <f t="shared" ref="K6:K20" si="5">((H6/(I6))/1000)</f>
        <v>0.40600000000000003</v>
      </c>
      <c r="L6" s="95">
        <f t="shared" si="4"/>
        <v>1.7065533333333334</v>
      </c>
      <c r="N6" s="31">
        <v>112</v>
      </c>
    </row>
    <row r="7" spans="1:25" x14ac:dyDescent="0.5">
      <c r="A7" s="15" t="s">
        <v>49</v>
      </c>
      <c r="B7" s="15" t="s">
        <v>170</v>
      </c>
      <c r="C7" s="15" t="s">
        <v>17</v>
      </c>
      <c r="D7" s="20">
        <f t="shared" si="0"/>
        <v>3.125</v>
      </c>
      <c r="E7" s="17">
        <f t="shared" si="1"/>
        <v>29</v>
      </c>
      <c r="F7" s="18">
        <v>1</v>
      </c>
      <c r="G7" s="17">
        <f t="shared" si="2"/>
        <v>90.625</v>
      </c>
      <c r="H7" s="83">
        <f t="shared" si="3"/>
        <v>90.625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9.0624999999999997E-2</v>
      </c>
      <c r="L7" s="95">
        <f t="shared" si="4"/>
        <v>0.53308823529411764</v>
      </c>
      <c r="N7" s="31">
        <v>25</v>
      </c>
    </row>
    <row r="8" spans="1:25" x14ac:dyDescent="0.5">
      <c r="A8" s="15" t="s">
        <v>49</v>
      </c>
      <c r="B8" s="15" t="s">
        <v>133</v>
      </c>
      <c r="C8" s="15" t="s">
        <v>17</v>
      </c>
      <c r="D8" s="20">
        <f t="shared" si="0"/>
        <v>0.375</v>
      </c>
      <c r="E8" s="17">
        <f t="shared" si="1"/>
        <v>29</v>
      </c>
      <c r="F8" s="18">
        <v>1</v>
      </c>
      <c r="G8" s="17">
        <f t="shared" si="2"/>
        <v>10.875</v>
      </c>
      <c r="H8" s="83">
        <f t="shared" si="3"/>
        <v>10.875</v>
      </c>
      <c r="I8" s="15">
        <f>VLOOKUP(B8,Ordering!$A$1:$J$83,6,FALSE)</f>
        <v>1</v>
      </c>
      <c r="J8" s="15">
        <f>VLOOKUP(B8,Ordering!$A$1:$J$83,10,FALSE)</f>
        <v>21.74</v>
      </c>
      <c r="K8" s="23">
        <f t="shared" si="5"/>
        <v>1.0874999999999999E-2</v>
      </c>
      <c r="L8" s="95">
        <f t="shared" si="4"/>
        <v>0.23642249999999998</v>
      </c>
      <c r="N8" s="31">
        <v>3</v>
      </c>
      <c r="V8" s="89" t="s">
        <v>248</v>
      </c>
      <c r="W8" s="90">
        <v>1</v>
      </c>
      <c r="X8" s="89" t="s">
        <v>14</v>
      </c>
      <c r="Y8" s="91">
        <f>SUM(L5:L20)/S15</f>
        <v>1.9352580182903201</v>
      </c>
    </row>
    <row r="9" spans="1:25" x14ac:dyDescent="0.5">
      <c r="A9" s="15" t="s">
        <v>49</v>
      </c>
      <c r="B9" s="15" t="s">
        <v>134</v>
      </c>
      <c r="C9" s="15" t="s">
        <v>17</v>
      </c>
      <c r="D9" s="20">
        <f t="shared" si="0"/>
        <v>0.375</v>
      </c>
      <c r="E9" s="17">
        <f t="shared" si="1"/>
        <v>29</v>
      </c>
      <c r="F9" s="18">
        <v>1</v>
      </c>
      <c r="G9" s="17">
        <f t="shared" si="2"/>
        <v>10.875</v>
      </c>
      <c r="H9" s="83">
        <f t="shared" si="3"/>
        <v>10.875</v>
      </c>
      <c r="I9" s="15">
        <f>VLOOKUP(B9,Ordering!$A$1:$J$83,6,FALSE)</f>
        <v>1</v>
      </c>
      <c r="J9" s="15">
        <f>VLOOKUP(B9,Ordering!$A$1:$J$83,10,FALSE)</f>
        <v>90</v>
      </c>
      <c r="K9" s="23">
        <f t="shared" si="5"/>
        <v>1.0874999999999999E-2</v>
      </c>
      <c r="L9" s="95">
        <f t="shared" si="4"/>
        <v>0.9787499999999999</v>
      </c>
      <c r="N9" s="31">
        <v>3</v>
      </c>
    </row>
    <row r="10" spans="1:25" x14ac:dyDescent="0.5">
      <c r="A10" s="14" t="s">
        <v>30</v>
      </c>
      <c r="B10" s="15" t="s">
        <v>127</v>
      </c>
      <c r="C10" s="15" t="s">
        <v>17</v>
      </c>
      <c r="D10" s="20">
        <f t="shared" si="0"/>
        <v>2.75</v>
      </c>
      <c r="E10" s="17">
        <f t="shared" si="1"/>
        <v>29</v>
      </c>
      <c r="F10" s="18">
        <v>1</v>
      </c>
      <c r="G10" s="17">
        <f t="shared" si="2"/>
        <v>79.75</v>
      </c>
      <c r="H10" s="83">
        <f t="shared" si="3"/>
        <v>79.75</v>
      </c>
      <c r="I10" s="15">
        <f>VLOOKUP(B10,Ordering!$A$1:$J$83,6,FALSE)</f>
        <v>1</v>
      </c>
      <c r="J10" s="15">
        <f>VLOOKUP(B10,Ordering!$A$1:$J$83,10,FALSE)</f>
        <v>14</v>
      </c>
      <c r="K10" s="23">
        <f t="shared" si="5"/>
        <v>7.9750000000000001E-2</v>
      </c>
      <c r="L10" s="95">
        <f t="shared" si="4"/>
        <v>1.1165</v>
      </c>
      <c r="N10" s="31">
        <v>22</v>
      </c>
      <c r="R10" s="123" t="s">
        <v>85</v>
      </c>
      <c r="S10" s="124"/>
    </row>
    <row r="11" spans="1:25" x14ac:dyDescent="0.5">
      <c r="A11" s="14" t="s">
        <v>48</v>
      </c>
      <c r="B11" s="15" t="s">
        <v>128</v>
      </c>
      <c r="C11" s="15" t="s">
        <v>17</v>
      </c>
      <c r="D11" s="20">
        <f t="shared" si="0"/>
        <v>1.5</v>
      </c>
      <c r="E11" s="17">
        <f t="shared" si="1"/>
        <v>29</v>
      </c>
      <c r="F11" s="18">
        <v>1</v>
      </c>
      <c r="G11" s="17">
        <f t="shared" si="2"/>
        <v>43.5</v>
      </c>
      <c r="H11" s="83">
        <f t="shared" si="3"/>
        <v>43.5</v>
      </c>
      <c r="I11" s="15">
        <f>VLOOKUP(B11,Ordering!$A$1:$J$83,6,FALSE)</f>
        <v>1</v>
      </c>
      <c r="J11" s="15">
        <f>VLOOKUP(B11,Ordering!$A$1:$J$83,10,FALSE)</f>
        <v>2.7</v>
      </c>
      <c r="K11" s="23">
        <f t="shared" si="5"/>
        <v>4.3499999999999997E-2</v>
      </c>
      <c r="L11" s="95">
        <f t="shared" si="4"/>
        <v>0.11745</v>
      </c>
      <c r="N11" s="31">
        <v>12</v>
      </c>
      <c r="R11" s="125" t="s">
        <v>18</v>
      </c>
      <c r="S11" s="126"/>
    </row>
    <row r="12" spans="1:25" ht="14.75" customHeight="1" thickBot="1" x14ac:dyDescent="0.55000000000000004">
      <c r="A12" s="14" t="s">
        <v>50</v>
      </c>
      <c r="B12" s="15" t="s">
        <v>139</v>
      </c>
      <c r="C12" s="15" t="s">
        <v>17</v>
      </c>
      <c r="D12" s="20">
        <f t="shared" si="0"/>
        <v>15.625</v>
      </c>
      <c r="E12" s="17">
        <f t="shared" si="1"/>
        <v>29</v>
      </c>
      <c r="F12" s="18">
        <v>1</v>
      </c>
      <c r="G12" s="17">
        <f t="shared" si="2"/>
        <v>453.125</v>
      </c>
      <c r="H12" s="83">
        <f t="shared" si="3"/>
        <v>453.125</v>
      </c>
      <c r="I12" s="15">
        <f>VLOOKUP(B12,Ordering!$A$1:$J$83,6,FALSE)</f>
        <v>1</v>
      </c>
      <c r="J12" s="15">
        <f>VLOOKUP(B12,Ordering!$A$1:$J$83,10,FALSE)</f>
        <v>1.8</v>
      </c>
      <c r="K12" s="23">
        <f t="shared" si="5"/>
        <v>0.453125</v>
      </c>
      <c r="L12" s="95">
        <f t="shared" si="4"/>
        <v>0.81562500000000004</v>
      </c>
      <c r="N12" s="31">
        <v>125</v>
      </c>
      <c r="R12" s="5" t="s">
        <v>19</v>
      </c>
      <c r="S12" s="6" t="s">
        <v>20</v>
      </c>
    </row>
    <row r="13" spans="1:25" ht="14.75" customHeight="1" thickBot="1" x14ac:dyDescent="0.55000000000000004">
      <c r="A13" s="14" t="s">
        <v>50</v>
      </c>
      <c r="B13" s="15" t="s">
        <v>156</v>
      </c>
      <c r="C13" s="15" t="s">
        <v>17</v>
      </c>
      <c r="D13" s="20">
        <f t="shared" si="0"/>
        <v>15.625</v>
      </c>
      <c r="E13" s="17">
        <f t="shared" si="1"/>
        <v>29</v>
      </c>
      <c r="F13" s="18">
        <v>1</v>
      </c>
      <c r="G13" s="17">
        <f t="shared" si="2"/>
        <v>453.125</v>
      </c>
      <c r="H13" s="83">
        <f t="shared" si="3"/>
        <v>453.125</v>
      </c>
      <c r="I13" s="15">
        <f>VLOOKUP(B13,Ordering!$A$1:$J$83,6,FALSE)</f>
        <v>1</v>
      </c>
      <c r="J13" s="15">
        <f>VLOOKUP(B13,Ordering!$A$1:$J$83,10,FALSE)</f>
        <v>1.7</v>
      </c>
      <c r="K13" s="23">
        <f t="shared" si="5"/>
        <v>0.453125</v>
      </c>
      <c r="L13" s="95">
        <f t="shared" si="4"/>
        <v>0.77031249999999996</v>
      </c>
      <c r="N13" s="31">
        <v>125</v>
      </c>
      <c r="R13" s="7" t="s">
        <v>21</v>
      </c>
      <c r="S13" s="8">
        <v>27</v>
      </c>
    </row>
    <row r="14" spans="1:25" ht="14.75" customHeight="1" thickBot="1" x14ac:dyDescent="0.55000000000000004">
      <c r="A14" s="14" t="s">
        <v>30</v>
      </c>
      <c r="B14" s="15" t="s">
        <v>117</v>
      </c>
      <c r="C14" s="15" t="s">
        <v>17</v>
      </c>
      <c r="D14" s="20">
        <f t="shared" si="0"/>
        <v>100</v>
      </c>
      <c r="E14" s="17">
        <f t="shared" si="1"/>
        <v>29</v>
      </c>
      <c r="F14" s="18">
        <v>1</v>
      </c>
      <c r="G14" s="17">
        <f t="shared" si="2"/>
        <v>2900</v>
      </c>
      <c r="H14" s="83">
        <f t="shared" si="3"/>
        <v>2900</v>
      </c>
      <c r="I14" s="15">
        <f>VLOOKUP(B14,Ordering!$A$1:$J$83,6,FALSE)</f>
        <v>1</v>
      </c>
      <c r="J14" s="15">
        <f>VLOOKUP(B14,Ordering!$A$1:$J$83,10,FALSE)</f>
        <v>13.545454545454545</v>
      </c>
      <c r="K14" s="23">
        <f t="shared" si="5"/>
        <v>2.9</v>
      </c>
      <c r="L14" s="95">
        <f t="shared" si="4"/>
        <v>39.281818181818181</v>
      </c>
      <c r="N14" s="31">
        <v>800</v>
      </c>
      <c r="R14" s="7" t="s">
        <v>22</v>
      </c>
      <c r="S14" s="9">
        <v>2</v>
      </c>
    </row>
    <row r="15" spans="1:25" x14ac:dyDescent="0.5">
      <c r="A15" s="14" t="s">
        <v>53</v>
      </c>
      <c r="B15" s="15" t="s">
        <v>164</v>
      </c>
      <c r="C15" s="15" t="s">
        <v>17</v>
      </c>
      <c r="D15" s="20">
        <f t="shared" si="0"/>
        <v>20</v>
      </c>
      <c r="E15" s="17">
        <f t="shared" si="1"/>
        <v>29</v>
      </c>
      <c r="F15" s="18">
        <v>1</v>
      </c>
      <c r="G15" s="17">
        <f t="shared" si="2"/>
        <v>580</v>
      </c>
      <c r="H15" s="83">
        <f t="shared" si="3"/>
        <v>580</v>
      </c>
      <c r="I15" s="15">
        <f>VLOOKUP(B15,Ordering!$A$1:$J$83,6,FALSE)</f>
        <v>0.69</v>
      </c>
      <c r="J15" s="15">
        <f>VLOOKUP(B15,Ordering!$A$1:$J$83,10,FALSE)</f>
        <v>4</v>
      </c>
      <c r="K15" s="23">
        <f t="shared" si="5"/>
        <v>0.84057971014492761</v>
      </c>
      <c r="L15" s="95">
        <f t="shared" si="4"/>
        <v>3.3623188405797104</v>
      </c>
      <c r="N15" s="31">
        <v>160</v>
      </c>
      <c r="R15" s="10" t="s">
        <v>23</v>
      </c>
      <c r="S15" s="11">
        <f>S13+S14</f>
        <v>29</v>
      </c>
    </row>
    <row r="16" spans="1:25" x14ac:dyDescent="0.5">
      <c r="A16" s="14" t="s">
        <v>55</v>
      </c>
      <c r="B16" s="15" t="s">
        <v>163</v>
      </c>
      <c r="C16" s="15" t="s">
        <v>17</v>
      </c>
      <c r="D16" s="20">
        <f t="shared" si="0"/>
        <v>5</v>
      </c>
      <c r="E16" s="17">
        <f t="shared" si="1"/>
        <v>29</v>
      </c>
      <c r="F16" s="18">
        <v>1</v>
      </c>
      <c r="G16" s="17">
        <f t="shared" si="2"/>
        <v>145</v>
      </c>
      <c r="H16" s="83">
        <f t="shared" si="3"/>
        <v>145</v>
      </c>
      <c r="I16" s="15">
        <f>VLOOKUP(B16,Ordering!$A$1:$J$83,6,FALSE)</f>
        <v>0.9</v>
      </c>
      <c r="J16" s="15">
        <f>VLOOKUP(B16,Ordering!$A$1:$J$83,10,FALSE)</f>
        <v>3.5</v>
      </c>
      <c r="K16" s="23">
        <f t="shared" si="5"/>
        <v>0.16111111111111112</v>
      </c>
      <c r="L16" s="95">
        <f t="shared" si="4"/>
        <v>0.56388888888888888</v>
      </c>
      <c r="N16" s="31">
        <v>40</v>
      </c>
      <c r="R16" s="92" t="s">
        <v>14</v>
      </c>
      <c r="S16" s="93">
        <f>SUM(L5:L20)</f>
        <v>56.122482530419283</v>
      </c>
    </row>
    <row r="17" spans="1:14" x14ac:dyDescent="0.5">
      <c r="A17" s="14" t="s">
        <v>55</v>
      </c>
      <c r="B17" s="15" t="s">
        <v>154</v>
      </c>
      <c r="C17" s="15" t="s">
        <v>17</v>
      </c>
      <c r="D17" s="20">
        <f t="shared" si="0"/>
        <v>5</v>
      </c>
      <c r="E17" s="17">
        <f t="shared" si="1"/>
        <v>29</v>
      </c>
      <c r="F17" s="18">
        <v>1</v>
      </c>
      <c r="G17" s="17">
        <f t="shared" si="2"/>
        <v>145</v>
      </c>
      <c r="H17" s="17">
        <f t="shared" si="3"/>
        <v>145</v>
      </c>
      <c r="I17" s="15">
        <f>VLOOKUP(B17,Ordering!$A$1:$J$83,6,FALSE)</f>
        <v>0.8</v>
      </c>
      <c r="J17" s="15">
        <f>VLOOKUP(B17,Ordering!$A$1:$J$83,10,FALSE)</f>
        <v>3</v>
      </c>
      <c r="K17" s="23">
        <f t="shared" si="5"/>
        <v>0.18124999999999999</v>
      </c>
      <c r="L17" s="95">
        <f t="shared" si="4"/>
        <v>0.54374999999999996</v>
      </c>
      <c r="N17" s="31">
        <v>40</v>
      </c>
    </row>
    <row r="18" spans="1:14" x14ac:dyDescent="0.5">
      <c r="A18" s="14" t="s">
        <v>53</v>
      </c>
      <c r="B18" s="15" t="s">
        <v>167</v>
      </c>
      <c r="C18" s="15" t="s">
        <v>17</v>
      </c>
      <c r="D18" s="20">
        <f t="shared" si="0"/>
        <v>1</v>
      </c>
      <c r="E18" s="17">
        <f t="shared" si="1"/>
        <v>29</v>
      </c>
      <c r="F18" s="18">
        <v>1</v>
      </c>
      <c r="G18" s="17">
        <f t="shared" si="2"/>
        <v>29</v>
      </c>
      <c r="H18" s="17">
        <f t="shared" si="3"/>
        <v>29</v>
      </c>
      <c r="I18" s="15">
        <f>VLOOKUP(B18,Ordering!$A$1:$J$83,6,FALSE)</f>
        <v>1</v>
      </c>
      <c r="J18" s="15">
        <f>VLOOKUP(B18,Ordering!$A$1:$J$83,10,FALSE)</f>
        <v>20</v>
      </c>
      <c r="K18" s="23">
        <f t="shared" si="5"/>
        <v>2.9000000000000001E-2</v>
      </c>
      <c r="L18" s="95">
        <f t="shared" si="4"/>
        <v>0.58000000000000007</v>
      </c>
      <c r="N18" s="31">
        <v>8</v>
      </c>
    </row>
    <row r="19" spans="1:14" x14ac:dyDescent="0.5">
      <c r="A19" s="14" t="s">
        <v>49</v>
      </c>
      <c r="B19" s="15" t="s">
        <v>171</v>
      </c>
      <c r="C19" s="15" t="s">
        <v>17</v>
      </c>
      <c r="D19" s="20">
        <f t="shared" si="0"/>
        <v>8</v>
      </c>
      <c r="E19" s="17">
        <f t="shared" si="1"/>
        <v>29</v>
      </c>
      <c r="F19" s="18">
        <v>1</v>
      </c>
      <c r="G19" s="17">
        <f t="shared" si="2"/>
        <v>232</v>
      </c>
      <c r="H19" s="17">
        <f t="shared" si="3"/>
        <v>232</v>
      </c>
      <c r="I19" s="15">
        <f>VLOOKUP(B19,Ordering!$A$1:$J$83,6,FALSE)</f>
        <v>1</v>
      </c>
      <c r="J19" s="15">
        <f>VLOOKUP(B19,Ordering!$A$1:$J$83,10,FALSE)</f>
        <v>10.416666666666666</v>
      </c>
      <c r="K19" s="23">
        <f t="shared" si="5"/>
        <v>0.23200000000000001</v>
      </c>
      <c r="L19" s="95">
        <f t="shared" si="4"/>
        <v>2.4166666666666665</v>
      </c>
      <c r="N19" s="31">
        <v>64</v>
      </c>
    </row>
    <row r="20" spans="1:14" x14ac:dyDescent="0.5">
      <c r="A20" s="14" t="s">
        <v>49</v>
      </c>
      <c r="B20" s="15" t="s">
        <v>172</v>
      </c>
      <c r="C20" s="15" t="s">
        <v>17</v>
      </c>
      <c r="D20" s="20">
        <f t="shared" si="0"/>
        <v>8</v>
      </c>
      <c r="E20" s="17">
        <f t="shared" si="1"/>
        <v>29</v>
      </c>
      <c r="F20" s="18">
        <v>1</v>
      </c>
      <c r="G20" s="17">
        <f t="shared" si="2"/>
        <v>232</v>
      </c>
      <c r="H20" s="17">
        <f t="shared" si="3"/>
        <v>232</v>
      </c>
      <c r="I20" s="15">
        <f>VLOOKUP(B20,Ordering!$A$1:$J$83,6,FALSE)</f>
        <v>1</v>
      </c>
      <c r="J20" s="15">
        <f>VLOOKUP(B20,Ordering!$A$1:$J$83,10,FALSE)</f>
        <v>6.5883838383838373</v>
      </c>
      <c r="K20" s="23">
        <f t="shared" si="5"/>
        <v>0.23200000000000001</v>
      </c>
      <c r="L20" s="95">
        <f t="shared" si="4"/>
        <v>1.5285050505050504</v>
      </c>
      <c r="N20" s="31">
        <v>64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theme="9" tint="-0.249977111117893"/>
    <pageSetUpPr fitToPage="1"/>
  </sheetPr>
  <dimension ref="A1:Y16"/>
  <sheetViews>
    <sheetView topLeftCell="E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1.46875" bestFit="1" customWidth="1"/>
    <col min="3" max="3" width="4.46875" bestFit="1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6.0585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101</v>
      </c>
      <c r="G1" s="4"/>
      <c r="H1" s="38" t="s">
        <v>2</v>
      </c>
      <c r="I1" s="13">
        <f>F1/B1</f>
        <v>101</v>
      </c>
      <c r="J1" s="4"/>
      <c r="K1" s="38"/>
    </row>
    <row r="2" spans="1:25" ht="14.25" customHeight="1" x14ac:dyDescent="0.5">
      <c r="A2" s="42"/>
      <c r="B2" s="117" t="s">
        <v>33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93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51</v>
      </c>
      <c r="B5" s="15" t="s">
        <v>142</v>
      </c>
      <c r="C5" s="22" t="s">
        <v>17</v>
      </c>
      <c r="D5" s="20">
        <f>N5/100</f>
        <v>15</v>
      </c>
      <c r="E5" s="17">
        <f>$I$1</f>
        <v>101</v>
      </c>
      <c r="F5" s="18">
        <v>1</v>
      </c>
      <c r="G5" s="17">
        <f>E5*D5</f>
        <v>1515</v>
      </c>
      <c r="H5" s="83">
        <f>G5*F5</f>
        <v>1515</v>
      </c>
      <c r="I5" s="15">
        <f>VLOOKUP(B5,Ordering!$A$1:$J$83,6,FALSE)</f>
        <v>1</v>
      </c>
      <c r="J5" s="15">
        <f>VLOOKUP(B5,Ordering!$A$1:$J$83,10,FALSE)</f>
        <v>19.75</v>
      </c>
      <c r="K5" s="23">
        <f t="shared" ref="K5:K8" si="0">((H5/(I5))/1000)</f>
        <v>1.5149999999999999</v>
      </c>
      <c r="L5" s="95">
        <f t="shared" ref="L5:L8" si="1">J5*K5</f>
        <v>29.921249999999997</v>
      </c>
      <c r="N5" s="2">
        <v>1500</v>
      </c>
    </row>
    <row r="6" spans="1:25" ht="15" customHeight="1" thickTop="1" thickBot="1" x14ac:dyDescent="0.55000000000000004">
      <c r="A6" s="15" t="s">
        <v>30</v>
      </c>
      <c r="B6" s="15" t="s">
        <v>115</v>
      </c>
      <c r="C6" s="22" t="s">
        <v>17</v>
      </c>
      <c r="D6" s="21">
        <f>N6/100</f>
        <v>7.5</v>
      </c>
      <c r="E6" s="17">
        <f>$I$1</f>
        <v>101</v>
      </c>
      <c r="F6" s="18">
        <v>1</v>
      </c>
      <c r="G6" s="17">
        <f>E6*D6</f>
        <v>757.5</v>
      </c>
      <c r="H6" s="83">
        <f>G6*F6</f>
        <v>757.5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0.75749999999999995</v>
      </c>
      <c r="L6" s="95">
        <f t="shared" si="1"/>
        <v>22.724999999999998</v>
      </c>
      <c r="N6" s="2">
        <v>750</v>
      </c>
    </row>
    <row r="7" spans="1:25" ht="15" customHeight="1" thickTop="1" thickBot="1" x14ac:dyDescent="0.55000000000000004">
      <c r="A7" s="15" t="s">
        <v>30</v>
      </c>
      <c r="B7" s="15" t="s">
        <v>118</v>
      </c>
      <c r="C7" s="22" t="s">
        <v>17</v>
      </c>
      <c r="D7" s="21">
        <f>N7/100</f>
        <v>4</v>
      </c>
      <c r="E7" s="17">
        <f>$I$1</f>
        <v>101</v>
      </c>
      <c r="F7" s="18">
        <v>1</v>
      </c>
      <c r="G7" s="17">
        <f>E7*D7</f>
        <v>404</v>
      </c>
      <c r="H7" s="83">
        <f>G7*F7</f>
        <v>404</v>
      </c>
      <c r="I7" s="15">
        <f>VLOOKUP(B7,Ordering!$A$1:$J$83,6,FALSE)</f>
        <v>1</v>
      </c>
      <c r="J7" s="15">
        <f>VLOOKUP(B7,Ordering!$A$1:$J$83,10,FALSE)</f>
        <v>11.304</v>
      </c>
      <c r="K7" s="23">
        <f t="shared" si="0"/>
        <v>0.40400000000000003</v>
      </c>
      <c r="L7" s="95">
        <f t="shared" si="1"/>
        <v>4.5668160000000002</v>
      </c>
      <c r="N7" s="2">
        <v>400</v>
      </c>
    </row>
    <row r="8" spans="1:25" ht="15" customHeight="1" thickTop="1" thickBot="1" x14ac:dyDescent="0.55000000000000004">
      <c r="A8" s="15" t="s">
        <v>27</v>
      </c>
      <c r="B8" s="15" t="s">
        <v>121</v>
      </c>
      <c r="C8" s="22" t="s">
        <v>17</v>
      </c>
      <c r="D8" s="20">
        <f>N8/100</f>
        <v>16</v>
      </c>
      <c r="E8" s="17">
        <f>$I$1</f>
        <v>101</v>
      </c>
      <c r="F8" s="18">
        <v>1</v>
      </c>
      <c r="G8" s="17">
        <f>E8*D8</f>
        <v>1616</v>
      </c>
      <c r="H8" s="83">
        <f>G8*F8</f>
        <v>1616</v>
      </c>
      <c r="I8" s="15">
        <f>VLOOKUP(B8,Ordering!$A$1:$J$83,6,FALSE)</f>
        <v>1</v>
      </c>
      <c r="J8" s="15">
        <f>VLOOKUP(B8,Ordering!$A$1:$J$83,10,FALSE)</f>
        <v>9.1666666666666679</v>
      </c>
      <c r="K8" s="23">
        <f t="shared" si="0"/>
        <v>1.6160000000000001</v>
      </c>
      <c r="L8" s="95">
        <f t="shared" si="1"/>
        <v>14.813333333333336</v>
      </c>
      <c r="N8" s="2">
        <v>1600</v>
      </c>
      <c r="V8" s="89" t="s">
        <v>248</v>
      </c>
      <c r="W8" s="90">
        <v>1</v>
      </c>
      <c r="X8" s="89" t="s">
        <v>14</v>
      </c>
      <c r="Y8" s="91">
        <f>SUM(L5:L8)/S15</f>
        <v>0.71313266666666664</v>
      </c>
    </row>
    <row r="9" spans="1:25" ht="14.75" customHeight="1" thickTop="1" x14ac:dyDescent="0.5"/>
    <row r="10" spans="1:25" x14ac:dyDescent="0.5">
      <c r="R10" s="119" t="s">
        <v>92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99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101</v>
      </c>
    </row>
    <row r="16" spans="1:25" x14ac:dyDescent="0.5">
      <c r="R16" s="92" t="s">
        <v>14</v>
      </c>
      <c r="S16" s="93">
        <f>SUM(L5:L8)</f>
        <v>72.02639933333333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9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7.644531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200</v>
      </c>
      <c r="G1" s="4"/>
      <c r="H1" s="38" t="s">
        <v>2</v>
      </c>
      <c r="I1" s="13">
        <f>F1/B1</f>
        <v>200</v>
      </c>
      <c r="J1" s="4"/>
      <c r="K1" s="38"/>
    </row>
    <row r="2" spans="1:25" ht="14.25" customHeight="1" x14ac:dyDescent="0.5">
      <c r="A2" s="42"/>
      <c r="B2" s="117" t="s">
        <v>38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88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26" t="s">
        <v>15</v>
      </c>
      <c r="D5" s="20">
        <f t="shared" ref="D5:D12" si="0">N5/70</f>
        <v>0.2</v>
      </c>
      <c r="E5" s="17">
        <f t="shared" ref="E5:E12" si="1">$I$1</f>
        <v>200</v>
      </c>
      <c r="F5" s="18">
        <v>1</v>
      </c>
      <c r="G5" s="17">
        <f t="shared" ref="G5:G12" si="2">E5*D5</f>
        <v>40</v>
      </c>
      <c r="H5" s="83">
        <f t="shared" ref="H5:H12" si="3">G5*F5</f>
        <v>40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40</v>
      </c>
      <c r="L5" s="95">
        <f t="shared" ref="L5:L12" si="4">J5*K5</f>
        <v>17.333333333333336</v>
      </c>
      <c r="N5" s="3">
        <v>14</v>
      </c>
    </row>
    <row r="6" spans="1:25" ht="15" customHeight="1" thickTop="1" thickBot="1" x14ac:dyDescent="0.55000000000000004">
      <c r="A6" s="15" t="s">
        <v>49</v>
      </c>
      <c r="B6" s="15" t="s">
        <v>170</v>
      </c>
      <c r="C6" s="26" t="s">
        <v>17</v>
      </c>
      <c r="D6" s="20">
        <f t="shared" si="0"/>
        <v>11.785714285714286</v>
      </c>
      <c r="E6" s="17">
        <f t="shared" si="1"/>
        <v>200</v>
      </c>
      <c r="F6" s="18">
        <v>1</v>
      </c>
      <c r="G6" s="17">
        <f t="shared" si="2"/>
        <v>2357.1428571428573</v>
      </c>
      <c r="H6" s="83">
        <f t="shared" si="3"/>
        <v>2357.1428571428573</v>
      </c>
      <c r="I6" s="15">
        <f>VLOOKUP(B6,Ordering!$A$1:$J$83,6,FALSE)</f>
        <v>1</v>
      </c>
      <c r="J6" s="15">
        <f>VLOOKUP(B6,Ordering!$A$1:$J$83,10,FALSE)</f>
        <v>5.882352941176471</v>
      </c>
      <c r="K6" s="23">
        <f t="shared" ref="K6:K12" si="5">((H6/(I6))/1000)</f>
        <v>2.3571428571428572</v>
      </c>
      <c r="L6" s="95">
        <f t="shared" si="4"/>
        <v>13.865546218487395</v>
      </c>
      <c r="N6" s="3">
        <v>825</v>
      </c>
    </row>
    <row r="7" spans="1:25" ht="15" customHeight="1" thickTop="1" thickBot="1" x14ac:dyDescent="0.55000000000000004">
      <c r="A7" s="15" t="s">
        <v>48</v>
      </c>
      <c r="B7" s="15" t="s">
        <v>128</v>
      </c>
      <c r="C7" s="26" t="s">
        <v>17</v>
      </c>
      <c r="D7" s="20">
        <f t="shared" si="0"/>
        <v>9.0714285714285712</v>
      </c>
      <c r="E7" s="17">
        <f t="shared" si="1"/>
        <v>200</v>
      </c>
      <c r="F7" s="18">
        <v>1</v>
      </c>
      <c r="G7" s="17">
        <f t="shared" si="2"/>
        <v>1814.2857142857142</v>
      </c>
      <c r="H7" s="83">
        <f t="shared" si="3"/>
        <v>1814.2857142857142</v>
      </c>
      <c r="I7" s="15">
        <f>VLOOKUP(B7,Ordering!$A$1:$J$83,6,FALSE)</f>
        <v>1</v>
      </c>
      <c r="J7" s="15">
        <f>VLOOKUP(B7,Ordering!$A$1:$J$83,10,FALSE)</f>
        <v>2.7</v>
      </c>
      <c r="K7" s="23">
        <f t="shared" si="5"/>
        <v>1.8142857142857143</v>
      </c>
      <c r="L7" s="95">
        <f t="shared" si="4"/>
        <v>4.8985714285714286</v>
      </c>
      <c r="N7" s="3">
        <v>635</v>
      </c>
    </row>
    <row r="8" spans="1:25" ht="15" customHeight="1" thickTop="1" thickBot="1" x14ac:dyDescent="0.55000000000000004">
      <c r="A8" s="15" t="s">
        <v>30</v>
      </c>
      <c r="B8" s="15" t="s">
        <v>127</v>
      </c>
      <c r="C8" s="26" t="s">
        <v>17</v>
      </c>
      <c r="D8" s="20">
        <f t="shared" si="0"/>
        <v>11.785714285714286</v>
      </c>
      <c r="E8" s="17">
        <f t="shared" si="1"/>
        <v>200</v>
      </c>
      <c r="F8" s="18">
        <v>1</v>
      </c>
      <c r="G8" s="17">
        <f t="shared" si="2"/>
        <v>2357.1428571428573</v>
      </c>
      <c r="H8" s="83">
        <f t="shared" si="3"/>
        <v>2357.1428571428573</v>
      </c>
      <c r="I8" s="15">
        <f>VLOOKUP(B8,Ordering!$A$1:$J$83,6,FALSE)</f>
        <v>1</v>
      </c>
      <c r="J8" s="15">
        <f>VLOOKUP(B8,Ordering!$A$1:$J$83,10,FALSE)</f>
        <v>14</v>
      </c>
      <c r="K8" s="23">
        <f t="shared" si="5"/>
        <v>2.3571428571428572</v>
      </c>
      <c r="L8" s="95">
        <f t="shared" si="4"/>
        <v>33</v>
      </c>
      <c r="N8" s="3">
        <v>825</v>
      </c>
      <c r="V8" s="89" t="s">
        <v>248</v>
      </c>
      <c r="W8" s="90">
        <v>1</v>
      </c>
      <c r="X8" s="89" t="s">
        <v>14</v>
      </c>
      <c r="Y8" s="91">
        <f>SUM(L5:L12)/S15</f>
        <v>0.51451781045751632</v>
      </c>
    </row>
    <row r="9" spans="1:25" ht="15" customHeight="1" thickTop="1" thickBot="1" x14ac:dyDescent="0.55000000000000004">
      <c r="A9" s="15" t="s">
        <v>50</v>
      </c>
      <c r="B9" s="15" t="s">
        <v>136</v>
      </c>
      <c r="C9" s="26" t="s">
        <v>17</v>
      </c>
      <c r="D9" s="20">
        <f t="shared" si="0"/>
        <v>15.357142857142858</v>
      </c>
      <c r="E9" s="17">
        <f t="shared" si="1"/>
        <v>200</v>
      </c>
      <c r="F9" s="18">
        <v>1</v>
      </c>
      <c r="G9" s="17">
        <f t="shared" si="2"/>
        <v>3071.4285714285716</v>
      </c>
      <c r="H9" s="83">
        <f t="shared" si="3"/>
        <v>3071.4285714285716</v>
      </c>
      <c r="I9" s="15">
        <f>VLOOKUP(B9,Ordering!$A$1:$J$83,6,FALSE)</f>
        <v>1</v>
      </c>
      <c r="J9" s="15">
        <f>VLOOKUP(B9,Ordering!$A$1:$J$83,10,FALSE)</f>
        <v>5</v>
      </c>
      <c r="K9" s="23">
        <f t="shared" si="5"/>
        <v>3.0714285714285716</v>
      </c>
      <c r="L9" s="95">
        <f t="shared" si="4"/>
        <v>15.357142857142858</v>
      </c>
      <c r="N9" s="3">
        <v>1075</v>
      </c>
    </row>
    <row r="10" spans="1:25" ht="15" customHeight="1" thickTop="1" thickBot="1" x14ac:dyDescent="0.55000000000000004">
      <c r="A10" s="15" t="s">
        <v>49</v>
      </c>
      <c r="B10" s="15" t="s">
        <v>132</v>
      </c>
      <c r="C10" s="26" t="s">
        <v>17</v>
      </c>
      <c r="D10" s="20">
        <f t="shared" si="0"/>
        <v>0.35714285714285715</v>
      </c>
      <c r="E10" s="17">
        <f t="shared" si="1"/>
        <v>200</v>
      </c>
      <c r="F10" s="18">
        <v>1</v>
      </c>
      <c r="G10" s="17">
        <f t="shared" si="2"/>
        <v>71.428571428571431</v>
      </c>
      <c r="H10" s="83">
        <f t="shared" si="3"/>
        <v>71.428571428571431</v>
      </c>
      <c r="I10" s="15">
        <f>VLOOKUP(B10,Ordering!$A$1:$J$83,6,FALSE)</f>
        <v>1</v>
      </c>
      <c r="J10" s="15">
        <f>VLOOKUP(B10,Ordering!$A$1:$J$83,10,FALSE)</f>
        <v>7.9</v>
      </c>
      <c r="K10" s="23">
        <f t="shared" si="5"/>
        <v>7.1428571428571425E-2</v>
      </c>
      <c r="L10" s="95">
        <f t="shared" si="4"/>
        <v>0.56428571428571428</v>
      </c>
      <c r="N10" s="3">
        <v>25</v>
      </c>
      <c r="R10" s="119" t="s">
        <v>89</v>
      </c>
      <c r="S10" s="120"/>
    </row>
    <row r="11" spans="1:25" ht="15" customHeight="1" thickTop="1" thickBot="1" x14ac:dyDescent="0.55000000000000004">
      <c r="A11" s="15" t="s">
        <v>49</v>
      </c>
      <c r="B11" s="15" t="s">
        <v>131</v>
      </c>
      <c r="C11" s="26" t="s">
        <v>17</v>
      </c>
      <c r="D11" s="20">
        <f t="shared" si="0"/>
        <v>0.35714285714285715</v>
      </c>
      <c r="E11" s="17">
        <f t="shared" si="1"/>
        <v>200</v>
      </c>
      <c r="F11" s="18">
        <v>1</v>
      </c>
      <c r="G11" s="17">
        <f t="shared" si="2"/>
        <v>71.428571428571431</v>
      </c>
      <c r="H11" s="83">
        <f t="shared" si="3"/>
        <v>71.428571428571431</v>
      </c>
      <c r="I11" s="15">
        <f>VLOOKUP(B11,Ordering!$A$1:$J$83,6,FALSE)</f>
        <v>1</v>
      </c>
      <c r="J11" s="15">
        <f>VLOOKUP(B11,Ordering!$A$1:$J$83,10,FALSE)</f>
        <v>24.305555555555557</v>
      </c>
      <c r="K11" s="23">
        <f t="shared" si="5"/>
        <v>7.1428571428571425E-2</v>
      </c>
      <c r="L11" s="95">
        <f t="shared" si="4"/>
        <v>1.7361111111111112</v>
      </c>
      <c r="N11" s="3">
        <v>25</v>
      </c>
      <c r="R11" s="119" t="s">
        <v>18</v>
      </c>
      <c r="S11" s="120"/>
    </row>
    <row r="12" spans="1:25" ht="15" customHeight="1" thickTop="1" thickBot="1" x14ac:dyDescent="0.55000000000000004">
      <c r="A12" s="15" t="s">
        <v>30</v>
      </c>
      <c r="B12" s="15" t="s">
        <v>118</v>
      </c>
      <c r="C12" s="26" t="s">
        <v>17</v>
      </c>
      <c r="D12" s="20">
        <f t="shared" si="0"/>
        <v>7.1428571428571432</v>
      </c>
      <c r="E12" s="17">
        <f t="shared" si="1"/>
        <v>200</v>
      </c>
      <c r="F12" s="18">
        <v>1</v>
      </c>
      <c r="G12" s="17">
        <f t="shared" si="2"/>
        <v>1428.5714285714287</v>
      </c>
      <c r="H12" s="83">
        <f t="shared" si="3"/>
        <v>1428.5714285714287</v>
      </c>
      <c r="I12" s="15">
        <f>VLOOKUP(B12,Ordering!$A$1:$J$83,6,FALSE)</f>
        <v>1</v>
      </c>
      <c r="J12" s="15">
        <f>VLOOKUP(B12,Ordering!$A$1:$J$83,10,FALSE)</f>
        <v>11.304</v>
      </c>
      <c r="K12" s="23">
        <f t="shared" si="5"/>
        <v>1.4285714285714286</v>
      </c>
      <c r="L12" s="95">
        <f t="shared" si="4"/>
        <v>16.148571428571429</v>
      </c>
      <c r="N12" s="3">
        <v>500</v>
      </c>
      <c r="R12" s="5" t="s">
        <v>19</v>
      </c>
      <c r="S12" s="5" t="s">
        <v>20</v>
      </c>
    </row>
    <row r="13" spans="1:25" ht="15" customHeight="1" thickTop="1" x14ac:dyDescent="0.5">
      <c r="R13" s="5" t="s">
        <v>21</v>
      </c>
      <c r="S13" s="47">
        <v>198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200</v>
      </c>
    </row>
    <row r="16" spans="1:25" x14ac:dyDescent="0.5">
      <c r="R16" s="92" t="s">
        <v>14</v>
      </c>
      <c r="S16" s="93">
        <f>SUM(L5:L12)</f>
        <v>102.90356209150328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theme="9" tint="-0.249977111117893"/>
    <pageSetUpPr fitToPage="1"/>
  </sheetPr>
  <dimension ref="A1:Y16"/>
  <sheetViews>
    <sheetView topLeftCell="R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27.644531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303.82</v>
      </c>
      <c r="G1" s="4"/>
      <c r="H1" s="38" t="s">
        <v>2</v>
      </c>
      <c r="I1" s="13">
        <f>F1/B1</f>
        <v>303.82</v>
      </c>
      <c r="J1" s="4"/>
      <c r="K1" s="38"/>
    </row>
    <row r="2" spans="1:25" ht="14.25" customHeight="1" x14ac:dyDescent="0.5">
      <c r="A2" s="42"/>
      <c r="B2" s="117" t="s">
        <v>32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91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27</v>
      </c>
      <c r="B5" s="15" t="s">
        <v>121</v>
      </c>
      <c r="C5" s="24" t="s">
        <v>17</v>
      </c>
      <c r="D5" s="20">
        <f>N5/96</f>
        <v>12.5</v>
      </c>
      <c r="E5" s="17">
        <f>$I$1</f>
        <v>303.82</v>
      </c>
      <c r="F5" s="18">
        <v>1</v>
      </c>
      <c r="G5" s="17">
        <f>E5*D5</f>
        <v>3797.75</v>
      </c>
      <c r="H5" s="83">
        <f>G5*F5</f>
        <v>3797.75</v>
      </c>
      <c r="I5" s="15">
        <f>VLOOKUP(B5,Ordering!$A$1:$J$83,6,FALSE)</f>
        <v>1</v>
      </c>
      <c r="J5" s="23">
        <f>VLOOKUP(B5,Ordering!$A$1:$J$83,10,FALSE)</f>
        <v>9.1666666666666679</v>
      </c>
      <c r="K5" s="20">
        <f t="shared" ref="K5:K9" si="0">((H5/(I5))/1000)</f>
        <v>3.7977500000000002</v>
      </c>
      <c r="L5" s="95">
        <f t="shared" ref="L5:L9" si="1">J5*K5</f>
        <v>34.81270833333334</v>
      </c>
      <c r="N5" s="3">
        <v>1200</v>
      </c>
    </row>
    <row r="6" spans="1:25" ht="15" customHeight="1" thickTop="1" thickBot="1" x14ac:dyDescent="0.55000000000000004">
      <c r="A6" s="15" t="s">
        <v>30</v>
      </c>
      <c r="B6" s="15" t="s">
        <v>115</v>
      </c>
      <c r="C6" s="24" t="s">
        <v>17</v>
      </c>
      <c r="D6" s="21">
        <f>N6/96</f>
        <v>2.0833333333333335</v>
      </c>
      <c r="E6" s="17">
        <f>$I$1</f>
        <v>303.82</v>
      </c>
      <c r="F6" s="18">
        <v>1</v>
      </c>
      <c r="G6" s="17">
        <f>E6*D6</f>
        <v>632.95833333333337</v>
      </c>
      <c r="H6" s="83">
        <f>G6*F6</f>
        <v>632.95833333333337</v>
      </c>
      <c r="I6" s="15">
        <f>VLOOKUP(B6,Ordering!$A$1:$J$83,6,FALSE)</f>
        <v>1</v>
      </c>
      <c r="J6" s="23">
        <f>VLOOKUP(B6,Ordering!$A$1:$J$83,10,FALSE)</f>
        <v>30</v>
      </c>
      <c r="K6" s="20">
        <f t="shared" si="0"/>
        <v>0.6329583333333334</v>
      </c>
      <c r="L6" s="95">
        <f t="shared" si="1"/>
        <v>18.988750000000003</v>
      </c>
      <c r="N6" s="3">
        <v>200</v>
      </c>
    </row>
    <row r="7" spans="1:25" ht="15" customHeight="1" thickTop="1" thickBot="1" x14ac:dyDescent="0.55000000000000004">
      <c r="A7" s="15" t="s">
        <v>30</v>
      </c>
      <c r="B7" s="15" t="s">
        <v>117</v>
      </c>
      <c r="C7" s="24" t="s">
        <v>17</v>
      </c>
      <c r="D7" s="21">
        <f>N7/96</f>
        <v>15.625</v>
      </c>
      <c r="E7" s="17">
        <f>$I$1</f>
        <v>303.82</v>
      </c>
      <c r="F7" s="18">
        <v>1</v>
      </c>
      <c r="G7" s="17">
        <f>E7*D7</f>
        <v>4747.1875</v>
      </c>
      <c r="H7" s="83">
        <f>G7*F7</f>
        <v>4747.1875</v>
      </c>
      <c r="I7" s="15">
        <f>VLOOKUP(B7,Ordering!$A$1:$J$83,6,FALSE)</f>
        <v>1</v>
      </c>
      <c r="J7" s="23">
        <f>VLOOKUP(B7,Ordering!$A$1:$J$83,10,FALSE)</f>
        <v>13.545454545454545</v>
      </c>
      <c r="K7" s="20">
        <f t="shared" si="0"/>
        <v>4.7471874999999999</v>
      </c>
      <c r="L7" s="95">
        <f t="shared" si="1"/>
        <v>64.302812500000002</v>
      </c>
      <c r="N7" s="3">
        <v>1500</v>
      </c>
    </row>
    <row r="8" spans="1:25" ht="15" customHeight="1" thickTop="1" thickBot="1" x14ac:dyDescent="0.55000000000000004">
      <c r="A8" s="15" t="s">
        <v>30</v>
      </c>
      <c r="B8" s="15" t="s">
        <v>123</v>
      </c>
      <c r="C8" s="24" t="s">
        <v>17</v>
      </c>
      <c r="D8" s="21">
        <f>N8/96</f>
        <v>4.166666666666667</v>
      </c>
      <c r="E8" s="17">
        <f>$I$1</f>
        <v>303.82</v>
      </c>
      <c r="F8" s="18">
        <v>1</v>
      </c>
      <c r="G8" s="17">
        <f>E8*D8</f>
        <v>1265.9166666666667</v>
      </c>
      <c r="H8" s="83">
        <f>G8*F8</f>
        <v>1265.9166666666667</v>
      </c>
      <c r="I8" s="15">
        <f>VLOOKUP(B8,Ordering!$A$1:$J$83,6,FALSE)</f>
        <v>1</v>
      </c>
      <c r="J8" s="23">
        <f>VLOOKUP(B8,Ordering!$A$1:$J$83,10,FALSE)</f>
        <v>14.2</v>
      </c>
      <c r="K8" s="20">
        <f t="shared" si="0"/>
        <v>1.2659166666666668</v>
      </c>
      <c r="L8" s="95">
        <f t="shared" si="1"/>
        <v>17.976016666666666</v>
      </c>
      <c r="N8" s="3">
        <v>400</v>
      </c>
      <c r="V8" s="89" t="s">
        <v>248</v>
      </c>
      <c r="W8" s="90">
        <v>1</v>
      </c>
      <c r="X8" s="89" t="s">
        <v>14</v>
      </c>
      <c r="Y8" s="91">
        <f>SUM(L5:L9)/S15</f>
        <v>0.8211616161616162</v>
      </c>
    </row>
    <row r="9" spans="1:25" ht="15" customHeight="1" thickTop="1" thickBot="1" x14ac:dyDescent="0.55000000000000004">
      <c r="A9" s="15" t="s">
        <v>52</v>
      </c>
      <c r="B9" s="15" t="s">
        <v>147</v>
      </c>
      <c r="C9" s="24" t="s">
        <v>17</v>
      </c>
      <c r="D9" s="21">
        <f>N9/96</f>
        <v>10.416666666666666</v>
      </c>
      <c r="E9" s="17">
        <f>$I$1</f>
        <v>303.82</v>
      </c>
      <c r="F9" s="18">
        <v>1</v>
      </c>
      <c r="G9" s="17">
        <f>E9*D9</f>
        <v>3164.7916666666665</v>
      </c>
      <c r="H9" s="83">
        <f>G9*F9</f>
        <v>3164.7916666666665</v>
      </c>
      <c r="I9" s="15">
        <f>VLOOKUP(B9,Ordering!$A$1:$J$83,6,FALSE)</f>
        <v>1</v>
      </c>
      <c r="J9" s="23">
        <f>VLOOKUP(B9,Ordering!$A$1:$J$83,10,FALSE)</f>
        <v>35.833333333333336</v>
      </c>
      <c r="K9" s="20">
        <f t="shared" si="0"/>
        <v>3.1647916666666664</v>
      </c>
      <c r="L9" s="95">
        <f t="shared" si="1"/>
        <v>113.40503472222223</v>
      </c>
      <c r="N9" s="3">
        <v>1000</v>
      </c>
    </row>
    <row r="10" spans="1:25" ht="14.75" customHeight="1" thickTop="1" x14ac:dyDescent="0.5">
      <c r="R10" s="119" t="s">
        <v>90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303</v>
      </c>
    </row>
    <row r="14" spans="1:25" ht="14.75" customHeight="1" x14ac:dyDescent="0.5">
      <c r="R14" s="5" t="s">
        <v>22</v>
      </c>
      <c r="S14" s="14">
        <v>0.82</v>
      </c>
    </row>
    <row r="15" spans="1:25" x14ac:dyDescent="0.5">
      <c r="R15" s="5" t="s">
        <v>23</v>
      </c>
      <c r="S15" s="48">
        <f>S13+S14</f>
        <v>303.82</v>
      </c>
    </row>
    <row r="16" spans="1:25" x14ac:dyDescent="0.5">
      <c r="R16" s="92" t="s">
        <v>14</v>
      </c>
      <c r="S16" s="93">
        <f>SUM(L5:L9)</f>
        <v>249.48532222222224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7BCC6-24C0-4A99-BCD8-EC3A65103E97}">
  <sheetPr codeName="Sheet39">
    <tabColor theme="9" tint="-0.249977111117893"/>
    <pageSetUpPr fitToPage="1"/>
  </sheetPr>
  <dimension ref="A1:X16"/>
  <sheetViews>
    <sheetView topLeftCell="C1" zoomScale="55" zoomScaleNormal="55" zoomScaleSheetLayoutView="100" workbookViewId="0">
      <selection activeCell="S14" sqref="S14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34</v>
      </c>
      <c r="G1" s="4"/>
      <c r="H1" s="38" t="s">
        <v>2</v>
      </c>
      <c r="I1" s="13">
        <f>F1/B1</f>
        <v>34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34</v>
      </c>
      <c r="F5" s="18">
        <v>1</v>
      </c>
      <c r="G5" s="17">
        <f t="shared" ref="G5:G7" si="1">E5*D5</f>
        <v>221</v>
      </c>
      <c r="H5" s="83">
        <f t="shared" ref="H5:H7" si="2">G5*F5</f>
        <v>221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0.221</v>
      </c>
      <c r="L5" s="95">
        <f t="shared" ref="L5:L7" si="4">J5*K5</f>
        <v>8.84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34</v>
      </c>
      <c r="F6" s="18">
        <v>1</v>
      </c>
      <c r="G6" s="17">
        <f t="shared" si="1"/>
        <v>421.6</v>
      </c>
      <c r="H6" s="114">
        <f t="shared" si="2"/>
        <v>421.6</v>
      </c>
      <c r="I6" s="109">
        <f>VLOOKUP(B6,Ordering!$A$1:$J$83,6,FALSE)</f>
        <v>1</v>
      </c>
      <c r="J6" s="109">
        <f>VLOOKUP(B6,Ordering!$A$1:$J$83,10,FALSE)</f>
        <v>51</v>
      </c>
      <c r="K6" s="99">
        <f t="shared" si="3"/>
        <v>0.42160000000000003</v>
      </c>
      <c r="L6" s="98">
        <f t="shared" si="4"/>
        <v>21.5016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34</v>
      </c>
      <c r="F7" s="18">
        <v>1</v>
      </c>
      <c r="G7" s="17">
        <f t="shared" si="1"/>
        <v>170</v>
      </c>
      <c r="H7" s="114">
        <f t="shared" si="2"/>
        <v>170</v>
      </c>
      <c r="I7" s="109">
        <f>VLOOKUP(B7,Ordering!$A$1:$J$83,6,FALSE)</f>
        <v>1</v>
      </c>
      <c r="J7" s="109">
        <f>VLOOKUP(B7,Ordering!$A$1:$J$83,10,FALSE)</f>
        <v>41</v>
      </c>
      <c r="K7" s="99">
        <f t="shared" si="3"/>
        <v>0.17</v>
      </c>
      <c r="L7" s="98">
        <f t="shared" si="4"/>
        <v>6.9700000000000006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1.0973999999999999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29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34</v>
      </c>
    </row>
    <row r="16" spans="1:24" x14ac:dyDescent="0.5">
      <c r="R16" s="92" t="s">
        <v>14</v>
      </c>
      <c r="S16" s="93">
        <f>SUM(L5:L7)</f>
        <v>37.311599999999999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7">
    <tabColor theme="8" tint="-0.249977111117893"/>
    <pageSetUpPr fitToPage="1"/>
  </sheetPr>
  <dimension ref="A1:Y16"/>
  <sheetViews>
    <sheetView topLeftCell="E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46.64453125" customWidth="1"/>
    <col min="3" max="3" width="17.41015625" customWidth="1"/>
    <col min="4" max="4" width="14.46875" bestFit="1" customWidth="1"/>
    <col min="5" max="5" width="14.3515625" bestFit="1" customWidth="1"/>
    <col min="6" max="6" width="12.3515625" customWidth="1"/>
    <col min="8" max="8" width="29.8203125" bestFit="1" customWidth="1"/>
    <col min="10" max="10" width="14.41015625" customWidth="1"/>
    <col min="12" max="12" width="4.46875" bestFit="1" customWidth="1"/>
    <col min="13" max="13" width="3.41015625" customWidth="1"/>
    <col min="14" max="14" width="7.3515625" customWidth="1"/>
    <col min="15" max="17" width="3.41015625" customWidth="1"/>
    <col min="18" max="18" width="24.05859375" customWidth="1"/>
    <col min="19" max="19" width="14.8203125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132</v>
      </c>
      <c r="G1" s="4"/>
      <c r="H1" s="38" t="s">
        <v>2</v>
      </c>
      <c r="I1" s="13">
        <f>F1/B1</f>
        <v>132</v>
      </c>
      <c r="J1" s="4"/>
      <c r="K1" s="38"/>
    </row>
    <row r="2" spans="1:25" ht="14.25" customHeight="1" x14ac:dyDescent="0.5">
      <c r="A2" s="42"/>
      <c r="B2" s="117" t="s">
        <v>42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98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56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124</v>
      </c>
      <c r="C5" s="15" t="s">
        <v>17</v>
      </c>
      <c r="D5" s="20">
        <f t="shared" ref="D5:D14" si="0">N5/50</f>
        <v>8</v>
      </c>
      <c r="E5" s="17">
        <f t="shared" ref="E5:E14" si="1">$I$1</f>
        <v>132</v>
      </c>
      <c r="F5" s="18">
        <v>1</v>
      </c>
      <c r="G5" s="17">
        <f t="shared" ref="G5:G14" si="2">E5*D5</f>
        <v>1056</v>
      </c>
      <c r="H5" s="83">
        <f t="shared" ref="H5:H14" si="3">G5*F5</f>
        <v>1056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11" si="4">((H5/(I5))/1000)</f>
        <v>1.056</v>
      </c>
      <c r="L5" s="95">
        <f t="shared" ref="L5:L14" si="5">J5*K5</f>
        <v>36.800000000000004</v>
      </c>
      <c r="N5" s="1">
        <v>400</v>
      </c>
    </row>
    <row r="6" spans="1:25" ht="15" customHeight="1" thickTop="1" thickBot="1" x14ac:dyDescent="0.55000000000000004">
      <c r="A6" s="15" t="s">
        <v>48</v>
      </c>
      <c r="B6" s="15" t="s">
        <v>130</v>
      </c>
      <c r="C6" s="15" t="s">
        <v>17</v>
      </c>
      <c r="D6" s="20">
        <f t="shared" si="0"/>
        <v>3</v>
      </c>
      <c r="E6" s="17">
        <f t="shared" si="1"/>
        <v>132</v>
      </c>
      <c r="F6" s="18">
        <v>1</v>
      </c>
      <c r="G6" s="17">
        <f t="shared" si="2"/>
        <v>396</v>
      </c>
      <c r="H6" s="83">
        <f t="shared" si="3"/>
        <v>396</v>
      </c>
      <c r="I6" s="15">
        <f>VLOOKUP(B6,Ordering!$A$1:$J$83,6,FALSE)</f>
        <v>1</v>
      </c>
      <c r="J6" s="15">
        <f>VLOOKUP(B6,Ordering!$A$1:$J$83,10,FALSE)</f>
        <v>3.3333333333333335</v>
      </c>
      <c r="K6" s="23">
        <f t="shared" si="4"/>
        <v>0.39600000000000002</v>
      </c>
      <c r="L6" s="95">
        <f t="shared" si="5"/>
        <v>1.32</v>
      </c>
      <c r="N6" s="1">
        <v>150</v>
      </c>
    </row>
    <row r="7" spans="1:25" ht="15" customHeight="1" thickTop="1" thickBot="1" x14ac:dyDescent="0.55000000000000004">
      <c r="A7" s="15" t="s">
        <v>30</v>
      </c>
      <c r="B7" s="15" t="s">
        <v>122</v>
      </c>
      <c r="C7" s="15" t="s">
        <v>17</v>
      </c>
      <c r="D7" s="20">
        <f t="shared" si="0"/>
        <v>14</v>
      </c>
      <c r="E7" s="17">
        <f t="shared" si="1"/>
        <v>132</v>
      </c>
      <c r="F7" s="18">
        <v>1</v>
      </c>
      <c r="G7" s="17">
        <f t="shared" si="2"/>
        <v>1848</v>
      </c>
      <c r="H7" s="83">
        <f t="shared" si="3"/>
        <v>1848</v>
      </c>
      <c r="I7" s="15">
        <f>VLOOKUP(B7,Ordering!$A$1:$J$83,6,FALSE)</f>
        <v>1</v>
      </c>
      <c r="J7" s="15">
        <f>VLOOKUP(B7,Ordering!$A$1:$J$83,10,FALSE)</f>
        <v>10.833333333333334</v>
      </c>
      <c r="K7" s="23">
        <f t="shared" si="4"/>
        <v>1.8480000000000001</v>
      </c>
      <c r="L7" s="95">
        <f t="shared" si="5"/>
        <v>20.020000000000003</v>
      </c>
      <c r="N7" s="1">
        <v>700</v>
      </c>
    </row>
    <row r="8" spans="1:25" ht="15" customHeight="1" thickTop="1" thickBot="1" x14ac:dyDescent="0.55000000000000004">
      <c r="A8" s="15" t="s">
        <v>51</v>
      </c>
      <c r="B8" s="15" t="s">
        <v>144</v>
      </c>
      <c r="C8" s="15" t="s">
        <v>17</v>
      </c>
      <c r="D8" s="20">
        <f t="shared" si="0"/>
        <v>2</v>
      </c>
      <c r="E8" s="17">
        <f t="shared" si="1"/>
        <v>132</v>
      </c>
      <c r="F8" s="18">
        <v>1</v>
      </c>
      <c r="G8" s="17">
        <f t="shared" si="2"/>
        <v>264</v>
      </c>
      <c r="H8" s="83">
        <f t="shared" si="3"/>
        <v>264</v>
      </c>
      <c r="I8" s="15">
        <f>VLOOKUP(B8,Ordering!$A$1:$J$83,6,FALSE)</f>
        <v>1</v>
      </c>
      <c r="J8" s="15">
        <f>VLOOKUP(B8,Ordering!$A$1:$J$83,10,FALSE)</f>
        <v>34.133333333333333</v>
      </c>
      <c r="K8" s="23">
        <f t="shared" si="4"/>
        <v>0.26400000000000001</v>
      </c>
      <c r="L8" s="95">
        <f t="shared" si="5"/>
        <v>9.0112000000000005</v>
      </c>
      <c r="N8" s="1">
        <v>100</v>
      </c>
      <c r="V8" s="89" t="s">
        <v>248</v>
      </c>
      <c r="W8" s="90">
        <v>1</v>
      </c>
      <c r="X8" s="89" t="s">
        <v>14</v>
      </c>
      <c r="Y8" s="91">
        <f>SUM(L5:L14)/S15</f>
        <v>1.0527849376114085</v>
      </c>
    </row>
    <row r="9" spans="1:25" ht="15" customHeight="1" thickTop="1" thickBot="1" x14ac:dyDescent="0.55000000000000004">
      <c r="A9" s="15" t="s">
        <v>50</v>
      </c>
      <c r="B9" s="15" t="s">
        <v>231</v>
      </c>
      <c r="C9" s="15" t="s">
        <v>17</v>
      </c>
      <c r="D9" s="20">
        <f t="shared" si="0"/>
        <v>10</v>
      </c>
      <c r="E9" s="17">
        <f t="shared" si="1"/>
        <v>132</v>
      </c>
      <c r="F9" s="18">
        <v>1</v>
      </c>
      <c r="G9" s="17">
        <f t="shared" si="2"/>
        <v>1320</v>
      </c>
      <c r="H9" s="83">
        <f t="shared" si="3"/>
        <v>1320</v>
      </c>
      <c r="I9" s="15">
        <f>VLOOKUP(B9,Ordering!$A$1:$J$83,6,FALSE)</f>
        <v>1</v>
      </c>
      <c r="J9" s="15">
        <f>VLOOKUP(B9,Ordering!$A$1:$J$83,10,FALSE)</f>
        <v>9.3333333333333339</v>
      </c>
      <c r="K9" s="23">
        <f t="shared" si="4"/>
        <v>1.32</v>
      </c>
      <c r="L9" s="95">
        <f t="shared" si="5"/>
        <v>12.320000000000002</v>
      </c>
      <c r="N9" s="1">
        <v>500</v>
      </c>
    </row>
    <row r="10" spans="1:25" ht="15" customHeight="1" thickTop="1" thickBot="1" x14ac:dyDescent="0.55000000000000004">
      <c r="A10" s="14" t="s">
        <v>49</v>
      </c>
      <c r="B10" s="15" t="s">
        <v>120</v>
      </c>
      <c r="C10" s="15" t="s">
        <v>16</v>
      </c>
      <c r="D10" s="20">
        <f t="shared" si="0"/>
        <v>3</v>
      </c>
      <c r="E10" s="17">
        <f t="shared" si="1"/>
        <v>132</v>
      </c>
      <c r="F10" s="18">
        <v>1</v>
      </c>
      <c r="G10" s="17">
        <f t="shared" si="2"/>
        <v>396</v>
      </c>
      <c r="H10" s="83">
        <f t="shared" si="3"/>
        <v>396</v>
      </c>
      <c r="I10" s="15">
        <f>VLOOKUP(B10,Ordering!$A$1:$J$83,6,FALSE)</f>
        <v>1</v>
      </c>
      <c r="J10" s="15">
        <f>VLOOKUP(B10,Ordering!$A$1:$J$83,10,FALSE)</f>
        <v>0</v>
      </c>
      <c r="K10" s="23">
        <f t="shared" si="4"/>
        <v>0.39600000000000002</v>
      </c>
      <c r="L10" s="95">
        <f t="shared" si="5"/>
        <v>0</v>
      </c>
      <c r="N10" s="1">
        <v>150</v>
      </c>
      <c r="R10" s="119" t="s">
        <v>99</v>
      </c>
      <c r="S10" s="120"/>
    </row>
    <row r="11" spans="1:25" ht="15" customHeight="1" thickTop="1" thickBot="1" x14ac:dyDescent="0.55000000000000004">
      <c r="A11" s="14" t="s">
        <v>49</v>
      </c>
      <c r="B11" s="15" t="s">
        <v>170</v>
      </c>
      <c r="C11" s="15" t="s">
        <v>17</v>
      </c>
      <c r="D11" s="20">
        <f t="shared" si="0"/>
        <v>3</v>
      </c>
      <c r="E11" s="17">
        <f t="shared" si="1"/>
        <v>132</v>
      </c>
      <c r="F11" s="18">
        <v>1</v>
      </c>
      <c r="G11" s="17">
        <f t="shared" si="2"/>
        <v>396</v>
      </c>
      <c r="H11" s="83">
        <f t="shared" si="3"/>
        <v>396</v>
      </c>
      <c r="I11" s="15">
        <f>VLOOKUP(B11,Ordering!$A$1:$J$83,6,FALSE)</f>
        <v>1</v>
      </c>
      <c r="J11" s="15">
        <f>VLOOKUP(B11,Ordering!$A$1:$J$83,10,FALSE)</f>
        <v>5.882352941176471</v>
      </c>
      <c r="K11" s="23">
        <f t="shared" si="4"/>
        <v>0.39600000000000002</v>
      </c>
      <c r="L11" s="95">
        <f t="shared" si="5"/>
        <v>2.3294117647058825</v>
      </c>
      <c r="N11" s="1">
        <v>150</v>
      </c>
      <c r="R11" s="119" t="s">
        <v>18</v>
      </c>
      <c r="S11" s="120"/>
    </row>
    <row r="12" spans="1:25" ht="15" customHeight="1" thickTop="1" thickBot="1" x14ac:dyDescent="0.55000000000000004">
      <c r="A12" s="14" t="s">
        <v>30</v>
      </c>
      <c r="B12" s="15" t="s">
        <v>111</v>
      </c>
      <c r="C12" s="15" t="s">
        <v>15</v>
      </c>
      <c r="D12" s="20">
        <f t="shared" si="0"/>
        <v>0.06</v>
      </c>
      <c r="E12" s="17">
        <f t="shared" si="1"/>
        <v>132</v>
      </c>
      <c r="F12" s="18">
        <v>1</v>
      </c>
      <c r="G12" s="17">
        <f t="shared" si="2"/>
        <v>7.92</v>
      </c>
      <c r="H12" s="83">
        <f t="shared" si="3"/>
        <v>7.92</v>
      </c>
      <c r="I12" s="15">
        <f>VLOOKUP(B12,Ordering!$A$1:$J$83,6,FALSE)</f>
        <v>1</v>
      </c>
      <c r="J12" s="15">
        <f>VLOOKUP(B12,Ordering!$A$1:$J$83,10,FALSE)</f>
        <v>0.43333333333333335</v>
      </c>
      <c r="K12" s="15">
        <f t="shared" ref="K12" si="6">H12/I12</f>
        <v>7.92</v>
      </c>
      <c r="L12" s="95">
        <f t="shared" si="5"/>
        <v>3.4319999999999999</v>
      </c>
      <c r="N12" s="1">
        <v>3</v>
      </c>
      <c r="R12" s="5" t="s">
        <v>19</v>
      </c>
      <c r="S12" s="5" t="s">
        <v>20</v>
      </c>
    </row>
    <row r="13" spans="1:25" ht="15" customHeight="1" thickTop="1" thickBot="1" x14ac:dyDescent="0.55000000000000004">
      <c r="A13" s="14" t="s">
        <v>52</v>
      </c>
      <c r="B13" s="15" t="s">
        <v>148</v>
      </c>
      <c r="C13" s="15" t="s">
        <v>17</v>
      </c>
      <c r="D13" s="20">
        <f t="shared" si="0"/>
        <v>10</v>
      </c>
      <c r="E13" s="17">
        <f t="shared" si="1"/>
        <v>132</v>
      </c>
      <c r="F13" s="18">
        <v>1</v>
      </c>
      <c r="G13" s="17">
        <f t="shared" si="2"/>
        <v>1320</v>
      </c>
      <c r="H13" s="83">
        <f t="shared" si="3"/>
        <v>1320</v>
      </c>
      <c r="I13" s="15">
        <f>VLOOKUP(B13,Ordering!$A$1:$J$83,6,FALSE)</f>
        <v>1</v>
      </c>
      <c r="J13" s="15">
        <f>VLOOKUP(B13,Ordering!$A$1:$J$83,10,FALSE)</f>
        <v>30.833333333333332</v>
      </c>
      <c r="K13" s="23">
        <f t="shared" ref="K13:K14" si="7">((H13/(I13))/1000)</f>
        <v>1.32</v>
      </c>
      <c r="L13" s="95">
        <f t="shared" si="5"/>
        <v>40.700000000000003</v>
      </c>
      <c r="N13" s="1">
        <v>500</v>
      </c>
      <c r="R13" s="5" t="s">
        <v>21</v>
      </c>
      <c r="S13" s="47">
        <v>130</v>
      </c>
    </row>
    <row r="14" spans="1:25" ht="15" customHeight="1" thickTop="1" thickBot="1" x14ac:dyDescent="0.55000000000000004">
      <c r="A14" s="14" t="s">
        <v>51</v>
      </c>
      <c r="B14" s="15" t="s">
        <v>142</v>
      </c>
      <c r="C14" s="15" t="s">
        <v>17</v>
      </c>
      <c r="D14" s="20">
        <f t="shared" si="0"/>
        <v>5</v>
      </c>
      <c r="E14" s="17">
        <f t="shared" si="1"/>
        <v>132</v>
      </c>
      <c r="F14" s="18">
        <v>1</v>
      </c>
      <c r="G14" s="17">
        <f t="shared" si="2"/>
        <v>660</v>
      </c>
      <c r="H14" s="83">
        <f t="shared" si="3"/>
        <v>660</v>
      </c>
      <c r="I14" s="15">
        <f>VLOOKUP(B14,Ordering!$A$1:$J$83,6,FALSE)</f>
        <v>1</v>
      </c>
      <c r="J14" s="15">
        <f>VLOOKUP(B14,Ordering!$A$1:$J$83,10,FALSE)</f>
        <v>19.75</v>
      </c>
      <c r="K14" s="23">
        <f t="shared" si="7"/>
        <v>0.66</v>
      </c>
      <c r="L14" s="95">
        <f t="shared" si="5"/>
        <v>13.035</v>
      </c>
      <c r="N14" s="1">
        <v>250</v>
      </c>
      <c r="R14" s="5" t="s">
        <v>22</v>
      </c>
      <c r="S14" s="14">
        <v>2</v>
      </c>
    </row>
    <row r="15" spans="1:25" ht="14.75" customHeight="1" thickTop="1" x14ac:dyDescent="0.5">
      <c r="R15" s="5" t="s">
        <v>23</v>
      </c>
      <c r="S15" s="48">
        <f>S13+S14</f>
        <v>132</v>
      </c>
    </row>
    <row r="16" spans="1:25" x14ac:dyDescent="0.5">
      <c r="R16" s="92" t="s">
        <v>14</v>
      </c>
      <c r="S16" s="93">
        <f>SUM(L5:L14)</f>
        <v>138.96761176470591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8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35" x14ac:dyDescent="0.5"/>
  <cols>
    <col min="1" max="1" width="35.820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82031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174</v>
      </c>
      <c r="G1" s="4"/>
      <c r="H1" s="38" t="s">
        <v>2</v>
      </c>
      <c r="I1" s="13">
        <f>F1/B1</f>
        <v>174</v>
      </c>
      <c r="J1" s="4"/>
      <c r="K1" s="38"/>
    </row>
    <row r="2" spans="1:25" ht="14.25" customHeight="1" x14ac:dyDescent="0.5">
      <c r="A2" s="42"/>
      <c r="B2" s="117" t="s">
        <v>29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94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48</v>
      </c>
      <c r="B5" s="15" t="s">
        <v>128</v>
      </c>
      <c r="C5" s="15" t="s">
        <v>17</v>
      </c>
      <c r="D5" s="19">
        <f t="shared" ref="D5:D13" si="0">N5/80</f>
        <v>12.5</v>
      </c>
      <c r="E5" s="17">
        <f t="shared" ref="E5:E13" si="1">$I$1</f>
        <v>174</v>
      </c>
      <c r="F5" s="18">
        <v>1</v>
      </c>
      <c r="G5" s="17">
        <f t="shared" ref="G5:G13" si="2">E5*D5</f>
        <v>2175</v>
      </c>
      <c r="H5" s="83">
        <f t="shared" ref="H5:H13" si="3">G5*F5</f>
        <v>2175</v>
      </c>
      <c r="I5" s="20">
        <f>VLOOKUP(B5,Ordering!$A$1:$J$83,6,FALSE)</f>
        <v>1</v>
      </c>
      <c r="J5" s="23">
        <f>VLOOKUP(B5,Ordering!$A$1:$J$83,10,FALSE)</f>
        <v>2.7</v>
      </c>
      <c r="K5" s="23">
        <f t="shared" ref="K5" si="4">((H5/(I5))/1000)</f>
        <v>2.1749999999999998</v>
      </c>
      <c r="L5" s="95">
        <f t="shared" ref="L5:L13" si="5">J5*K5</f>
        <v>5.8724999999999996</v>
      </c>
      <c r="N5" s="1">
        <v>1000</v>
      </c>
    </row>
    <row r="6" spans="1:25" ht="15" customHeight="1" thickTop="1" thickBot="1" x14ac:dyDescent="0.55000000000000004">
      <c r="A6" s="15" t="s">
        <v>51</v>
      </c>
      <c r="B6" s="15" t="s">
        <v>141</v>
      </c>
      <c r="C6" s="15" t="s">
        <v>17</v>
      </c>
      <c r="D6" s="19">
        <f t="shared" si="0"/>
        <v>3.125</v>
      </c>
      <c r="E6" s="17">
        <f t="shared" si="1"/>
        <v>174</v>
      </c>
      <c r="F6" s="18">
        <v>1</v>
      </c>
      <c r="G6" s="17">
        <f t="shared" si="2"/>
        <v>543.75</v>
      </c>
      <c r="H6" s="83">
        <f t="shared" si="3"/>
        <v>543.75</v>
      </c>
      <c r="I6" s="100"/>
      <c r="J6" s="99"/>
      <c r="K6" s="99"/>
      <c r="L6" s="98"/>
      <c r="N6" s="1">
        <v>250</v>
      </c>
    </row>
    <row r="7" spans="1:25" ht="15" customHeight="1" thickTop="1" thickBot="1" x14ac:dyDescent="0.55000000000000004">
      <c r="A7" s="15" t="s">
        <v>30</v>
      </c>
      <c r="B7" s="15" t="s">
        <v>111</v>
      </c>
      <c r="C7" s="15" t="s">
        <v>15</v>
      </c>
      <c r="D7" s="54">
        <f t="shared" si="0"/>
        <v>0.1125</v>
      </c>
      <c r="E7" s="17">
        <f t="shared" si="1"/>
        <v>174</v>
      </c>
      <c r="F7" s="18">
        <v>1</v>
      </c>
      <c r="G7" s="17">
        <f t="shared" si="2"/>
        <v>19.574999999999999</v>
      </c>
      <c r="H7" s="83">
        <f t="shared" si="3"/>
        <v>19.574999999999999</v>
      </c>
      <c r="I7" s="20">
        <f>VLOOKUP(B7,Ordering!$A$1:$J$83,6,FALSE)</f>
        <v>1</v>
      </c>
      <c r="J7" s="23">
        <f>VLOOKUP(B7,Ordering!$A$1:$J$83,10,FALSE)</f>
        <v>0.43333333333333335</v>
      </c>
      <c r="K7" s="23">
        <f t="shared" ref="K7:K13" si="6">((H7/(I7))/1000)</f>
        <v>1.9574999999999999E-2</v>
      </c>
      <c r="L7" s="95">
        <f t="shared" si="5"/>
        <v>8.4825000000000005E-3</v>
      </c>
      <c r="N7" s="1">
        <v>9</v>
      </c>
    </row>
    <row r="8" spans="1:25" ht="15" customHeight="1" thickTop="1" thickBot="1" x14ac:dyDescent="0.55000000000000004">
      <c r="A8" s="15" t="s">
        <v>51</v>
      </c>
      <c r="B8" s="15" t="s">
        <v>142</v>
      </c>
      <c r="C8" s="15" t="s">
        <v>17</v>
      </c>
      <c r="D8" s="19">
        <f t="shared" si="0"/>
        <v>8.75</v>
      </c>
      <c r="E8" s="17">
        <f t="shared" si="1"/>
        <v>174</v>
      </c>
      <c r="F8" s="18">
        <v>1</v>
      </c>
      <c r="G8" s="17">
        <f t="shared" si="2"/>
        <v>1522.5</v>
      </c>
      <c r="H8" s="83">
        <f t="shared" si="3"/>
        <v>1522.5</v>
      </c>
      <c r="I8" s="20">
        <f>VLOOKUP(B8,Ordering!$A$1:$J$83,6,FALSE)</f>
        <v>1</v>
      </c>
      <c r="J8" s="23">
        <f>VLOOKUP(B8,Ordering!$A$1:$J$83,10,FALSE)</f>
        <v>19.75</v>
      </c>
      <c r="K8" s="23">
        <f t="shared" si="6"/>
        <v>1.5225</v>
      </c>
      <c r="L8" s="95">
        <f t="shared" si="5"/>
        <v>30.069375000000001</v>
      </c>
      <c r="N8" s="1">
        <v>700</v>
      </c>
      <c r="V8" s="89" t="s">
        <v>248</v>
      </c>
      <c r="W8" s="90">
        <v>1</v>
      </c>
      <c r="X8" s="89" t="s">
        <v>14</v>
      </c>
      <c r="Y8" s="91">
        <f>SUM(L5:L13)/S15</f>
        <v>0.79510976190476201</v>
      </c>
    </row>
    <row r="9" spans="1:25" ht="15" customHeight="1" thickTop="1" thickBot="1" x14ac:dyDescent="0.55000000000000004">
      <c r="A9" s="15" t="s">
        <v>30</v>
      </c>
      <c r="B9" s="15" t="s">
        <v>115</v>
      </c>
      <c r="C9" s="15" t="s">
        <v>17</v>
      </c>
      <c r="D9" s="19">
        <f t="shared" si="0"/>
        <v>7.5</v>
      </c>
      <c r="E9" s="17">
        <f t="shared" si="1"/>
        <v>174</v>
      </c>
      <c r="F9" s="18">
        <v>1</v>
      </c>
      <c r="G9" s="17">
        <f t="shared" si="2"/>
        <v>1305</v>
      </c>
      <c r="H9" s="83">
        <f t="shared" si="3"/>
        <v>1305</v>
      </c>
      <c r="I9" s="20">
        <f>VLOOKUP(B9,Ordering!$A$1:$J$83,6,FALSE)</f>
        <v>1</v>
      </c>
      <c r="J9" s="23">
        <f>VLOOKUP(B9,Ordering!$A$1:$J$83,10,FALSE)</f>
        <v>30</v>
      </c>
      <c r="K9" s="23">
        <f t="shared" si="6"/>
        <v>1.3049999999999999</v>
      </c>
      <c r="L9" s="95">
        <f t="shared" si="5"/>
        <v>39.15</v>
      </c>
      <c r="N9" s="1">
        <v>600</v>
      </c>
    </row>
    <row r="10" spans="1:25" ht="15" customHeight="1" thickTop="1" thickBot="1" x14ac:dyDescent="0.55000000000000004">
      <c r="A10" s="15" t="s">
        <v>50</v>
      </c>
      <c r="B10" s="15" t="s">
        <v>156</v>
      </c>
      <c r="C10" s="15" t="s">
        <v>17</v>
      </c>
      <c r="D10" s="19">
        <f t="shared" si="0"/>
        <v>7.1875</v>
      </c>
      <c r="E10" s="17">
        <f t="shared" si="1"/>
        <v>174</v>
      </c>
      <c r="F10" s="18">
        <v>1</v>
      </c>
      <c r="G10" s="17">
        <f t="shared" si="2"/>
        <v>1250.625</v>
      </c>
      <c r="H10" s="83">
        <f t="shared" si="3"/>
        <v>1250.625</v>
      </c>
      <c r="I10" s="20">
        <f>VLOOKUP(B10,Ordering!$A$1:$J$83,6,FALSE)</f>
        <v>1</v>
      </c>
      <c r="J10" s="23">
        <f>VLOOKUP(B10,Ordering!$A$1:$J$83,10,FALSE)</f>
        <v>1.7</v>
      </c>
      <c r="K10" s="23">
        <f t="shared" si="6"/>
        <v>1.2506250000000001</v>
      </c>
      <c r="L10" s="95">
        <f t="shared" si="5"/>
        <v>2.1260625000000002</v>
      </c>
      <c r="N10" s="1">
        <v>575</v>
      </c>
      <c r="R10" s="119" t="s">
        <v>95</v>
      </c>
      <c r="S10" s="120"/>
    </row>
    <row r="11" spans="1:25" ht="15" customHeight="1" thickTop="1" thickBot="1" x14ac:dyDescent="0.55000000000000004">
      <c r="A11" s="15" t="s">
        <v>52</v>
      </c>
      <c r="B11" s="15" t="s">
        <v>146</v>
      </c>
      <c r="C11" s="15" t="s">
        <v>17</v>
      </c>
      <c r="D11" s="19">
        <f t="shared" si="0"/>
        <v>3.125</v>
      </c>
      <c r="E11" s="17">
        <f t="shared" si="1"/>
        <v>174</v>
      </c>
      <c r="F11" s="18">
        <v>1</v>
      </c>
      <c r="G11" s="17">
        <f t="shared" si="2"/>
        <v>543.75</v>
      </c>
      <c r="H11" s="83">
        <f t="shared" si="3"/>
        <v>543.75</v>
      </c>
      <c r="I11" s="20">
        <f>VLOOKUP(B11,Ordering!$A$1:$J$83,6,FALSE)</f>
        <v>1</v>
      </c>
      <c r="J11" s="23">
        <f>VLOOKUP(B11,Ordering!$A$1:$J$83,10,FALSE)</f>
        <v>51.24285714285714</v>
      </c>
      <c r="K11" s="23">
        <f t="shared" si="6"/>
        <v>0.54374999999999996</v>
      </c>
      <c r="L11" s="95">
        <f t="shared" si="5"/>
        <v>27.863303571428567</v>
      </c>
      <c r="N11" s="1">
        <v>250</v>
      </c>
      <c r="R11" s="119" t="s">
        <v>18</v>
      </c>
      <c r="S11" s="120"/>
    </row>
    <row r="12" spans="1:25" ht="15" customHeight="1" thickTop="1" thickBot="1" x14ac:dyDescent="0.55000000000000004">
      <c r="A12" s="14" t="s">
        <v>30</v>
      </c>
      <c r="B12" s="15" t="s">
        <v>122</v>
      </c>
      <c r="C12" s="15" t="s">
        <v>17</v>
      </c>
      <c r="D12" s="19">
        <f t="shared" si="0"/>
        <v>6.25</v>
      </c>
      <c r="E12" s="17">
        <f t="shared" si="1"/>
        <v>174</v>
      </c>
      <c r="F12" s="18">
        <v>1</v>
      </c>
      <c r="G12" s="17">
        <f t="shared" si="2"/>
        <v>1087.5</v>
      </c>
      <c r="H12" s="83">
        <f t="shared" si="3"/>
        <v>1087.5</v>
      </c>
      <c r="I12" s="20">
        <f>VLOOKUP(B12,Ordering!$A$1:$J$83,6,FALSE)</f>
        <v>1</v>
      </c>
      <c r="J12" s="23">
        <f>VLOOKUP(B12,Ordering!$A$1:$J$83,10,FALSE)</f>
        <v>10.833333333333334</v>
      </c>
      <c r="K12" s="23">
        <f t="shared" si="6"/>
        <v>1.0874999999999999</v>
      </c>
      <c r="L12" s="95">
        <f t="shared" si="5"/>
        <v>11.78125</v>
      </c>
      <c r="N12" s="1">
        <v>500</v>
      </c>
      <c r="R12" s="5" t="s">
        <v>19</v>
      </c>
      <c r="S12" s="5" t="s">
        <v>20</v>
      </c>
    </row>
    <row r="13" spans="1:25" ht="15" customHeight="1" thickTop="1" thickBot="1" x14ac:dyDescent="0.55000000000000004">
      <c r="A13" s="14" t="s">
        <v>51</v>
      </c>
      <c r="B13" s="15" t="s">
        <v>142</v>
      </c>
      <c r="C13" s="15" t="s">
        <v>17</v>
      </c>
      <c r="D13" s="19">
        <f t="shared" si="0"/>
        <v>6.25</v>
      </c>
      <c r="E13" s="17">
        <f t="shared" si="1"/>
        <v>174</v>
      </c>
      <c r="F13" s="18">
        <v>1</v>
      </c>
      <c r="G13" s="17">
        <f t="shared" si="2"/>
        <v>1087.5</v>
      </c>
      <c r="H13" s="83">
        <f t="shared" si="3"/>
        <v>1087.5</v>
      </c>
      <c r="I13" s="20">
        <f>VLOOKUP(B13,Ordering!$A$1:$J$83,6,FALSE)</f>
        <v>1</v>
      </c>
      <c r="J13" s="23">
        <f>VLOOKUP(B13,Ordering!$A$1:$J$83,10,FALSE)</f>
        <v>19.75</v>
      </c>
      <c r="K13" s="23">
        <f t="shared" si="6"/>
        <v>1.0874999999999999</v>
      </c>
      <c r="L13" s="95">
        <f t="shared" si="5"/>
        <v>21.478124999999999</v>
      </c>
      <c r="N13" s="1">
        <v>500</v>
      </c>
      <c r="R13" s="5" t="s">
        <v>21</v>
      </c>
      <c r="S13" s="47">
        <v>172</v>
      </c>
    </row>
    <row r="14" spans="1:25" ht="15" customHeight="1" thickTop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174</v>
      </c>
    </row>
    <row r="16" spans="1:25" x14ac:dyDescent="0.5">
      <c r="R16" s="92" t="s">
        <v>14</v>
      </c>
      <c r="S16" s="93">
        <f>SUM(L5:L13)</f>
        <v>138.34909857142858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8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3.8203125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96</v>
      </c>
      <c r="G1" s="4"/>
      <c r="H1" s="38" t="s">
        <v>2</v>
      </c>
      <c r="I1" s="13">
        <f>F1/B1</f>
        <v>96</v>
      </c>
      <c r="J1" s="4"/>
      <c r="K1" s="38"/>
    </row>
    <row r="2" spans="1:25" ht="14.25" customHeight="1" x14ac:dyDescent="0.5">
      <c r="A2" s="42"/>
      <c r="B2" s="117" t="s">
        <v>28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100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x14ac:dyDescent="0.5">
      <c r="A5" s="15" t="s">
        <v>27</v>
      </c>
      <c r="B5" s="15" t="s">
        <v>121</v>
      </c>
      <c r="C5" s="15" t="s">
        <v>17</v>
      </c>
      <c r="D5" s="16">
        <f t="shared" ref="D5:D14" si="0">N5/100</f>
        <v>12</v>
      </c>
      <c r="E5" s="17">
        <f t="shared" ref="E5:E14" si="1">$I$1</f>
        <v>96</v>
      </c>
      <c r="F5" s="18">
        <v>1</v>
      </c>
      <c r="G5" s="17">
        <f t="shared" ref="G5:G14" si="2">E5*D5</f>
        <v>1152</v>
      </c>
      <c r="H5" s="83">
        <f t="shared" ref="H5:H14" si="3">G5*F5</f>
        <v>1152</v>
      </c>
      <c r="I5" s="23">
        <f>VLOOKUP(B5,Ordering!$A$1:$J$83,6,FALSE)</f>
        <v>1</v>
      </c>
      <c r="J5" s="23">
        <f>VLOOKUP(B5,Ordering!$A$1:$J$83,10,FALSE)</f>
        <v>9.1666666666666679</v>
      </c>
      <c r="K5" s="23">
        <f t="shared" ref="K5:K14" si="4">((H5/(I5))/1000)</f>
        <v>1.1519999999999999</v>
      </c>
      <c r="L5" s="95">
        <f t="shared" ref="L5:L14" si="5">J5*K5</f>
        <v>10.56</v>
      </c>
      <c r="N5">
        <v>1200</v>
      </c>
    </row>
    <row r="6" spans="1:25" x14ac:dyDescent="0.5">
      <c r="A6" s="15" t="s">
        <v>30</v>
      </c>
      <c r="B6" s="15" t="s">
        <v>115</v>
      </c>
      <c r="C6" s="15" t="s">
        <v>17</v>
      </c>
      <c r="D6" s="16">
        <f t="shared" si="0"/>
        <v>2</v>
      </c>
      <c r="E6" s="17">
        <f t="shared" si="1"/>
        <v>96</v>
      </c>
      <c r="F6" s="18">
        <v>1</v>
      </c>
      <c r="G6" s="17">
        <f t="shared" si="2"/>
        <v>192</v>
      </c>
      <c r="H6" s="83">
        <f t="shared" si="3"/>
        <v>192</v>
      </c>
      <c r="I6" s="23">
        <f>VLOOKUP(B6,Ordering!$A$1:$J$83,6,FALSE)</f>
        <v>1</v>
      </c>
      <c r="J6" s="23">
        <f>VLOOKUP(B6,Ordering!$A$1:$J$83,10,FALSE)</f>
        <v>30</v>
      </c>
      <c r="K6" s="23">
        <f t="shared" si="4"/>
        <v>0.192</v>
      </c>
      <c r="L6" s="95">
        <f t="shared" si="5"/>
        <v>5.76</v>
      </c>
      <c r="N6">
        <v>200</v>
      </c>
    </row>
    <row r="7" spans="1:25" x14ac:dyDescent="0.5">
      <c r="A7" s="15" t="s">
        <v>48</v>
      </c>
      <c r="B7" s="15" t="s">
        <v>128</v>
      </c>
      <c r="C7" s="15" t="s">
        <v>17</v>
      </c>
      <c r="D7" s="16">
        <f t="shared" si="0"/>
        <v>2</v>
      </c>
      <c r="E7" s="17">
        <f t="shared" si="1"/>
        <v>96</v>
      </c>
      <c r="F7" s="18">
        <v>1</v>
      </c>
      <c r="G7" s="17">
        <f t="shared" si="2"/>
        <v>192</v>
      </c>
      <c r="H7" s="83">
        <f t="shared" si="3"/>
        <v>192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0.192</v>
      </c>
      <c r="L7" s="95">
        <f t="shared" si="5"/>
        <v>0.51840000000000008</v>
      </c>
      <c r="N7">
        <v>200</v>
      </c>
    </row>
    <row r="8" spans="1:25" x14ac:dyDescent="0.5">
      <c r="A8" s="15" t="s">
        <v>30</v>
      </c>
      <c r="B8" s="15" t="s">
        <v>115</v>
      </c>
      <c r="C8" s="15" t="s">
        <v>17</v>
      </c>
      <c r="D8" s="16">
        <f t="shared" si="0"/>
        <v>0.3</v>
      </c>
      <c r="E8" s="17">
        <f t="shared" si="1"/>
        <v>96</v>
      </c>
      <c r="F8" s="18">
        <v>1</v>
      </c>
      <c r="G8" s="17">
        <f t="shared" si="2"/>
        <v>28.799999999999997</v>
      </c>
      <c r="H8" s="83">
        <f t="shared" si="3"/>
        <v>28.799999999999997</v>
      </c>
      <c r="I8" s="23">
        <f>VLOOKUP(B8,Ordering!$A$1:$J$83,6,FALSE)</f>
        <v>1</v>
      </c>
      <c r="J8" s="23">
        <f>VLOOKUP(B8,Ordering!$A$1:$J$83,10,FALSE)</f>
        <v>30</v>
      </c>
      <c r="K8" s="23">
        <f t="shared" si="4"/>
        <v>2.8799999999999996E-2</v>
      </c>
      <c r="L8" s="95">
        <f t="shared" si="5"/>
        <v>0.86399999999999988</v>
      </c>
      <c r="N8">
        <v>30</v>
      </c>
      <c r="V8" s="89" t="s">
        <v>248</v>
      </c>
      <c r="W8" s="90">
        <v>1</v>
      </c>
      <c r="X8" s="89" t="s">
        <v>14</v>
      </c>
      <c r="Y8" s="91">
        <f>SUM(L5:L14)/S15</f>
        <v>0.65195166666666671</v>
      </c>
    </row>
    <row r="9" spans="1:25" x14ac:dyDescent="0.5">
      <c r="A9" s="15" t="s">
        <v>49</v>
      </c>
      <c r="B9" s="15" t="s">
        <v>120</v>
      </c>
      <c r="C9" s="15" t="s">
        <v>16</v>
      </c>
      <c r="D9" s="16">
        <f t="shared" si="0"/>
        <v>0.1</v>
      </c>
      <c r="E9" s="17">
        <f t="shared" si="1"/>
        <v>96</v>
      </c>
      <c r="F9" s="18">
        <v>1</v>
      </c>
      <c r="G9" s="17">
        <f t="shared" si="2"/>
        <v>9.6000000000000014</v>
      </c>
      <c r="H9" s="83">
        <f t="shared" si="3"/>
        <v>9.6000000000000014</v>
      </c>
      <c r="I9" s="23">
        <f>VLOOKUP(B9,Ordering!$A$1:$J$83,6,FALSE)</f>
        <v>1</v>
      </c>
      <c r="J9" s="23">
        <f>VLOOKUP(B9,Ordering!$A$1:$J$83,10,FALSE)</f>
        <v>0</v>
      </c>
      <c r="K9" s="23">
        <f t="shared" si="4"/>
        <v>9.6000000000000009E-3</v>
      </c>
      <c r="L9" s="95">
        <f t="shared" si="5"/>
        <v>0</v>
      </c>
      <c r="N9">
        <v>10</v>
      </c>
    </row>
    <row r="10" spans="1:25" x14ac:dyDescent="0.5">
      <c r="A10" s="15" t="s">
        <v>30</v>
      </c>
      <c r="B10" s="15" t="s">
        <v>112</v>
      </c>
      <c r="C10" s="15" t="s">
        <v>16</v>
      </c>
      <c r="D10" s="16">
        <f t="shared" si="0"/>
        <v>5</v>
      </c>
      <c r="E10" s="17">
        <f t="shared" si="1"/>
        <v>96</v>
      </c>
      <c r="F10" s="18">
        <v>1</v>
      </c>
      <c r="G10" s="17">
        <f t="shared" si="2"/>
        <v>480</v>
      </c>
      <c r="H10" s="83">
        <f t="shared" si="3"/>
        <v>480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4"/>
        <v>0.48</v>
      </c>
      <c r="L10" s="95">
        <f t="shared" si="5"/>
        <v>2.0175999999999998</v>
      </c>
      <c r="N10">
        <v>500</v>
      </c>
      <c r="R10" s="119" t="s">
        <v>101</v>
      </c>
      <c r="S10" s="120"/>
    </row>
    <row r="11" spans="1:25" x14ac:dyDescent="0.5">
      <c r="A11" s="15" t="s">
        <v>50</v>
      </c>
      <c r="B11" s="15" t="s">
        <v>155</v>
      </c>
      <c r="C11" s="15" t="s">
        <v>17</v>
      </c>
      <c r="D11" s="16">
        <f t="shared" si="0"/>
        <v>0.5</v>
      </c>
      <c r="E11" s="17">
        <f t="shared" si="1"/>
        <v>96</v>
      </c>
      <c r="F11" s="18">
        <v>1</v>
      </c>
      <c r="G11" s="17">
        <f t="shared" si="2"/>
        <v>48</v>
      </c>
      <c r="H11" s="83">
        <f t="shared" si="3"/>
        <v>48</v>
      </c>
      <c r="I11" s="23">
        <f>VLOOKUP(B11,Ordering!$A$1:$J$83,6,FALSE)</f>
        <v>1</v>
      </c>
      <c r="J11" s="23">
        <f>VLOOKUP(B11,Ordering!$A$1:$J$83,10,FALSE)</f>
        <v>2.3199999999999998</v>
      </c>
      <c r="K11" s="23">
        <f t="shared" si="4"/>
        <v>4.8000000000000001E-2</v>
      </c>
      <c r="L11" s="95">
        <f t="shared" si="5"/>
        <v>0.11136</v>
      </c>
      <c r="N11">
        <v>50</v>
      </c>
      <c r="R11" s="119" t="s">
        <v>18</v>
      </c>
      <c r="S11" s="120"/>
    </row>
    <row r="12" spans="1:25" ht="14.75" customHeight="1" x14ac:dyDescent="0.5">
      <c r="A12" s="15" t="s">
        <v>30</v>
      </c>
      <c r="B12" s="15" t="s">
        <v>122</v>
      </c>
      <c r="C12" s="15" t="s">
        <v>17</v>
      </c>
      <c r="D12" s="16">
        <f t="shared" si="0"/>
        <v>30</v>
      </c>
      <c r="E12" s="17">
        <f t="shared" si="1"/>
        <v>96</v>
      </c>
      <c r="F12" s="18">
        <v>1</v>
      </c>
      <c r="G12" s="17">
        <f t="shared" si="2"/>
        <v>2880</v>
      </c>
      <c r="H12" s="83">
        <f t="shared" si="3"/>
        <v>2880</v>
      </c>
      <c r="I12" s="23">
        <f>VLOOKUP(B12,Ordering!$A$1:$J$83,6,FALSE)</f>
        <v>1</v>
      </c>
      <c r="J12" s="23">
        <f>VLOOKUP(B12,Ordering!$A$1:$J$83,10,FALSE)</f>
        <v>10.833333333333334</v>
      </c>
      <c r="K12" s="23">
        <f t="shared" si="4"/>
        <v>2.88</v>
      </c>
      <c r="L12" s="95">
        <f t="shared" si="5"/>
        <v>31.2</v>
      </c>
      <c r="N12">
        <v>3000</v>
      </c>
      <c r="R12" s="5" t="s">
        <v>19</v>
      </c>
      <c r="S12" s="5" t="s">
        <v>20</v>
      </c>
    </row>
    <row r="13" spans="1:25" ht="14.75" customHeight="1" x14ac:dyDescent="0.5">
      <c r="A13" s="15" t="s">
        <v>30</v>
      </c>
      <c r="B13" s="15" t="s">
        <v>123</v>
      </c>
      <c r="C13" s="15" t="s">
        <v>17</v>
      </c>
      <c r="D13" s="16">
        <f t="shared" si="0"/>
        <v>5</v>
      </c>
      <c r="E13" s="17">
        <f t="shared" si="1"/>
        <v>96</v>
      </c>
      <c r="F13" s="18">
        <v>1</v>
      </c>
      <c r="G13" s="17">
        <f t="shared" si="2"/>
        <v>480</v>
      </c>
      <c r="H13" s="83">
        <f t="shared" si="3"/>
        <v>480</v>
      </c>
      <c r="I13" s="23">
        <f>VLOOKUP(B13,Ordering!$A$1:$J$83,6,FALSE)</f>
        <v>1</v>
      </c>
      <c r="J13" s="23">
        <f>VLOOKUP(B13,Ordering!$A$1:$J$83,10,FALSE)</f>
        <v>14.2</v>
      </c>
      <c r="K13" s="23">
        <f t="shared" si="4"/>
        <v>0.48</v>
      </c>
      <c r="L13" s="95">
        <f t="shared" si="5"/>
        <v>6.8159999999999998</v>
      </c>
      <c r="N13">
        <v>500</v>
      </c>
      <c r="R13" s="5" t="s">
        <v>21</v>
      </c>
      <c r="S13" s="47">
        <v>94</v>
      </c>
    </row>
    <row r="14" spans="1:25" ht="14.75" customHeight="1" x14ac:dyDescent="0.5">
      <c r="A14" s="15" t="s">
        <v>51</v>
      </c>
      <c r="B14" s="15" t="s">
        <v>142</v>
      </c>
      <c r="C14" s="15" t="s">
        <v>17</v>
      </c>
      <c r="D14" s="16">
        <f t="shared" si="0"/>
        <v>2.5</v>
      </c>
      <c r="E14" s="17">
        <f t="shared" si="1"/>
        <v>96</v>
      </c>
      <c r="F14" s="18">
        <v>1</v>
      </c>
      <c r="G14" s="17">
        <f t="shared" si="2"/>
        <v>240</v>
      </c>
      <c r="H14" s="83">
        <f t="shared" si="3"/>
        <v>240</v>
      </c>
      <c r="I14" s="23">
        <f>VLOOKUP(B14,Ordering!$A$1:$J$83,6,FALSE)</f>
        <v>1</v>
      </c>
      <c r="J14" s="23">
        <f>VLOOKUP(B14,Ordering!$A$1:$J$83,10,FALSE)</f>
        <v>19.75</v>
      </c>
      <c r="K14" s="23">
        <f t="shared" si="4"/>
        <v>0.24</v>
      </c>
      <c r="L14" s="95">
        <f t="shared" si="5"/>
        <v>4.74</v>
      </c>
      <c r="N14">
        <v>250</v>
      </c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96</v>
      </c>
    </row>
    <row r="16" spans="1:25" x14ac:dyDescent="0.5">
      <c r="R16" s="92" t="s">
        <v>14</v>
      </c>
      <c r="S16" s="93">
        <f>SUM(L5:L14)</f>
        <v>62.587360000000004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theme="8" tint="-0.249977111117893"/>
    <pageSetUpPr fitToPage="1"/>
  </sheetPr>
  <dimension ref="A1:Y16"/>
  <sheetViews>
    <sheetView topLeftCell="D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7.585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199</v>
      </c>
      <c r="G1" s="4"/>
      <c r="H1" s="38" t="s">
        <v>2</v>
      </c>
      <c r="I1" s="13">
        <f>F1/B1</f>
        <v>199</v>
      </c>
      <c r="J1" s="4"/>
      <c r="K1" s="38"/>
    </row>
    <row r="2" spans="1:25" ht="14.25" customHeight="1" x14ac:dyDescent="0.5">
      <c r="A2" s="42"/>
      <c r="B2" s="117" t="s">
        <v>31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96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124</v>
      </c>
      <c r="C5" s="15" t="s">
        <v>17</v>
      </c>
      <c r="D5" s="19">
        <f>N5/48</f>
        <v>28.375</v>
      </c>
      <c r="E5" s="17">
        <f>$I$1</f>
        <v>199</v>
      </c>
      <c r="F5" s="18">
        <v>1</v>
      </c>
      <c r="G5" s="17">
        <f>E5*D5</f>
        <v>5646.625</v>
      </c>
      <c r="H5" s="83">
        <f>G5*F5</f>
        <v>5646.625</v>
      </c>
      <c r="I5" s="15">
        <f>VLOOKUP(B5,Ordering!$A$1:$J$83,6,FALSE)</f>
        <v>1</v>
      </c>
      <c r="J5" s="15">
        <f>VLOOKUP(B5,Ordering!$A$1:$J$83,10,FALSE)</f>
        <v>34.848484848484851</v>
      </c>
      <c r="K5" s="23">
        <f t="shared" ref="K5:K6" si="0">((H5/(I5))/1000)</f>
        <v>5.6466250000000002</v>
      </c>
      <c r="L5" s="95">
        <f t="shared" ref="L5:L9" si="1">J5*K5</f>
        <v>196.77632575757579</v>
      </c>
      <c r="N5" s="1">
        <v>1362</v>
      </c>
    </row>
    <row r="6" spans="1:25" ht="15" customHeight="1" thickTop="1" thickBot="1" x14ac:dyDescent="0.55000000000000004">
      <c r="A6" s="15" t="s">
        <v>48</v>
      </c>
      <c r="B6" s="15" t="s">
        <v>129</v>
      </c>
      <c r="C6" s="15" t="s">
        <v>17</v>
      </c>
      <c r="D6" s="19">
        <f>N6/48</f>
        <v>22.125</v>
      </c>
      <c r="E6" s="17">
        <f>$I$1</f>
        <v>199</v>
      </c>
      <c r="F6" s="18">
        <v>1</v>
      </c>
      <c r="G6" s="17">
        <f>E6*D6</f>
        <v>4402.875</v>
      </c>
      <c r="H6" s="83">
        <f>G6*F6</f>
        <v>4402.875</v>
      </c>
      <c r="I6" s="15">
        <f>VLOOKUP(B6,Ordering!$A$1:$J$83,6,FALSE)</f>
        <v>1</v>
      </c>
      <c r="J6" s="15">
        <f>VLOOKUP(B6,Ordering!$A$1:$J$83,10,FALSE)</f>
        <v>11.824324324324323</v>
      </c>
      <c r="K6" s="23">
        <f t="shared" si="0"/>
        <v>4.4028749999999999</v>
      </c>
      <c r="L6" s="95">
        <f t="shared" si="1"/>
        <v>52.061021959459453</v>
      </c>
      <c r="N6" s="1">
        <v>1062</v>
      </c>
    </row>
    <row r="7" spans="1:25" ht="15" customHeight="1" thickTop="1" thickBot="1" x14ac:dyDescent="0.55000000000000004">
      <c r="A7" s="15" t="s">
        <v>30</v>
      </c>
      <c r="B7" s="15" t="s">
        <v>111</v>
      </c>
      <c r="C7" s="15" t="s">
        <v>15</v>
      </c>
      <c r="D7" s="54">
        <f>N7/48</f>
        <v>0.375</v>
      </c>
      <c r="E7" s="17">
        <f>$I$1</f>
        <v>199</v>
      </c>
      <c r="F7" s="18">
        <v>1</v>
      </c>
      <c r="G7" s="17">
        <f>E7*D7</f>
        <v>74.625</v>
      </c>
      <c r="H7" s="83">
        <f>G7*F7</f>
        <v>74.625</v>
      </c>
      <c r="I7" s="15">
        <f>VLOOKUP(B7,Ordering!$A$1:$J$83,6,FALSE)</f>
        <v>1</v>
      </c>
      <c r="J7" s="15">
        <f>VLOOKUP(B7,Ordering!$A$1:$J$83,10,FALSE)</f>
        <v>0.43333333333333335</v>
      </c>
      <c r="K7" s="15">
        <f t="shared" ref="K7" si="2">H7/I7</f>
        <v>74.625</v>
      </c>
      <c r="L7" s="95">
        <f t="shared" si="1"/>
        <v>32.337499999999999</v>
      </c>
      <c r="N7" s="1">
        <v>18</v>
      </c>
    </row>
    <row r="8" spans="1:25" ht="15" customHeight="1" thickTop="1" thickBot="1" x14ac:dyDescent="0.55000000000000004">
      <c r="A8" s="15" t="s">
        <v>51</v>
      </c>
      <c r="B8" s="15" t="s">
        <v>143</v>
      </c>
      <c r="C8" s="15" t="s">
        <v>17</v>
      </c>
      <c r="D8" s="19">
        <f>N8/48</f>
        <v>18.229166666666668</v>
      </c>
      <c r="E8" s="17">
        <f>$I$1</f>
        <v>199</v>
      </c>
      <c r="F8" s="18">
        <v>1</v>
      </c>
      <c r="G8" s="17">
        <f>E8*D8</f>
        <v>3627.604166666667</v>
      </c>
      <c r="H8" s="83">
        <f>G8*F8</f>
        <v>3627.604166666667</v>
      </c>
      <c r="I8" s="15">
        <f>VLOOKUP(B8,Ordering!$A$1:$J$83,6,FALSE)</f>
        <v>1</v>
      </c>
      <c r="J8" s="15">
        <f>VLOOKUP(B8,Ordering!$A$1:$J$83,10,FALSE)</f>
        <v>70</v>
      </c>
      <c r="K8" s="23">
        <f t="shared" ref="K8:K9" si="3">((H8/(I8))/1000)</f>
        <v>3.627604166666667</v>
      </c>
      <c r="L8" s="95">
        <f t="shared" si="1"/>
        <v>253.93229166666669</v>
      </c>
      <c r="N8" s="1">
        <v>875</v>
      </c>
      <c r="V8" s="89" t="s">
        <v>248</v>
      </c>
      <c r="W8" s="90">
        <v>1</v>
      </c>
      <c r="X8" s="89" t="s">
        <v>14</v>
      </c>
      <c r="Y8" s="91">
        <f>SUM(L5:L9)/S15</f>
        <v>2.7546576832514336</v>
      </c>
    </row>
    <row r="9" spans="1:25" ht="15" customHeight="1" thickTop="1" thickBot="1" x14ac:dyDescent="0.55000000000000004">
      <c r="A9" s="15" t="s">
        <v>30</v>
      </c>
      <c r="B9" s="15" t="s">
        <v>112</v>
      </c>
      <c r="C9" s="15" t="s">
        <v>16</v>
      </c>
      <c r="D9" s="19">
        <f>N9/48</f>
        <v>15.625</v>
      </c>
      <c r="E9" s="17">
        <f>$I$1</f>
        <v>199</v>
      </c>
      <c r="F9" s="18">
        <v>1</v>
      </c>
      <c r="G9" s="17">
        <f>E9*D9</f>
        <v>3109.375</v>
      </c>
      <c r="H9" s="83">
        <f>G9*F9</f>
        <v>3109.375</v>
      </c>
      <c r="I9" s="15">
        <f>VLOOKUP(B9,Ordering!$A$1:$J$83,6,FALSE)</f>
        <v>1</v>
      </c>
      <c r="J9" s="15">
        <f>VLOOKUP(B9,Ordering!$A$1:$J$83,10,FALSE)</f>
        <v>4.2033333333333331</v>
      </c>
      <c r="K9" s="23">
        <f t="shared" si="3"/>
        <v>3.109375</v>
      </c>
      <c r="L9" s="95">
        <f t="shared" si="1"/>
        <v>13.069739583333332</v>
      </c>
      <c r="N9" s="1">
        <v>750</v>
      </c>
    </row>
    <row r="10" spans="1:25" ht="14.75" customHeight="1" thickTop="1" x14ac:dyDescent="0.5">
      <c r="R10" s="119" t="s">
        <v>97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197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199</v>
      </c>
    </row>
    <row r="16" spans="1:25" x14ac:dyDescent="0.5">
      <c r="R16" s="92" t="s">
        <v>14</v>
      </c>
      <c r="S16" s="93">
        <f>SUM(L5:L9)</f>
        <v>548.17687896703524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65B2-8487-444F-AD21-90692A74B77F}">
  <sheetPr codeName="Sheet38">
    <tabColor theme="8" tint="-0.249977111117893"/>
    <pageSetUpPr fitToPage="1"/>
  </sheetPr>
  <dimension ref="A1:X16"/>
  <sheetViews>
    <sheetView topLeftCell="D1" zoomScale="55" zoomScaleNormal="55" zoomScaleSheetLayoutView="100" workbookViewId="0">
      <selection activeCell="S14" sqref="S14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44</v>
      </c>
      <c r="G1" s="4"/>
      <c r="H1" s="38" t="s">
        <v>2</v>
      </c>
      <c r="I1" s="13">
        <f>F1/B1</f>
        <v>44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44</v>
      </c>
      <c r="F5" s="18">
        <v>1</v>
      </c>
      <c r="G5" s="17">
        <f t="shared" ref="G5:G7" si="1">E5*D5</f>
        <v>286</v>
      </c>
      <c r="H5" s="83">
        <f t="shared" ref="H5:H7" si="2">G5*F5</f>
        <v>286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0.28599999999999998</v>
      </c>
      <c r="L5" s="95">
        <f t="shared" ref="L5:L7" si="4">J5*K5</f>
        <v>11.44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44</v>
      </c>
      <c r="F6" s="18">
        <v>1</v>
      </c>
      <c r="G6" s="17">
        <f t="shared" si="1"/>
        <v>545.6</v>
      </c>
      <c r="H6" s="114">
        <f t="shared" si="2"/>
        <v>545.6</v>
      </c>
      <c r="I6" s="109">
        <f>VLOOKUP(B6,Ordering!$A$1:$J$83,6,FALSE)</f>
        <v>1</v>
      </c>
      <c r="J6" s="109">
        <f>VLOOKUP(B6,Ordering!$A$1:$J$83,10,FALSE)</f>
        <v>51</v>
      </c>
      <c r="K6" s="99">
        <f t="shared" si="3"/>
        <v>0.54559999999999997</v>
      </c>
      <c r="L6" s="98">
        <f t="shared" si="4"/>
        <v>27.825599999999998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44</v>
      </c>
      <c r="F7" s="18">
        <v>1</v>
      </c>
      <c r="G7" s="17">
        <f t="shared" si="1"/>
        <v>220</v>
      </c>
      <c r="H7" s="114">
        <f t="shared" si="2"/>
        <v>220</v>
      </c>
      <c r="I7" s="109">
        <f>VLOOKUP(B7,Ordering!$A$1:$J$83,6,FALSE)</f>
        <v>1</v>
      </c>
      <c r="J7" s="109">
        <f>VLOOKUP(B7,Ordering!$A$1:$J$83,10,FALSE)</f>
        <v>41</v>
      </c>
      <c r="K7" s="99">
        <f t="shared" si="3"/>
        <v>0.22</v>
      </c>
      <c r="L7" s="98">
        <f t="shared" si="4"/>
        <v>9.02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1.0974000000000002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39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44</v>
      </c>
    </row>
    <row r="16" spans="1:24" x14ac:dyDescent="0.5">
      <c r="R16" s="92" t="s">
        <v>14</v>
      </c>
      <c r="S16" s="93">
        <f>SUM(L5:L7)</f>
        <v>48.285600000000002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0B582-EEEA-4248-AA67-4D2EAF045A25}">
  <sheetPr codeName="Sheet6">
    <tabColor theme="7" tint="-0.249977111117893"/>
    <pageSetUpPr fitToPage="1"/>
  </sheetPr>
  <dimension ref="A1:S20"/>
  <sheetViews>
    <sheetView topLeftCell="D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9.05859375" bestFit="1" customWidth="1"/>
    <col min="10" max="10" width="14.41015625" customWidth="1"/>
    <col min="11" max="11" width="10.64453125" bestFit="1" customWidth="1"/>
    <col min="12" max="12" width="9.05859375" bestFit="1" customWidth="1"/>
    <col min="18" max="18" width="15.5859375" customWidth="1"/>
    <col min="19" max="19" width="8.46875" bestFit="1" customWidth="1"/>
  </cols>
  <sheetData>
    <row r="1" spans="1:19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30</v>
      </c>
      <c r="G1" s="4"/>
      <c r="H1" s="38" t="s">
        <v>2</v>
      </c>
      <c r="I1" s="13">
        <f>F1/B1</f>
        <v>30</v>
      </c>
      <c r="J1" s="4"/>
      <c r="K1" s="38"/>
    </row>
    <row r="2" spans="1:19" ht="14.25" customHeight="1" x14ac:dyDescent="0.5">
      <c r="A2" s="42"/>
      <c r="B2" s="117" t="s">
        <v>3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19" ht="14.25" customHeight="1" x14ac:dyDescent="0.5">
      <c r="A3" s="46"/>
      <c r="B3" s="118" t="s">
        <v>87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19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19" ht="15" customHeight="1" thickTop="1" thickBot="1" x14ac:dyDescent="0.55000000000000004">
      <c r="A5" s="15" t="s">
        <v>30</v>
      </c>
      <c r="B5" s="15" t="s">
        <v>111</v>
      </c>
      <c r="C5" s="15" t="s">
        <v>15</v>
      </c>
      <c r="D5" s="20">
        <f t="shared" ref="D5:D20" si="0">N5/8</f>
        <v>0.125</v>
      </c>
      <c r="E5" s="17">
        <f t="shared" ref="E5:E20" si="1">$I$1</f>
        <v>30</v>
      </c>
      <c r="F5" s="18">
        <v>1</v>
      </c>
      <c r="G5" s="30">
        <f t="shared" ref="G5:G20" si="2">E5*D5</f>
        <v>3.75</v>
      </c>
      <c r="H5" s="83">
        <f t="shared" ref="H5:H20" si="3">G5*F5</f>
        <v>3.75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3.75</v>
      </c>
      <c r="L5" s="95">
        <f>I5*J5</f>
        <v>0.43333333333333335</v>
      </c>
      <c r="N5" s="1">
        <v>1</v>
      </c>
    </row>
    <row r="6" spans="1:19" ht="14.75" customHeight="1" thickTop="1" x14ac:dyDescent="0.5">
      <c r="A6" s="15" t="s">
        <v>30</v>
      </c>
      <c r="B6" s="15" t="s">
        <v>112</v>
      </c>
      <c r="C6" s="15" t="s">
        <v>16</v>
      </c>
      <c r="D6" s="20">
        <f t="shared" si="0"/>
        <v>14</v>
      </c>
      <c r="E6" s="17">
        <f t="shared" si="1"/>
        <v>30</v>
      </c>
      <c r="F6" s="18">
        <v>1</v>
      </c>
      <c r="G6" s="17">
        <f t="shared" si="2"/>
        <v>420</v>
      </c>
      <c r="H6" s="83">
        <f t="shared" si="3"/>
        <v>420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420</v>
      </c>
      <c r="L6" s="95">
        <f t="shared" ref="L6:L16" si="5">I6*J6</f>
        <v>4.2033333333333331</v>
      </c>
      <c r="N6" s="31">
        <v>112</v>
      </c>
    </row>
    <row r="7" spans="1:19" x14ac:dyDescent="0.5">
      <c r="A7" s="15" t="s">
        <v>49</v>
      </c>
      <c r="B7" s="15" t="s">
        <v>170</v>
      </c>
      <c r="C7" s="15" t="s">
        <v>17</v>
      </c>
      <c r="D7" s="20">
        <f t="shared" si="0"/>
        <v>3.125</v>
      </c>
      <c r="E7" s="17">
        <f t="shared" si="1"/>
        <v>30</v>
      </c>
      <c r="F7" s="18">
        <v>1</v>
      </c>
      <c r="G7" s="17">
        <f t="shared" si="2"/>
        <v>93.75</v>
      </c>
      <c r="H7" s="83">
        <f t="shared" si="3"/>
        <v>93.75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93.75</v>
      </c>
      <c r="L7" s="95">
        <f t="shared" si="5"/>
        <v>5.882352941176471</v>
      </c>
      <c r="N7" s="31">
        <v>25</v>
      </c>
    </row>
    <row r="8" spans="1:19" x14ac:dyDescent="0.5">
      <c r="A8" s="15" t="s">
        <v>49</v>
      </c>
      <c r="B8" s="15" t="s">
        <v>133</v>
      </c>
      <c r="C8" s="15" t="s">
        <v>17</v>
      </c>
      <c r="D8" s="20">
        <f t="shared" si="0"/>
        <v>0.375</v>
      </c>
      <c r="E8" s="17">
        <f t="shared" si="1"/>
        <v>30</v>
      </c>
      <c r="F8" s="18">
        <v>1</v>
      </c>
      <c r="G8" s="17">
        <f t="shared" si="2"/>
        <v>11.25</v>
      </c>
      <c r="H8" s="83">
        <f t="shared" si="3"/>
        <v>11.25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11.25</v>
      </c>
      <c r="L8" s="95">
        <f t="shared" si="5"/>
        <v>21.74</v>
      </c>
      <c r="N8" s="31">
        <v>3</v>
      </c>
    </row>
    <row r="9" spans="1:19" x14ac:dyDescent="0.5">
      <c r="A9" s="15" t="s">
        <v>49</v>
      </c>
      <c r="B9" s="15" t="s">
        <v>134</v>
      </c>
      <c r="C9" s="15" t="s">
        <v>17</v>
      </c>
      <c r="D9" s="20">
        <f t="shared" si="0"/>
        <v>0.375</v>
      </c>
      <c r="E9" s="17">
        <f t="shared" si="1"/>
        <v>30</v>
      </c>
      <c r="F9" s="18">
        <v>1</v>
      </c>
      <c r="G9" s="17">
        <f t="shared" si="2"/>
        <v>11.25</v>
      </c>
      <c r="H9" s="83">
        <f t="shared" si="3"/>
        <v>11.25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11.25</v>
      </c>
      <c r="L9" s="95">
        <f t="shared" si="5"/>
        <v>90</v>
      </c>
      <c r="N9" s="31">
        <v>3</v>
      </c>
    </row>
    <row r="10" spans="1:19" x14ac:dyDescent="0.5">
      <c r="A10" s="14" t="s">
        <v>30</v>
      </c>
      <c r="B10" s="15" t="s">
        <v>127</v>
      </c>
      <c r="C10" s="15" t="s">
        <v>17</v>
      </c>
      <c r="D10" s="20">
        <f t="shared" si="0"/>
        <v>2.75</v>
      </c>
      <c r="E10" s="17">
        <f t="shared" si="1"/>
        <v>30</v>
      </c>
      <c r="F10" s="18">
        <v>1</v>
      </c>
      <c r="G10" s="17">
        <f t="shared" si="2"/>
        <v>82.5</v>
      </c>
      <c r="H10" s="83">
        <f t="shared" si="3"/>
        <v>82.5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82.5</v>
      </c>
      <c r="L10" s="95">
        <f t="shared" si="5"/>
        <v>14</v>
      </c>
      <c r="N10" s="31">
        <v>22</v>
      </c>
      <c r="R10" s="119" t="s">
        <v>85</v>
      </c>
      <c r="S10" s="120"/>
    </row>
    <row r="11" spans="1:19" x14ac:dyDescent="0.5">
      <c r="A11" s="14" t="s">
        <v>48</v>
      </c>
      <c r="B11" s="15" t="s">
        <v>128</v>
      </c>
      <c r="C11" s="15" t="s">
        <v>17</v>
      </c>
      <c r="D11" s="20">
        <f t="shared" si="0"/>
        <v>1.5</v>
      </c>
      <c r="E11" s="17">
        <f t="shared" si="1"/>
        <v>30</v>
      </c>
      <c r="F11" s="18">
        <v>1</v>
      </c>
      <c r="G11" s="17">
        <f t="shared" si="2"/>
        <v>45</v>
      </c>
      <c r="H11" s="83">
        <f t="shared" si="3"/>
        <v>45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45</v>
      </c>
      <c r="L11" s="95">
        <f t="shared" si="5"/>
        <v>2.7</v>
      </c>
      <c r="N11" s="31">
        <v>12</v>
      </c>
      <c r="R11" s="119" t="s">
        <v>18</v>
      </c>
      <c r="S11" s="120"/>
    </row>
    <row r="12" spans="1:19" ht="14.75" customHeight="1" x14ac:dyDescent="0.5">
      <c r="A12" s="14" t="s">
        <v>50</v>
      </c>
      <c r="B12" s="15" t="s">
        <v>139</v>
      </c>
      <c r="C12" s="15" t="s">
        <v>17</v>
      </c>
      <c r="D12" s="20">
        <f t="shared" si="0"/>
        <v>15.625</v>
      </c>
      <c r="E12" s="17">
        <f t="shared" si="1"/>
        <v>30</v>
      </c>
      <c r="F12" s="18">
        <v>1</v>
      </c>
      <c r="G12" s="17">
        <f t="shared" si="2"/>
        <v>468.75</v>
      </c>
      <c r="H12" s="83">
        <f t="shared" si="3"/>
        <v>468.75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468.75</v>
      </c>
      <c r="L12" s="95">
        <f t="shared" si="5"/>
        <v>1.8</v>
      </c>
      <c r="N12" s="31">
        <v>125</v>
      </c>
      <c r="R12" s="5" t="s">
        <v>19</v>
      </c>
      <c r="S12" s="5" t="s">
        <v>20</v>
      </c>
    </row>
    <row r="13" spans="1:19" ht="14.75" customHeight="1" x14ac:dyDescent="0.5">
      <c r="A13" s="14" t="s">
        <v>50</v>
      </c>
      <c r="B13" s="15" t="s">
        <v>156</v>
      </c>
      <c r="C13" s="15" t="s">
        <v>17</v>
      </c>
      <c r="D13" s="20">
        <f t="shared" si="0"/>
        <v>15.625</v>
      </c>
      <c r="E13" s="17">
        <f t="shared" si="1"/>
        <v>30</v>
      </c>
      <c r="F13" s="18">
        <v>1</v>
      </c>
      <c r="G13" s="17">
        <f t="shared" si="2"/>
        <v>468.75</v>
      </c>
      <c r="H13" s="83">
        <f t="shared" si="3"/>
        <v>468.75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468.75</v>
      </c>
      <c r="L13" s="95">
        <f t="shared" si="5"/>
        <v>1.7</v>
      </c>
      <c r="N13" s="31">
        <v>125</v>
      </c>
      <c r="R13" s="5" t="s">
        <v>21</v>
      </c>
      <c r="S13" s="47">
        <v>28</v>
      </c>
    </row>
    <row r="14" spans="1:19" ht="14.75" customHeight="1" x14ac:dyDescent="0.5">
      <c r="A14" s="14" t="s">
        <v>30</v>
      </c>
      <c r="B14" s="15" t="s">
        <v>117</v>
      </c>
      <c r="C14" s="15" t="s">
        <v>17</v>
      </c>
      <c r="D14" s="20">
        <f t="shared" si="0"/>
        <v>100</v>
      </c>
      <c r="E14" s="17">
        <f t="shared" si="1"/>
        <v>30</v>
      </c>
      <c r="F14" s="18">
        <v>1</v>
      </c>
      <c r="G14" s="17">
        <f t="shared" si="2"/>
        <v>3000</v>
      </c>
      <c r="H14" s="83">
        <f t="shared" si="3"/>
        <v>3000</v>
      </c>
      <c r="I14" s="23">
        <f>VLOOKUP(B14,Ordering!$A$1:$J$83,6,FALSE)</f>
        <v>1</v>
      </c>
      <c r="J14" s="23">
        <f>VLOOKUP(B14,Ordering!$A$1:$J$83,10,FALSE)</f>
        <v>13.545454545454545</v>
      </c>
      <c r="K14" s="23">
        <f t="shared" si="4"/>
        <v>3000</v>
      </c>
      <c r="L14" s="95">
        <f t="shared" si="5"/>
        <v>13.545454545454545</v>
      </c>
      <c r="N14" s="31">
        <v>800</v>
      </c>
      <c r="R14" s="5" t="s">
        <v>22</v>
      </c>
      <c r="S14" s="14">
        <v>2</v>
      </c>
    </row>
    <row r="15" spans="1:19" x14ac:dyDescent="0.5">
      <c r="A15" s="14" t="s">
        <v>53</v>
      </c>
      <c r="B15" s="15" t="s">
        <v>164</v>
      </c>
      <c r="C15" s="15" t="s">
        <v>17</v>
      </c>
      <c r="D15" s="20">
        <f t="shared" si="0"/>
        <v>20</v>
      </c>
      <c r="E15" s="17">
        <f t="shared" si="1"/>
        <v>30</v>
      </c>
      <c r="F15" s="18">
        <v>1</v>
      </c>
      <c r="G15" s="17">
        <f t="shared" si="2"/>
        <v>600</v>
      </c>
      <c r="H15" s="83">
        <f t="shared" si="3"/>
        <v>600</v>
      </c>
      <c r="I15" s="23">
        <f>VLOOKUP(B15,Ordering!$A$1:$J$83,6,FALSE)</f>
        <v>0.69</v>
      </c>
      <c r="J15" s="23">
        <f>VLOOKUP(B15,Ordering!$A$1:$J$83,10,FALSE)</f>
        <v>4</v>
      </c>
      <c r="K15" s="23">
        <f t="shared" si="4"/>
        <v>869.56521739130437</v>
      </c>
      <c r="L15" s="95">
        <f t="shared" si="5"/>
        <v>2.76</v>
      </c>
      <c r="N15" s="31">
        <v>160</v>
      </c>
      <c r="R15" s="5" t="s">
        <v>23</v>
      </c>
      <c r="S15" s="48">
        <f>S13+S14</f>
        <v>30</v>
      </c>
    </row>
    <row r="16" spans="1:19" x14ac:dyDescent="0.5">
      <c r="A16" s="14" t="s">
        <v>55</v>
      </c>
      <c r="B16" s="15" t="s">
        <v>163</v>
      </c>
      <c r="C16" s="15" t="s">
        <v>17</v>
      </c>
      <c r="D16" s="20">
        <f t="shared" si="0"/>
        <v>5</v>
      </c>
      <c r="E16" s="17">
        <f t="shared" si="1"/>
        <v>30</v>
      </c>
      <c r="F16" s="18">
        <v>1</v>
      </c>
      <c r="G16" s="17">
        <f t="shared" si="2"/>
        <v>150</v>
      </c>
      <c r="H16" s="83">
        <f t="shared" si="3"/>
        <v>150</v>
      </c>
      <c r="I16" s="23">
        <f>VLOOKUP(B16,Ordering!$A$1:$J$83,6,FALSE)</f>
        <v>0.9</v>
      </c>
      <c r="J16" s="23">
        <f>VLOOKUP(B16,Ordering!$A$1:$J$83,10,FALSE)</f>
        <v>3.5</v>
      </c>
      <c r="K16" s="23">
        <f t="shared" si="4"/>
        <v>166.66666666666666</v>
      </c>
      <c r="L16" s="95">
        <f t="shared" si="5"/>
        <v>3.15</v>
      </c>
      <c r="N16" s="31">
        <v>40</v>
      </c>
    </row>
    <row r="17" spans="1:14" x14ac:dyDescent="0.5">
      <c r="A17" s="14" t="s">
        <v>55</v>
      </c>
      <c r="B17" s="15" t="s">
        <v>154</v>
      </c>
      <c r="C17" s="15" t="s">
        <v>17</v>
      </c>
      <c r="D17" s="20">
        <f t="shared" si="0"/>
        <v>5</v>
      </c>
      <c r="E17" s="17">
        <f t="shared" si="1"/>
        <v>30</v>
      </c>
      <c r="F17" s="18">
        <v>1</v>
      </c>
      <c r="G17" s="17">
        <f t="shared" si="2"/>
        <v>150</v>
      </c>
      <c r="H17" s="17">
        <f t="shared" si="3"/>
        <v>150</v>
      </c>
      <c r="I17" s="23">
        <f>VLOOKUP(B17,Ordering!$A$1:$J$83,6,FALSE)</f>
        <v>0.8</v>
      </c>
      <c r="J17" s="23">
        <f>VLOOKUP(B17,Ordering!$A$1:$J$83,10,FALSE)</f>
        <v>3</v>
      </c>
      <c r="K17" s="23">
        <f t="shared" ref="K17:K20" si="6">H17/I17</f>
        <v>187.5</v>
      </c>
      <c r="L17" s="95">
        <f t="shared" ref="L17:L20" si="7">I17*J17</f>
        <v>2.4000000000000004</v>
      </c>
      <c r="N17" s="31">
        <v>40</v>
      </c>
    </row>
    <row r="18" spans="1:14" x14ac:dyDescent="0.5">
      <c r="A18" s="14" t="s">
        <v>53</v>
      </c>
      <c r="B18" s="15" t="s">
        <v>167</v>
      </c>
      <c r="C18" s="15" t="s">
        <v>17</v>
      </c>
      <c r="D18" s="20">
        <f t="shared" si="0"/>
        <v>1</v>
      </c>
      <c r="E18" s="17">
        <f t="shared" si="1"/>
        <v>30</v>
      </c>
      <c r="F18" s="18">
        <v>1</v>
      </c>
      <c r="G18" s="17">
        <f t="shared" si="2"/>
        <v>30</v>
      </c>
      <c r="H18" s="17">
        <f t="shared" si="3"/>
        <v>30</v>
      </c>
      <c r="I18" s="23">
        <f>VLOOKUP(B18,Ordering!$A$1:$J$83,6,FALSE)</f>
        <v>1</v>
      </c>
      <c r="J18" s="23">
        <f>VLOOKUP(B18,Ordering!$A$1:$J$83,10,FALSE)</f>
        <v>20</v>
      </c>
      <c r="K18" s="23">
        <f t="shared" si="6"/>
        <v>30</v>
      </c>
      <c r="L18" s="95">
        <f t="shared" si="7"/>
        <v>20</v>
      </c>
      <c r="N18" s="31">
        <v>8</v>
      </c>
    </row>
    <row r="19" spans="1:14" x14ac:dyDescent="0.5">
      <c r="A19" s="14" t="s">
        <v>49</v>
      </c>
      <c r="B19" s="15" t="s">
        <v>171</v>
      </c>
      <c r="C19" s="15" t="s">
        <v>17</v>
      </c>
      <c r="D19" s="20">
        <f t="shared" si="0"/>
        <v>8</v>
      </c>
      <c r="E19" s="17">
        <f t="shared" si="1"/>
        <v>30</v>
      </c>
      <c r="F19" s="18">
        <v>1</v>
      </c>
      <c r="G19" s="17">
        <f t="shared" si="2"/>
        <v>240</v>
      </c>
      <c r="H19" s="17">
        <f t="shared" si="3"/>
        <v>240</v>
      </c>
      <c r="I19" s="23">
        <f>VLOOKUP(B19,Ordering!$A$1:$J$83,6,FALSE)</f>
        <v>1</v>
      </c>
      <c r="J19" s="23">
        <f>VLOOKUP(B19,Ordering!$A$1:$J$83,10,FALSE)</f>
        <v>10.416666666666666</v>
      </c>
      <c r="K19" s="23">
        <f t="shared" si="6"/>
        <v>240</v>
      </c>
      <c r="L19" s="95">
        <f t="shared" si="7"/>
        <v>10.416666666666666</v>
      </c>
      <c r="N19" s="31">
        <v>64</v>
      </c>
    </row>
    <row r="20" spans="1:14" x14ac:dyDescent="0.5">
      <c r="A20" s="14" t="s">
        <v>49</v>
      </c>
      <c r="B20" s="15" t="s">
        <v>172</v>
      </c>
      <c r="C20" s="15" t="s">
        <v>17</v>
      </c>
      <c r="D20" s="20">
        <f t="shared" si="0"/>
        <v>8</v>
      </c>
      <c r="E20" s="17">
        <f t="shared" si="1"/>
        <v>30</v>
      </c>
      <c r="F20" s="18">
        <v>1</v>
      </c>
      <c r="G20" s="17">
        <f t="shared" si="2"/>
        <v>240</v>
      </c>
      <c r="H20" s="17">
        <f t="shared" si="3"/>
        <v>240</v>
      </c>
      <c r="I20" s="23">
        <f>VLOOKUP(B20,Ordering!$A$1:$J$83,6,FALSE)</f>
        <v>1</v>
      </c>
      <c r="J20" s="23">
        <f>VLOOKUP(B20,Ordering!$A$1:$J$83,10,FALSE)</f>
        <v>6.5883838383838373</v>
      </c>
      <c r="K20" s="23">
        <f t="shared" si="6"/>
        <v>240</v>
      </c>
      <c r="L20" s="95">
        <f t="shared" si="7"/>
        <v>6.5883838383838373</v>
      </c>
      <c r="N20" s="31">
        <v>64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9670-7F1B-4A29-A9B6-AEFCE3BA5C55}">
  <sheetPr codeName="Sheet5">
    <tabColor theme="7" tint="-0.249977111117893"/>
    <pageSetUpPr fitToPage="1"/>
  </sheetPr>
  <dimension ref="A1:S21"/>
  <sheetViews>
    <sheetView topLeftCell="F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21.9375" customWidth="1"/>
    <col min="19" max="19" width="8.46875" bestFit="1" customWidth="1"/>
  </cols>
  <sheetData>
    <row r="1" spans="1:19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96</v>
      </c>
      <c r="G1" s="4"/>
      <c r="H1" s="38" t="s">
        <v>2</v>
      </c>
      <c r="I1" s="13">
        <f>F1/B1</f>
        <v>96</v>
      </c>
      <c r="J1" s="4"/>
      <c r="K1" s="38"/>
    </row>
    <row r="2" spans="1:19" ht="14.25" customHeight="1" x14ac:dyDescent="0.5">
      <c r="A2" s="42"/>
      <c r="B2" s="117" t="s">
        <v>47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19" ht="14.25" customHeight="1" x14ac:dyDescent="0.5">
      <c r="A3" s="46"/>
      <c r="B3" s="118" t="s">
        <v>83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19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19" ht="15" customHeight="1" thickTop="1" thickBot="1" x14ac:dyDescent="0.55000000000000004">
      <c r="A5" s="15" t="s">
        <v>30</v>
      </c>
      <c r="B5" s="15" t="s">
        <v>111</v>
      </c>
      <c r="C5" s="15" t="s">
        <v>15</v>
      </c>
      <c r="D5" s="20">
        <f t="shared" ref="D5:D21" si="0">N5/8</f>
        <v>0.125</v>
      </c>
      <c r="E5" s="17">
        <f t="shared" ref="E5:E21" si="1">$I$1</f>
        <v>96</v>
      </c>
      <c r="F5" s="18">
        <v>1</v>
      </c>
      <c r="G5" s="30">
        <f t="shared" ref="G5:G21" si="2">E5*D5</f>
        <v>12</v>
      </c>
      <c r="H5" s="83">
        <f t="shared" ref="H5:H21" si="3">G5*F5</f>
        <v>12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12</v>
      </c>
      <c r="L5" s="95">
        <f>I5*J5</f>
        <v>0.43333333333333335</v>
      </c>
      <c r="N5" s="1">
        <v>1</v>
      </c>
    </row>
    <row r="6" spans="1:19" ht="14.75" customHeight="1" thickTop="1" x14ac:dyDescent="0.5">
      <c r="A6" s="15" t="s">
        <v>30</v>
      </c>
      <c r="B6" s="15" t="s">
        <v>112</v>
      </c>
      <c r="C6" s="15" t="s">
        <v>16</v>
      </c>
      <c r="D6" s="20">
        <f t="shared" si="0"/>
        <v>14</v>
      </c>
      <c r="E6" s="17">
        <f t="shared" si="1"/>
        <v>96</v>
      </c>
      <c r="F6" s="18">
        <v>1</v>
      </c>
      <c r="G6" s="17">
        <f t="shared" si="2"/>
        <v>1344</v>
      </c>
      <c r="H6" s="83">
        <f t="shared" si="3"/>
        <v>1344</v>
      </c>
      <c r="I6" s="23">
        <f>VLOOKUP(B6,Ordering!$A$1:$J$83,6,FALSE)</f>
        <v>1</v>
      </c>
      <c r="J6" s="23">
        <f>VLOOKUP(B6,Ordering!$A$1:$J$83,10,FALSE)</f>
        <v>4.2033333333333331</v>
      </c>
      <c r="K6" s="23">
        <f t="shared" ref="K6:K16" si="4">H6/I6</f>
        <v>1344</v>
      </c>
      <c r="L6" s="95">
        <f t="shared" ref="L6:L16" si="5">I6*J6</f>
        <v>4.2033333333333331</v>
      </c>
      <c r="N6" s="31">
        <v>112</v>
      </c>
    </row>
    <row r="7" spans="1:19" x14ac:dyDescent="0.5">
      <c r="A7" s="15" t="s">
        <v>49</v>
      </c>
      <c r="B7" s="15" t="s">
        <v>170</v>
      </c>
      <c r="C7" s="15" t="s">
        <v>16</v>
      </c>
      <c r="D7" s="20">
        <f t="shared" si="0"/>
        <v>3.125</v>
      </c>
      <c r="E7" s="17">
        <f t="shared" si="1"/>
        <v>96</v>
      </c>
      <c r="F7" s="18">
        <v>1</v>
      </c>
      <c r="G7" s="17">
        <f t="shared" si="2"/>
        <v>300</v>
      </c>
      <c r="H7" s="83">
        <f t="shared" si="3"/>
        <v>300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si="4"/>
        <v>300</v>
      </c>
      <c r="L7" s="95">
        <f t="shared" si="5"/>
        <v>5.882352941176471</v>
      </c>
      <c r="N7" s="31">
        <v>25</v>
      </c>
    </row>
    <row r="8" spans="1:19" x14ac:dyDescent="0.5">
      <c r="A8" s="15" t="s">
        <v>49</v>
      </c>
      <c r="B8" s="15" t="s">
        <v>133</v>
      </c>
      <c r="C8" s="15" t="s">
        <v>17</v>
      </c>
      <c r="D8" s="20">
        <f t="shared" si="0"/>
        <v>0.375</v>
      </c>
      <c r="E8" s="17">
        <f t="shared" si="1"/>
        <v>96</v>
      </c>
      <c r="F8" s="18">
        <v>1</v>
      </c>
      <c r="G8" s="17">
        <f t="shared" si="2"/>
        <v>36</v>
      </c>
      <c r="H8" s="83">
        <f t="shared" si="3"/>
        <v>36</v>
      </c>
      <c r="I8" s="23">
        <f>VLOOKUP(B8,Ordering!$A$1:$J$83,6,FALSE)</f>
        <v>1</v>
      </c>
      <c r="J8" s="23">
        <f>VLOOKUP(B8,Ordering!$A$1:$J$83,10,FALSE)</f>
        <v>21.74</v>
      </c>
      <c r="K8" s="23">
        <f t="shared" si="4"/>
        <v>36</v>
      </c>
      <c r="L8" s="95">
        <f t="shared" si="5"/>
        <v>21.74</v>
      </c>
      <c r="N8" s="31">
        <v>3</v>
      </c>
    </row>
    <row r="9" spans="1:19" x14ac:dyDescent="0.5">
      <c r="A9" s="15" t="s">
        <v>49</v>
      </c>
      <c r="B9" s="15" t="s">
        <v>134</v>
      </c>
      <c r="C9" s="15" t="s">
        <v>17</v>
      </c>
      <c r="D9" s="20">
        <f t="shared" si="0"/>
        <v>0.375</v>
      </c>
      <c r="E9" s="17">
        <f t="shared" si="1"/>
        <v>96</v>
      </c>
      <c r="F9" s="18">
        <v>1</v>
      </c>
      <c r="G9" s="17">
        <f t="shared" si="2"/>
        <v>36</v>
      </c>
      <c r="H9" s="83">
        <f t="shared" si="3"/>
        <v>36</v>
      </c>
      <c r="I9" s="23">
        <f>VLOOKUP(B9,Ordering!$A$1:$J$83,6,FALSE)</f>
        <v>1</v>
      </c>
      <c r="J9" s="23">
        <f>VLOOKUP(B9,Ordering!$A$1:$J$83,10,FALSE)</f>
        <v>90</v>
      </c>
      <c r="K9" s="23">
        <f t="shared" si="4"/>
        <v>36</v>
      </c>
      <c r="L9" s="95">
        <f t="shared" si="5"/>
        <v>90</v>
      </c>
      <c r="N9" s="31">
        <v>3</v>
      </c>
    </row>
    <row r="10" spans="1:19" x14ac:dyDescent="0.5">
      <c r="A10" s="14" t="s">
        <v>30</v>
      </c>
      <c r="B10" s="15" t="s">
        <v>127</v>
      </c>
      <c r="C10" s="15" t="s">
        <v>17</v>
      </c>
      <c r="D10" s="20">
        <f t="shared" si="0"/>
        <v>2.75</v>
      </c>
      <c r="E10" s="17">
        <f t="shared" si="1"/>
        <v>96</v>
      </c>
      <c r="F10" s="18">
        <v>1</v>
      </c>
      <c r="G10" s="17">
        <f t="shared" si="2"/>
        <v>264</v>
      </c>
      <c r="H10" s="83">
        <f t="shared" si="3"/>
        <v>264</v>
      </c>
      <c r="I10" s="23">
        <f>VLOOKUP(B10,Ordering!$A$1:$J$83,6,FALSE)</f>
        <v>1</v>
      </c>
      <c r="J10" s="23">
        <f>VLOOKUP(B10,Ordering!$A$1:$J$83,10,FALSE)</f>
        <v>14</v>
      </c>
      <c r="K10" s="23">
        <f t="shared" si="4"/>
        <v>264</v>
      </c>
      <c r="L10" s="95">
        <f t="shared" si="5"/>
        <v>14</v>
      </c>
      <c r="N10" s="31">
        <v>22</v>
      </c>
      <c r="R10" s="119" t="s">
        <v>86</v>
      </c>
      <c r="S10" s="120"/>
    </row>
    <row r="11" spans="1:19" x14ac:dyDescent="0.5">
      <c r="A11" s="14" t="s">
        <v>48</v>
      </c>
      <c r="B11" s="15" t="s">
        <v>128</v>
      </c>
      <c r="C11" s="15" t="s">
        <v>17</v>
      </c>
      <c r="D11" s="20">
        <f t="shared" si="0"/>
        <v>1.5</v>
      </c>
      <c r="E11" s="17">
        <f t="shared" si="1"/>
        <v>96</v>
      </c>
      <c r="F11" s="18">
        <v>1</v>
      </c>
      <c r="G11" s="17">
        <f t="shared" si="2"/>
        <v>144</v>
      </c>
      <c r="H11" s="83">
        <f t="shared" si="3"/>
        <v>144</v>
      </c>
      <c r="I11" s="23">
        <f>VLOOKUP(B11,Ordering!$A$1:$J$83,6,FALSE)</f>
        <v>1</v>
      </c>
      <c r="J11" s="23">
        <f>VLOOKUP(B11,Ordering!$A$1:$J$83,10,FALSE)</f>
        <v>2.7</v>
      </c>
      <c r="K11" s="23">
        <f t="shared" si="4"/>
        <v>144</v>
      </c>
      <c r="L11" s="95">
        <f t="shared" si="5"/>
        <v>2.7</v>
      </c>
      <c r="N11" s="31">
        <v>12</v>
      </c>
      <c r="R11" s="119" t="s">
        <v>18</v>
      </c>
      <c r="S11" s="120"/>
    </row>
    <row r="12" spans="1:19" ht="14.75" customHeight="1" x14ac:dyDescent="0.5">
      <c r="A12" s="14" t="s">
        <v>50</v>
      </c>
      <c r="B12" s="15" t="s">
        <v>139</v>
      </c>
      <c r="C12" s="15" t="s">
        <v>17</v>
      </c>
      <c r="D12" s="20">
        <f t="shared" si="0"/>
        <v>15.625</v>
      </c>
      <c r="E12" s="17">
        <f t="shared" si="1"/>
        <v>96</v>
      </c>
      <c r="F12" s="18">
        <v>1</v>
      </c>
      <c r="G12" s="17">
        <f t="shared" si="2"/>
        <v>1500</v>
      </c>
      <c r="H12" s="83">
        <f t="shared" si="3"/>
        <v>1500</v>
      </c>
      <c r="I12" s="23">
        <f>VLOOKUP(B12,Ordering!$A$1:$J$83,6,FALSE)</f>
        <v>1</v>
      </c>
      <c r="J12" s="23">
        <f>VLOOKUP(B12,Ordering!$A$1:$J$83,10,FALSE)</f>
        <v>1.8</v>
      </c>
      <c r="K12" s="23">
        <f t="shared" si="4"/>
        <v>1500</v>
      </c>
      <c r="L12" s="95">
        <f t="shared" si="5"/>
        <v>1.8</v>
      </c>
      <c r="N12" s="31">
        <v>125</v>
      </c>
      <c r="R12" s="5" t="s">
        <v>19</v>
      </c>
      <c r="S12" s="5" t="s">
        <v>20</v>
      </c>
    </row>
    <row r="13" spans="1:19" ht="14.75" customHeight="1" x14ac:dyDescent="0.5">
      <c r="A13" s="14" t="s">
        <v>50</v>
      </c>
      <c r="B13" s="15" t="s">
        <v>156</v>
      </c>
      <c r="C13" s="15" t="s">
        <v>17</v>
      </c>
      <c r="D13" s="20">
        <f t="shared" si="0"/>
        <v>15.625</v>
      </c>
      <c r="E13" s="17">
        <f t="shared" si="1"/>
        <v>96</v>
      </c>
      <c r="F13" s="18">
        <v>1</v>
      </c>
      <c r="G13" s="17">
        <f t="shared" si="2"/>
        <v>1500</v>
      </c>
      <c r="H13" s="83">
        <f t="shared" si="3"/>
        <v>1500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4"/>
        <v>1500</v>
      </c>
      <c r="L13" s="95">
        <f t="shared" si="5"/>
        <v>1.7</v>
      </c>
      <c r="N13" s="31">
        <v>125</v>
      </c>
      <c r="R13" s="5" t="s">
        <v>21</v>
      </c>
      <c r="S13" s="47">
        <v>94</v>
      </c>
    </row>
    <row r="14" spans="1:19" ht="14.75" customHeight="1" x14ac:dyDescent="0.5">
      <c r="A14" s="14" t="s">
        <v>30</v>
      </c>
      <c r="B14" s="15" t="s">
        <v>113</v>
      </c>
      <c r="C14" s="15" t="s">
        <v>17</v>
      </c>
      <c r="D14" s="20">
        <f t="shared" si="0"/>
        <v>100</v>
      </c>
      <c r="E14" s="17">
        <f t="shared" si="1"/>
        <v>96</v>
      </c>
      <c r="F14" s="18">
        <v>1</v>
      </c>
      <c r="G14" s="17">
        <f t="shared" si="2"/>
        <v>9600</v>
      </c>
      <c r="H14" s="83">
        <f t="shared" si="3"/>
        <v>9600</v>
      </c>
      <c r="I14" s="23">
        <f>VLOOKUP(B14,Ordering!$A$1:$J$83,6,FALSE)</f>
        <v>1</v>
      </c>
      <c r="J14" s="23">
        <f>VLOOKUP(B14,Ordering!$A$1:$J$83,10,FALSE)</f>
        <v>17.934782608695652</v>
      </c>
      <c r="K14" s="23">
        <f t="shared" si="4"/>
        <v>9600</v>
      </c>
      <c r="L14" s="95">
        <f t="shared" si="5"/>
        <v>17.934782608695652</v>
      </c>
      <c r="N14" s="31">
        <v>800</v>
      </c>
      <c r="R14" s="5" t="s">
        <v>22</v>
      </c>
      <c r="S14" s="14">
        <v>2</v>
      </c>
    </row>
    <row r="15" spans="1:19" x14ac:dyDescent="0.5">
      <c r="A15" s="14" t="s">
        <v>55</v>
      </c>
      <c r="B15" s="15" t="s">
        <v>178</v>
      </c>
      <c r="C15" s="15" t="s">
        <v>17</v>
      </c>
      <c r="D15" s="20">
        <f t="shared" si="0"/>
        <v>100</v>
      </c>
      <c r="E15" s="17">
        <f t="shared" si="1"/>
        <v>96</v>
      </c>
      <c r="F15" s="18">
        <v>1</v>
      </c>
      <c r="G15" s="17">
        <f t="shared" si="2"/>
        <v>9600</v>
      </c>
      <c r="H15" s="83">
        <f t="shared" si="3"/>
        <v>9600</v>
      </c>
      <c r="I15" s="23">
        <f>VLOOKUP(B15,Ordering!$A$1:$J$83,6,FALSE)</f>
        <v>0.99</v>
      </c>
      <c r="J15" s="23">
        <f>VLOOKUP(B15,Ordering!$A$1:$J$83,10,FALSE)</f>
        <v>12</v>
      </c>
      <c r="K15" s="23">
        <f t="shared" si="4"/>
        <v>9696.9696969696979</v>
      </c>
      <c r="L15" s="95">
        <f t="shared" si="5"/>
        <v>11.879999999999999</v>
      </c>
      <c r="N15" s="31">
        <v>800</v>
      </c>
      <c r="R15" s="5" t="s">
        <v>23</v>
      </c>
      <c r="S15" s="48">
        <f>S13+S14</f>
        <v>96</v>
      </c>
    </row>
    <row r="16" spans="1:19" x14ac:dyDescent="0.5">
      <c r="A16" s="14" t="s">
        <v>53</v>
      </c>
      <c r="B16" s="15" t="s">
        <v>164</v>
      </c>
      <c r="C16" s="15" t="s">
        <v>17</v>
      </c>
      <c r="D16" s="20">
        <f t="shared" si="0"/>
        <v>5</v>
      </c>
      <c r="E16" s="17">
        <f t="shared" si="1"/>
        <v>96</v>
      </c>
      <c r="F16" s="18">
        <v>1</v>
      </c>
      <c r="G16" s="17">
        <f t="shared" si="2"/>
        <v>480</v>
      </c>
      <c r="H16" s="83">
        <f t="shared" si="3"/>
        <v>480</v>
      </c>
      <c r="I16" s="23">
        <f>VLOOKUP(B16,Ordering!$A$1:$J$83,6,FALSE)</f>
        <v>0.69</v>
      </c>
      <c r="J16" s="23">
        <f>VLOOKUP(B16,Ordering!$A$1:$J$83,10,FALSE)</f>
        <v>4</v>
      </c>
      <c r="K16" s="23">
        <f t="shared" si="4"/>
        <v>695.6521739130435</v>
      </c>
      <c r="L16" s="95">
        <f t="shared" si="5"/>
        <v>2.76</v>
      </c>
      <c r="N16" s="31">
        <v>40</v>
      </c>
    </row>
    <row r="17" spans="1:14" x14ac:dyDescent="0.5">
      <c r="A17" s="14" t="s">
        <v>53</v>
      </c>
      <c r="B17" s="15" t="s">
        <v>162</v>
      </c>
      <c r="C17" s="15" t="s">
        <v>17</v>
      </c>
      <c r="D17" s="20">
        <f t="shared" si="0"/>
        <v>0.125</v>
      </c>
      <c r="E17" s="17">
        <f t="shared" si="1"/>
        <v>96</v>
      </c>
      <c r="F17" s="18">
        <v>1</v>
      </c>
      <c r="G17" s="17">
        <f t="shared" si="2"/>
        <v>12</v>
      </c>
      <c r="H17" s="17">
        <f t="shared" si="3"/>
        <v>12</v>
      </c>
      <c r="I17" s="23">
        <f>VLOOKUP(B17,Ordering!$A$1:$J$83,6,FALSE)</f>
        <v>1</v>
      </c>
      <c r="J17" s="23">
        <f>VLOOKUP(B17,Ordering!$A$1:$J$83,10,FALSE)</f>
        <v>31</v>
      </c>
      <c r="K17" s="23">
        <f t="shared" ref="K17:K21" si="6">H17/I17</f>
        <v>12</v>
      </c>
      <c r="L17" s="95">
        <f t="shared" ref="L17:L21" si="7">I17*J17</f>
        <v>31</v>
      </c>
      <c r="N17" s="31">
        <v>1</v>
      </c>
    </row>
    <row r="18" spans="1:14" x14ac:dyDescent="0.5">
      <c r="A18" s="14" t="s">
        <v>53</v>
      </c>
      <c r="B18" s="15" t="s">
        <v>159</v>
      </c>
      <c r="C18" s="15" t="s">
        <v>17</v>
      </c>
      <c r="D18" s="20">
        <f t="shared" si="0"/>
        <v>0.125</v>
      </c>
      <c r="E18" s="17">
        <f t="shared" si="1"/>
        <v>96</v>
      </c>
      <c r="F18" s="18">
        <v>1</v>
      </c>
      <c r="G18" s="17">
        <f t="shared" si="2"/>
        <v>12</v>
      </c>
      <c r="H18" s="17">
        <f t="shared" si="3"/>
        <v>12</v>
      </c>
      <c r="I18" s="23">
        <f>VLOOKUP(B18,Ordering!$A$1:$J$83,6,FALSE)</f>
        <v>1</v>
      </c>
      <c r="J18" s="23">
        <f>VLOOKUP(B18,Ordering!$A$1:$J$83,10,FALSE)</f>
        <v>14</v>
      </c>
      <c r="K18" s="23">
        <f t="shared" si="6"/>
        <v>12</v>
      </c>
      <c r="L18" s="95">
        <f t="shared" si="7"/>
        <v>14</v>
      </c>
      <c r="N18" s="31">
        <v>1</v>
      </c>
    </row>
    <row r="19" spans="1:14" x14ac:dyDescent="0.5">
      <c r="A19" s="14" t="s">
        <v>53</v>
      </c>
      <c r="B19" s="15" t="s">
        <v>160</v>
      </c>
      <c r="C19" s="15" t="s">
        <v>17</v>
      </c>
      <c r="D19" s="20">
        <f t="shared" si="0"/>
        <v>0.125</v>
      </c>
      <c r="E19" s="17">
        <f t="shared" si="1"/>
        <v>96</v>
      </c>
      <c r="F19" s="18">
        <v>1</v>
      </c>
      <c r="G19" s="17">
        <f t="shared" si="2"/>
        <v>12</v>
      </c>
      <c r="H19" s="17">
        <f t="shared" si="3"/>
        <v>12</v>
      </c>
      <c r="I19" s="23">
        <f>VLOOKUP(B19,Ordering!$A$1:$J$83,6,FALSE)</f>
        <v>1</v>
      </c>
      <c r="J19" s="23">
        <f>VLOOKUP(B19,Ordering!$A$1:$J$83,10,FALSE)</f>
        <v>107</v>
      </c>
      <c r="K19" s="23">
        <f t="shared" si="6"/>
        <v>12</v>
      </c>
      <c r="L19" s="95">
        <f t="shared" si="7"/>
        <v>107</v>
      </c>
      <c r="N19" s="31">
        <v>1</v>
      </c>
    </row>
    <row r="20" spans="1:14" x14ac:dyDescent="0.5">
      <c r="A20" s="14" t="s">
        <v>49</v>
      </c>
      <c r="B20" s="15" t="s">
        <v>135</v>
      </c>
      <c r="C20" s="15" t="s">
        <v>17</v>
      </c>
      <c r="D20" s="20">
        <f t="shared" si="0"/>
        <v>0.125</v>
      </c>
      <c r="E20" s="17">
        <f t="shared" si="1"/>
        <v>96</v>
      </c>
      <c r="F20" s="18">
        <v>1</v>
      </c>
      <c r="G20" s="17">
        <f t="shared" si="2"/>
        <v>12</v>
      </c>
      <c r="H20" s="17">
        <f t="shared" si="3"/>
        <v>12</v>
      </c>
      <c r="I20" s="23">
        <f>VLOOKUP(B20,Ordering!$A$1:$J$83,6,FALSE)</f>
        <v>1</v>
      </c>
      <c r="J20" s="23">
        <f>VLOOKUP(B20,Ordering!$A$1:$J$83,10,FALSE)</f>
        <v>0.74</v>
      </c>
      <c r="K20" s="23">
        <f t="shared" si="6"/>
        <v>12</v>
      </c>
      <c r="L20" s="95">
        <f t="shared" si="7"/>
        <v>0.74</v>
      </c>
      <c r="N20" s="31">
        <v>1</v>
      </c>
    </row>
    <row r="21" spans="1:14" x14ac:dyDescent="0.5">
      <c r="A21" s="14" t="s">
        <v>30</v>
      </c>
      <c r="B21" s="15" t="s">
        <v>114</v>
      </c>
      <c r="C21" s="15" t="s">
        <v>17</v>
      </c>
      <c r="D21" s="20">
        <f t="shared" si="0"/>
        <v>0.125</v>
      </c>
      <c r="E21" s="17">
        <f t="shared" si="1"/>
        <v>96</v>
      </c>
      <c r="F21" s="18">
        <v>1</v>
      </c>
      <c r="G21" s="17">
        <f t="shared" si="2"/>
        <v>12</v>
      </c>
      <c r="H21" s="17">
        <f t="shared" si="3"/>
        <v>12</v>
      </c>
      <c r="I21" s="23">
        <f>VLOOKUP(B21,Ordering!$A$1:$J$83,6,FALSE)</f>
        <v>1</v>
      </c>
      <c r="J21" s="23">
        <f>VLOOKUP(B21,Ordering!$A$1:$J$83,10,FALSE)</f>
        <v>47</v>
      </c>
      <c r="K21" s="23">
        <f t="shared" si="6"/>
        <v>12</v>
      </c>
      <c r="L21" s="95">
        <f t="shared" si="7"/>
        <v>47</v>
      </c>
      <c r="N21" s="31">
        <v>1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3A34E-8B1C-42B6-9DF5-FEB93E4249F8}">
  <sheetPr codeName="Sheet34">
    <tabColor theme="7" tint="-0.249977111117893"/>
    <pageSetUpPr fitToPage="1"/>
  </sheetPr>
  <dimension ref="A1:S16"/>
  <sheetViews>
    <sheetView topLeftCell="F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1" max="11" width="10.64453125" bestFit="1" customWidth="1"/>
    <col min="12" max="12" width="9.05859375" bestFit="1" customWidth="1"/>
    <col min="18" max="18" width="16.05859375" customWidth="1"/>
    <col min="19" max="19" width="8.46875" bestFit="1" customWidth="1"/>
  </cols>
  <sheetData>
    <row r="1" spans="1:19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16</v>
      </c>
      <c r="G1" s="4"/>
      <c r="H1" s="38" t="s">
        <v>2</v>
      </c>
      <c r="I1" s="13">
        <f>F1/B1</f>
        <v>16</v>
      </c>
      <c r="J1" s="4"/>
      <c r="K1" s="38"/>
    </row>
    <row r="2" spans="1:19" ht="14.25" customHeight="1" x14ac:dyDescent="0.5">
      <c r="A2" s="42"/>
      <c r="B2" s="117" t="s">
        <v>45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19" ht="14.25" customHeight="1" x14ac:dyDescent="0.5">
      <c r="A3" s="46"/>
      <c r="B3" s="118" t="s">
        <v>82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19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19" ht="15" thickTop="1" thickBot="1" x14ac:dyDescent="0.55000000000000004">
      <c r="A5" s="15" t="s">
        <v>30</v>
      </c>
      <c r="B5" s="14" t="s">
        <v>111</v>
      </c>
      <c r="C5" s="15" t="s">
        <v>15</v>
      </c>
      <c r="D5" s="20">
        <f t="shared" ref="D5:D16" si="0">N5/8</f>
        <v>0.125</v>
      </c>
      <c r="E5" s="17">
        <f t="shared" ref="E5:E16" si="1">$I$1</f>
        <v>16</v>
      </c>
      <c r="F5" s="18">
        <v>1</v>
      </c>
      <c r="G5" s="30">
        <f t="shared" ref="G5:G16" si="2">E5*D5</f>
        <v>2</v>
      </c>
      <c r="H5" s="83">
        <f t="shared" ref="H5:H16" si="3">G5*F5</f>
        <v>2</v>
      </c>
      <c r="I5" s="15">
        <f>VLOOKUP(B5,Ordering!$A$1:$J$83,6,FALSE)</f>
        <v>1</v>
      </c>
      <c r="J5" s="20">
        <f>VLOOKUP(B5,Ordering!$A$1:$J$83,10,FALSE)</f>
        <v>0.43333333333333335</v>
      </c>
      <c r="K5" s="20">
        <f>H5/I5</f>
        <v>2</v>
      </c>
      <c r="L5" s="94">
        <f>I5*J5</f>
        <v>0.43333333333333335</v>
      </c>
      <c r="N5" s="1">
        <v>1</v>
      </c>
    </row>
    <row r="6" spans="1:19" ht="15" customHeight="1" thickTop="1" thickBot="1" x14ac:dyDescent="0.55000000000000004">
      <c r="A6" s="15" t="s">
        <v>30</v>
      </c>
      <c r="B6" s="14" t="s">
        <v>112</v>
      </c>
      <c r="C6" s="15" t="s">
        <v>16</v>
      </c>
      <c r="D6" s="20">
        <f t="shared" si="0"/>
        <v>14</v>
      </c>
      <c r="E6" s="17">
        <f t="shared" si="1"/>
        <v>16</v>
      </c>
      <c r="F6" s="18">
        <v>1</v>
      </c>
      <c r="G6" s="17">
        <f t="shared" si="2"/>
        <v>224</v>
      </c>
      <c r="H6" s="83">
        <f t="shared" si="3"/>
        <v>224</v>
      </c>
      <c r="I6" s="15">
        <f>VLOOKUP(B6,Ordering!$A$1:$J$83,6,FALSE)</f>
        <v>1</v>
      </c>
      <c r="J6" s="20">
        <f>VLOOKUP(B6,Ordering!$A$1:$J$83,10,FALSE)</f>
        <v>4.2033333333333331</v>
      </c>
      <c r="K6" s="20">
        <f t="shared" ref="K6:K16" si="4">H6/I6</f>
        <v>224</v>
      </c>
      <c r="L6" s="94">
        <f t="shared" ref="L6:L16" si="5">I6*J6</f>
        <v>4.2033333333333331</v>
      </c>
      <c r="N6" s="31">
        <v>112</v>
      </c>
    </row>
    <row r="7" spans="1:19" ht="15" customHeight="1" thickTop="1" thickBot="1" x14ac:dyDescent="0.55000000000000004">
      <c r="A7" s="15" t="s">
        <v>49</v>
      </c>
      <c r="B7" s="14" t="s">
        <v>170</v>
      </c>
      <c r="C7" s="15" t="s">
        <v>17</v>
      </c>
      <c r="D7" s="20">
        <f t="shared" si="0"/>
        <v>3.125</v>
      </c>
      <c r="E7" s="17">
        <f t="shared" si="1"/>
        <v>16</v>
      </c>
      <c r="F7" s="18">
        <v>1</v>
      </c>
      <c r="G7" s="17">
        <f t="shared" si="2"/>
        <v>50</v>
      </c>
      <c r="H7" s="83">
        <f t="shared" si="3"/>
        <v>50</v>
      </c>
      <c r="I7" s="15">
        <f>VLOOKUP(B7,Ordering!$A$1:$J$83,6,FALSE)</f>
        <v>1</v>
      </c>
      <c r="J7" s="20">
        <f>VLOOKUP(B7,Ordering!$A$1:$J$83,10,FALSE)</f>
        <v>5.882352941176471</v>
      </c>
      <c r="K7" s="20">
        <f t="shared" si="4"/>
        <v>50</v>
      </c>
      <c r="L7" s="94">
        <f t="shared" si="5"/>
        <v>5.882352941176471</v>
      </c>
      <c r="N7" s="1">
        <v>25</v>
      </c>
    </row>
    <row r="8" spans="1:19" ht="14.75" customHeight="1" thickTop="1" x14ac:dyDescent="0.5">
      <c r="A8" s="15" t="s">
        <v>49</v>
      </c>
      <c r="B8" s="14" t="s">
        <v>133</v>
      </c>
      <c r="C8" s="15" t="s">
        <v>17</v>
      </c>
      <c r="D8" s="20">
        <f t="shared" si="0"/>
        <v>0.375</v>
      </c>
      <c r="E8" s="17">
        <f t="shared" si="1"/>
        <v>16</v>
      </c>
      <c r="F8" s="18">
        <v>1</v>
      </c>
      <c r="G8" s="17">
        <f t="shared" si="2"/>
        <v>6</v>
      </c>
      <c r="H8" s="83">
        <f t="shared" si="3"/>
        <v>6</v>
      </c>
      <c r="I8" s="15">
        <f>VLOOKUP(B8,Ordering!$A$1:$J$83,6,FALSE)</f>
        <v>1</v>
      </c>
      <c r="J8" s="20">
        <f>VLOOKUP(B8,Ordering!$A$1:$J$83,10,FALSE)</f>
        <v>21.74</v>
      </c>
      <c r="K8" s="20">
        <f t="shared" si="4"/>
        <v>6</v>
      </c>
      <c r="L8" s="94">
        <f t="shared" si="5"/>
        <v>21.74</v>
      </c>
      <c r="N8" s="31">
        <v>3</v>
      </c>
    </row>
    <row r="9" spans="1:19" x14ac:dyDescent="0.5">
      <c r="A9" s="15" t="s">
        <v>49</v>
      </c>
      <c r="B9" s="14" t="s">
        <v>134</v>
      </c>
      <c r="C9" s="15" t="s">
        <v>17</v>
      </c>
      <c r="D9" s="20">
        <f t="shared" si="0"/>
        <v>0.375</v>
      </c>
      <c r="E9" s="17">
        <f t="shared" si="1"/>
        <v>16</v>
      </c>
      <c r="F9" s="18">
        <v>1</v>
      </c>
      <c r="G9" s="17">
        <f t="shared" si="2"/>
        <v>6</v>
      </c>
      <c r="H9" s="83">
        <f t="shared" si="3"/>
        <v>6</v>
      </c>
      <c r="I9" s="15">
        <f>VLOOKUP(B9,Ordering!$A$1:$J$83,6,FALSE)</f>
        <v>1</v>
      </c>
      <c r="J9" s="20">
        <f>VLOOKUP(B9,Ordering!$A$1:$J$83,10,FALSE)</f>
        <v>90</v>
      </c>
      <c r="K9" s="20">
        <f t="shared" si="4"/>
        <v>6</v>
      </c>
      <c r="L9" s="94">
        <f t="shared" si="5"/>
        <v>90</v>
      </c>
      <c r="N9" s="31">
        <v>3</v>
      </c>
    </row>
    <row r="10" spans="1:19" x14ac:dyDescent="0.5">
      <c r="A10" s="14" t="s">
        <v>30</v>
      </c>
      <c r="B10" s="14" t="s">
        <v>127</v>
      </c>
      <c r="C10" s="15" t="s">
        <v>17</v>
      </c>
      <c r="D10" s="20">
        <f t="shared" si="0"/>
        <v>2.75</v>
      </c>
      <c r="E10" s="17">
        <f t="shared" si="1"/>
        <v>16</v>
      </c>
      <c r="F10" s="18">
        <v>1</v>
      </c>
      <c r="G10" s="17">
        <f t="shared" si="2"/>
        <v>44</v>
      </c>
      <c r="H10" s="83">
        <f t="shared" si="3"/>
        <v>44</v>
      </c>
      <c r="I10" s="15">
        <f>VLOOKUP(B10,Ordering!$A$1:$J$83,6,FALSE)</f>
        <v>1</v>
      </c>
      <c r="J10" s="20">
        <f>VLOOKUP(B10,Ordering!$A$1:$J$83,10,FALSE)</f>
        <v>14</v>
      </c>
      <c r="K10" s="20">
        <f t="shared" si="4"/>
        <v>44</v>
      </c>
      <c r="L10" s="94">
        <f t="shared" si="5"/>
        <v>14</v>
      </c>
      <c r="N10" s="31">
        <v>22</v>
      </c>
      <c r="R10" s="119" t="s">
        <v>84</v>
      </c>
      <c r="S10" s="120"/>
    </row>
    <row r="11" spans="1:19" x14ac:dyDescent="0.5">
      <c r="A11" s="14" t="s">
        <v>48</v>
      </c>
      <c r="B11" s="14" t="s">
        <v>128</v>
      </c>
      <c r="C11" s="15" t="s">
        <v>17</v>
      </c>
      <c r="D11" s="20">
        <f t="shared" si="0"/>
        <v>1.5</v>
      </c>
      <c r="E11" s="17">
        <f t="shared" si="1"/>
        <v>16</v>
      </c>
      <c r="F11" s="18">
        <v>1</v>
      </c>
      <c r="G11" s="17">
        <f t="shared" si="2"/>
        <v>24</v>
      </c>
      <c r="H11" s="83">
        <f t="shared" si="3"/>
        <v>24</v>
      </c>
      <c r="I11" s="15">
        <f>VLOOKUP(B11,Ordering!$A$1:$J$83,6,FALSE)</f>
        <v>1</v>
      </c>
      <c r="J11" s="20">
        <f>VLOOKUP(B11,Ordering!$A$1:$J$83,10,FALSE)</f>
        <v>2.7</v>
      </c>
      <c r="K11" s="20">
        <f t="shared" si="4"/>
        <v>24</v>
      </c>
      <c r="L11" s="94">
        <f t="shared" si="5"/>
        <v>2.7</v>
      </c>
      <c r="N11" s="31">
        <v>12</v>
      </c>
      <c r="R11" s="119" t="s">
        <v>18</v>
      </c>
      <c r="S11" s="120"/>
    </row>
    <row r="12" spans="1:19" ht="14.75" customHeight="1" x14ac:dyDescent="0.5">
      <c r="A12" s="14" t="s">
        <v>50</v>
      </c>
      <c r="B12" s="14" t="s">
        <v>139</v>
      </c>
      <c r="C12" s="15" t="s">
        <v>17</v>
      </c>
      <c r="D12" s="20">
        <f t="shared" si="0"/>
        <v>15.625</v>
      </c>
      <c r="E12" s="17">
        <f t="shared" si="1"/>
        <v>16</v>
      </c>
      <c r="F12" s="18">
        <v>1</v>
      </c>
      <c r="G12" s="17">
        <f t="shared" si="2"/>
        <v>250</v>
      </c>
      <c r="H12" s="83">
        <f t="shared" si="3"/>
        <v>250</v>
      </c>
      <c r="I12" s="15">
        <f>VLOOKUP(B12,Ordering!$A$1:$J$83,6,FALSE)</f>
        <v>1</v>
      </c>
      <c r="J12" s="20">
        <f>VLOOKUP(B12,Ordering!$A$1:$J$83,10,FALSE)</f>
        <v>1.8</v>
      </c>
      <c r="K12" s="20">
        <f t="shared" si="4"/>
        <v>250</v>
      </c>
      <c r="L12" s="94">
        <f t="shared" si="5"/>
        <v>1.8</v>
      </c>
      <c r="N12" s="31">
        <v>125</v>
      </c>
      <c r="R12" s="5" t="s">
        <v>19</v>
      </c>
      <c r="S12" s="5" t="s">
        <v>20</v>
      </c>
    </row>
    <row r="13" spans="1:19" ht="14.75" customHeight="1" x14ac:dyDescent="0.5">
      <c r="A13" s="14" t="s">
        <v>50</v>
      </c>
      <c r="B13" s="14" t="s">
        <v>156</v>
      </c>
      <c r="C13" s="15" t="s">
        <v>17</v>
      </c>
      <c r="D13" s="20">
        <f t="shared" si="0"/>
        <v>15.625</v>
      </c>
      <c r="E13" s="17">
        <f t="shared" si="1"/>
        <v>16</v>
      </c>
      <c r="F13" s="18">
        <v>1</v>
      </c>
      <c r="G13" s="17">
        <f t="shared" si="2"/>
        <v>250</v>
      </c>
      <c r="H13" s="83">
        <f t="shared" si="3"/>
        <v>250</v>
      </c>
      <c r="I13" s="15">
        <f>VLOOKUP(B13,Ordering!$A$1:$J$83,6,FALSE)</f>
        <v>1</v>
      </c>
      <c r="J13" s="20">
        <f>VLOOKUP(B13,Ordering!$A$1:$J$83,10,FALSE)</f>
        <v>1.7</v>
      </c>
      <c r="K13" s="20">
        <f t="shared" si="4"/>
        <v>250</v>
      </c>
      <c r="L13" s="94">
        <f t="shared" si="5"/>
        <v>1.7</v>
      </c>
      <c r="N13" s="31">
        <v>125</v>
      </c>
      <c r="R13" s="5" t="s">
        <v>21</v>
      </c>
      <c r="S13" s="47">
        <v>14</v>
      </c>
    </row>
    <row r="14" spans="1:19" ht="14.75" customHeight="1" x14ac:dyDescent="0.5">
      <c r="A14" s="14" t="s">
        <v>30</v>
      </c>
      <c r="B14" s="14" t="s">
        <v>113</v>
      </c>
      <c r="C14" s="15" t="s">
        <v>17</v>
      </c>
      <c r="D14" s="20">
        <f t="shared" si="0"/>
        <v>80</v>
      </c>
      <c r="E14" s="17">
        <f t="shared" si="1"/>
        <v>16</v>
      </c>
      <c r="F14" s="18">
        <v>1</v>
      </c>
      <c r="G14" s="17">
        <f t="shared" si="2"/>
        <v>1280</v>
      </c>
      <c r="H14" s="83">
        <f t="shared" si="3"/>
        <v>1280</v>
      </c>
      <c r="I14" s="15">
        <f>VLOOKUP(B14,Ordering!$A$1:$J$83,6,FALSE)</f>
        <v>1</v>
      </c>
      <c r="J14" s="20">
        <f>VLOOKUP(B14,Ordering!$A$1:$J$83,10,FALSE)</f>
        <v>17.934782608695652</v>
      </c>
      <c r="K14" s="20">
        <f t="shared" si="4"/>
        <v>1280</v>
      </c>
      <c r="L14" s="94">
        <f t="shared" si="5"/>
        <v>17.934782608695652</v>
      </c>
      <c r="N14" s="31">
        <v>640</v>
      </c>
      <c r="R14" s="5" t="s">
        <v>22</v>
      </c>
      <c r="S14" s="14">
        <v>2</v>
      </c>
    </row>
    <row r="15" spans="1:19" x14ac:dyDescent="0.5">
      <c r="A15" s="14" t="s">
        <v>53</v>
      </c>
      <c r="B15" s="14" t="s">
        <v>157</v>
      </c>
      <c r="C15" s="15" t="s">
        <v>17</v>
      </c>
      <c r="D15" s="20">
        <f t="shared" si="0"/>
        <v>25</v>
      </c>
      <c r="E15" s="17">
        <f t="shared" si="1"/>
        <v>16</v>
      </c>
      <c r="F15" s="18">
        <v>1</v>
      </c>
      <c r="G15" s="17">
        <f t="shared" si="2"/>
        <v>400</v>
      </c>
      <c r="H15" s="83">
        <f t="shared" si="3"/>
        <v>400</v>
      </c>
      <c r="I15" s="15">
        <f>VLOOKUP(B15,Ordering!$A$1:$J$83,6,FALSE)</f>
        <v>1</v>
      </c>
      <c r="J15" s="20">
        <f>VLOOKUP(B15,Ordering!$A$1:$J$83,10,FALSE)</f>
        <v>7</v>
      </c>
      <c r="K15" s="20">
        <f t="shared" si="4"/>
        <v>400</v>
      </c>
      <c r="L15" s="94">
        <f t="shared" si="5"/>
        <v>7</v>
      </c>
      <c r="N15" s="31">
        <v>200</v>
      </c>
      <c r="R15" s="5" t="s">
        <v>23</v>
      </c>
      <c r="S15" s="48">
        <f>S13+S14</f>
        <v>16</v>
      </c>
    </row>
    <row r="16" spans="1:19" x14ac:dyDescent="0.5">
      <c r="A16" s="14" t="s">
        <v>49</v>
      </c>
      <c r="B16" s="14" t="s">
        <v>168</v>
      </c>
      <c r="C16" s="15" t="s">
        <v>16</v>
      </c>
      <c r="D16" s="20">
        <f t="shared" si="0"/>
        <v>2</v>
      </c>
      <c r="E16" s="17">
        <f t="shared" si="1"/>
        <v>16</v>
      </c>
      <c r="F16" s="18">
        <v>1</v>
      </c>
      <c r="G16" s="17">
        <f t="shared" si="2"/>
        <v>32</v>
      </c>
      <c r="H16" s="83">
        <f t="shared" si="3"/>
        <v>32</v>
      </c>
      <c r="I16" s="15">
        <f>VLOOKUP(B16,Ordering!$A$1:$J$83,6,FALSE)</f>
        <v>1</v>
      </c>
      <c r="J16" s="20">
        <f>VLOOKUP(B16,Ordering!$A$1:$J$83,10,FALSE)</f>
        <v>15.5</v>
      </c>
      <c r="K16" s="20">
        <f t="shared" si="4"/>
        <v>32</v>
      </c>
      <c r="L16" s="94">
        <f t="shared" si="5"/>
        <v>15.5</v>
      </c>
      <c r="N16" s="32">
        <v>16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9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>
    <tabColor theme="7" tint="-0.249977111117893"/>
    <pageSetUpPr fitToPage="1"/>
  </sheetPr>
  <dimension ref="A1:Y20"/>
  <sheetViews>
    <sheetView topLeftCell="D1" zoomScale="55" zoomScaleNormal="55" zoomScaleSheetLayoutView="100" workbookViewId="0">
      <selection activeCell="S14" sqref="S14"/>
    </sheetView>
  </sheetViews>
  <sheetFormatPr defaultRowHeight="14.35" x14ac:dyDescent="0.5"/>
  <cols>
    <col min="1" max="1" width="24.703125" customWidth="1"/>
    <col min="2" max="2" width="35.8203125" bestFit="1" customWidth="1"/>
    <col min="3" max="3" width="17.41015625" customWidth="1"/>
    <col min="4" max="4" width="14.46875" bestFit="1" customWidth="1"/>
    <col min="5" max="5" width="17.41015625" customWidth="1"/>
    <col min="6" max="6" width="11.46875" bestFit="1" customWidth="1"/>
    <col min="7" max="7" width="20.3515625" hidden="1" customWidth="1"/>
    <col min="8" max="8" width="29.8203125" bestFit="1" customWidth="1"/>
    <col min="9" max="9" width="11.05859375" customWidth="1"/>
    <col min="10" max="10" width="14.41015625" customWidth="1"/>
    <col min="18" max="18" width="14.8203125" customWidth="1"/>
    <col min="19" max="19" width="16.5859375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134</v>
      </c>
      <c r="G1" s="4"/>
      <c r="H1" s="38" t="s">
        <v>2</v>
      </c>
      <c r="I1" s="13">
        <f>F1/B1</f>
        <v>134</v>
      </c>
      <c r="J1" s="4"/>
      <c r="K1" s="4"/>
    </row>
    <row r="2" spans="1:25" ht="21.5" customHeight="1" x14ac:dyDescent="0.5">
      <c r="A2" s="42"/>
      <c r="B2" s="117" t="s">
        <v>41</v>
      </c>
      <c r="C2" s="117"/>
      <c r="D2" s="117"/>
      <c r="E2" s="117"/>
      <c r="F2" s="117"/>
      <c r="G2" s="117"/>
      <c r="H2" s="117"/>
      <c r="I2" s="41"/>
      <c r="J2" s="43"/>
      <c r="K2" s="40"/>
    </row>
    <row r="3" spans="1:25" ht="19.25" customHeight="1" x14ac:dyDescent="0.5">
      <c r="A3" s="46"/>
      <c r="B3" s="118" t="s">
        <v>63</v>
      </c>
      <c r="C3" s="118"/>
      <c r="D3" s="118"/>
      <c r="E3" s="118"/>
      <c r="F3" s="118"/>
      <c r="G3" s="118"/>
      <c r="H3" s="118"/>
      <c r="I3" s="84"/>
      <c r="J3" s="85"/>
      <c r="K3" s="87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115</v>
      </c>
      <c r="C5" s="15" t="s">
        <v>17</v>
      </c>
      <c r="D5" s="20">
        <f>N5/70</f>
        <v>14.285714285714286</v>
      </c>
      <c r="E5" s="17">
        <f>$I$1</f>
        <v>134</v>
      </c>
      <c r="F5" s="18">
        <v>1</v>
      </c>
      <c r="G5" s="17">
        <f t="shared" ref="G5:G13" si="0">E5*D5</f>
        <v>1914.2857142857144</v>
      </c>
      <c r="H5" s="83">
        <f t="shared" ref="H5:H13" si="1">G5*F5</f>
        <v>1914.2857142857144</v>
      </c>
      <c r="I5" s="102">
        <f>VLOOKUP(B5,Ordering!$A$1:$J$83,6,FALSE)</f>
        <v>1</v>
      </c>
      <c r="J5" s="102">
        <f>VLOOKUP(B5,Ordering!$A$1:$J$83,10,FALSE)</f>
        <v>30</v>
      </c>
      <c r="K5" s="102">
        <f t="shared" ref="K5:K6" si="2">((H5/(I5))/1000)</f>
        <v>1.9142857142857144</v>
      </c>
      <c r="L5" s="103">
        <f t="shared" ref="L5:L13" si="3">J5*K5</f>
        <v>57.428571428571431</v>
      </c>
      <c r="N5" s="1">
        <v>1000</v>
      </c>
    </row>
    <row r="6" spans="1:25" ht="15" customHeight="1" thickTop="1" thickBot="1" x14ac:dyDescent="0.55000000000000004">
      <c r="A6" s="15" t="s">
        <v>48</v>
      </c>
      <c r="B6" s="15" t="s">
        <v>166</v>
      </c>
      <c r="C6" s="15" t="s">
        <v>17</v>
      </c>
      <c r="D6" s="20">
        <f t="shared" ref="D6:D13" si="4">N6/70</f>
        <v>10</v>
      </c>
      <c r="E6" s="17">
        <f t="shared" ref="E6:E13" si="5">$I$1</f>
        <v>134</v>
      </c>
      <c r="F6" s="18">
        <v>1</v>
      </c>
      <c r="G6" s="17">
        <f t="shared" si="0"/>
        <v>1340</v>
      </c>
      <c r="H6" s="83">
        <f t="shared" si="1"/>
        <v>1340</v>
      </c>
      <c r="I6" s="102">
        <f>VLOOKUP(B6,Ordering!$A$1:$J$83,6,FALSE)</f>
        <v>1</v>
      </c>
      <c r="J6" s="102">
        <f>VLOOKUP(B6,Ordering!$A$1:$J$83,10,FALSE)</f>
        <v>6.5</v>
      </c>
      <c r="K6" s="102">
        <f t="shared" si="2"/>
        <v>1.34</v>
      </c>
      <c r="L6" s="103">
        <f t="shared" si="3"/>
        <v>8.7100000000000009</v>
      </c>
      <c r="N6" s="1">
        <v>700</v>
      </c>
    </row>
    <row r="7" spans="1:25" ht="15" customHeight="1" thickTop="1" thickBot="1" x14ac:dyDescent="0.55000000000000004">
      <c r="A7" s="15" t="s">
        <v>30</v>
      </c>
      <c r="B7" s="15" t="s">
        <v>111</v>
      </c>
      <c r="C7" s="15" t="s">
        <v>15</v>
      </c>
      <c r="D7" s="20">
        <f t="shared" si="4"/>
        <v>0.2</v>
      </c>
      <c r="E7" s="17">
        <f t="shared" si="5"/>
        <v>134</v>
      </c>
      <c r="F7" s="18">
        <v>1</v>
      </c>
      <c r="G7" s="17">
        <f t="shared" si="0"/>
        <v>26.8</v>
      </c>
      <c r="H7" s="83">
        <f t="shared" si="1"/>
        <v>26.8</v>
      </c>
      <c r="I7" s="102">
        <f>VLOOKUP(B7,Ordering!$A$1:$J$83,6,FALSE)</f>
        <v>1</v>
      </c>
      <c r="J7" s="102">
        <f>VLOOKUP(B7,Ordering!$A$1:$J$83,10,FALSE)</f>
        <v>0.43333333333333335</v>
      </c>
      <c r="K7" s="102">
        <f t="shared" ref="K7" si="6">H7/I7</f>
        <v>26.8</v>
      </c>
      <c r="L7" s="103">
        <f t="shared" si="3"/>
        <v>11.613333333333333</v>
      </c>
      <c r="N7" s="1">
        <v>14</v>
      </c>
    </row>
    <row r="8" spans="1:25" ht="15" customHeight="1" thickTop="1" thickBot="1" x14ac:dyDescent="0.55000000000000004">
      <c r="A8" s="15" t="s">
        <v>50</v>
      </c>
      <c r="B8" s="15" t="s">
        <v>156</v>
      </c>
      <c r="C8" s="15" t="s">
        <v>17</v>
      </c>
      <c r="D8" s="20">
        <f t="shared" si="4"/>
        <v>14.285714285714286</v>
      </c>
      <c r="E8" s="17">
        <f t="shared" si="5"/>
        <v>134</v>
      </c>
      <c r="F8" s="18">
        <v>1</v>
      </c>
      <c r="G8" s="17">
        <f t="shared" si="0"/>
        <v>1914.2857142857144</v>
      </c>
      <c r="H8" s="83">
        <f t="shared" si="1"/>
        <v>1914.2857142857144</v>
      </c>
      <c r="I8" s="102">
        <f>VLOOKUP(B8,Ordering!$A$1:$J$83,6,FALSE)</f>
        <v>1</v>
      </c>
      <c r="J8" s="102">
        <f>VLOOKUP(B8,Ordering!$A$1:$J$83,10,FALSE)</f>
        <v>1.7</v>
      </c>
      <c r="K8" s="102">
        <f t="shared" ref="K8:K13" si="7">((H8/(I8))/1000)</f>
        <v>1.9142857142857144</v>
      </c>
      <c r="L8" s="103">
        <f t="shared" si="3"/>
        <v>3.2542857142857144</v>
      </c>
      <c r="N8" s="1">
        <v>1000</v>
      </c>
      <c r="V8" s="89" t="s">
        <v>248</v>
      </c>
      <c r="W8" s="90">
        <v>1</v>
      </c>
      <c r="X8" s="89" t="s">
        <v>14</v>
      </c>
      <c r="Y8" s="91">
        <f>SUM(L5:L13)/S15</f>
        <v>0.64376663059163053</v>
      </c>
    </row>
    <row r="9" spans="1:25" ht="15" customHeight="1" thickTop="1" thickBot="1" x14ac:dyDescent="0.55000000000000004">
      <c r="A9" s="15" t="s">
        <v>49</v>
      </c>
      <c r="B9" s="15" t="s">
        <v>132</v>
      </c>
      <c r="C9" s="15" t="s">
        <v>17</v>
      </c>
      <c r="D9" s="20">
        <f t="shared" si="4"/>
        <v>0.7142857142857143</v>
      </c>
      <c r="E9" s="17">
        <f t="shared" si="5"/>
        <v>134</v>
      </c>
      <c r="F9" s="18">
        <v>1</v>
      </c>
      <c r="G9" s="17">
        <f t="shared" si="0"/>
        <v>95.714285714285722</v>
      </c>
      <c r="H9" s="83">
        <f t="shared" si="1"/>
        <v>95.714285714285722</v>
      </c>
      <c r="I9" s="102">
        <f>VLOOKUP(B9,Ordering!$A$1:$J$83,6,FALSE)</f>
        <v>1</v>
      </c>
      <c r="J9" s="102">
        <f>VLOOKUP(B9,Ordering!$A$1:$J$83,10,FALSE)</f>
        <v>7.9</v>
      </c>
      <c r="K9" s="102">
        <f t="shared" si="7"/>
        <v>9.5714285714285724E-2</v>
      </c>
      <c r="L9" s="103">
        <f t="shared" si="3"/>
        <v>0.75614285714285723</v>
      </c>
      <c r="N9" s="1">
        <v>50</v>
      </c>
    </row>
    <row r="10" spans="1:25" ht="15" customHeight="1" thickTop="1" thickBot="1" x14ac:dyDescent="0.55000000000000004">
      <c r="A10" s="14" t="s">
        <v>49</v>
      </c>
      <c r="B10" s="15" t="s">
        <v>131</v>
      </c>
      <c r="C10" s="15" t="s">
        <v>17</v>
      </c>
      <c r="D10" s="20">
        <f t="shared" si="4"/>
        <v>0.2857142857142857</v>
      </c>
      <c r="E10" s="17">
        <f t="shared" si="5"/>
        <v>134</v>
      </c>
      <c r="F10" s="18">
        <v>1</v>
      </c>
      <c r="G10" s="17">
        <f t="shared" si="0"/>
        <v>38.285714285714285</v>
      </c>
      <c r="H10" s="83">
        <f t="shared" si="1"/>
        <v>38.285714285714285</v>
      </c>
      <c r="I10" s="102">
        <f>VLOOKUP(B10,Ordering!$A$1:$J$83,6,FALSE)</f>
        <v>1</v>
      </c>
      <c r="J10" s="102">
        <f>VLOOKUP(B10,Ordering!$A$1:$J$83,10,FALSE)</f>
        <v>24.305555555555557</v>
      </c>
      <c r="K10" s="102">
        <f t="shared" si="7"/>
        <v>3.8285714285714284E-2</v>
      </c>
      <c r="L10" s="103">
        <f t="shared" si="3"/>
        <v>0.93055555555555558</v>
      </c>
      <c r="N10" s="1">
        <v>20</v>
      </c>
      <c r="R10" s="127" t="s">
        <v>64</v>
      </c>
      <c r="S10" s="127"/>
    </row>
    <row r="11" spans="1:25" ht="15" customHeight="1" thickTop="1" thickBot="1" x14ac:dyDescent="0.55000000000000004">
      <c r="A11" s="14" t="s">
        <v>52</v>
      </c>
      <c r="B11" s="15" t="s">
        <v>169</v>
      </c>
      <c r="C11" s="15" t="s">
        <v>17</v>
      </c>
      <c r="D11" s="20">
        <f t="shared" si="4"/>
        <v>1.4285714285714286</v>
      </c>
      <c r="E11" s="17">
        <f t="shared" si="5"/>
        <v>134</v>
      </c>
      <c r="F11" s="18">
        <v>1</v>
      </c>
      <c r="G11" s="17">
        <f t="shared" si="0"/>
        <v>191.42857142857144</v>
      </c>
      <c r="H11" s="83">
        <f t="shared" si="1"/>
        <v>191.42857142857144</v>
      </c>
      <c r="I11" s="102">
        <f>VLOOKUP(B11,Ordering!$A$1:$J$83,6,FALSE)</f>
        <v>0.33</v>
      </c>
      <c r="J11" s="102">
        <f>VLOOKUP(B11,Ordering!$A$1:$J$83,10,FALSE)</f>
        <v>4.5</v>
      </c>
      <c r="K11" s="102">
        <f t="shared" si="7"/>
        <v>0.58008658008658009</v>
      </c>
      <c r="L11" s="103">
        <f t="shared" si="3"/>
        <v>2.6103896103896105</v>
      </c>
      <c r="N11" s="1">
        <v>100</v>
      </c>
      <c r="R11" s="5" t="s">
        <v>18</v>
      </c>
      <c r="S11" s="5"/>
    </row>
    <row r="12" spans="1:25" ht="15" customHeight="1" thickTop="1" thickBot="1" x14ac:dyDescent="0.55000000000000004">
      <c r="A12" s="55" t="s">
        <v>257</v>
      </c>
      <c r="B12" s="15" t="s">
        <v>169</v>
      </c>
      <c r="C12" s="15" t="s">
        <v>17</v>
      </c>
      <c r="D12" s="20">
        <f t="shared" si="4"/>
        <v>0.14285714285714285</v>
      </c>
      <c r="E12" s="17">
        <f t="shared" si="5"/>
        <v>134</v>
      </c>
      <c r="F12" s="18">
        <v>1</v>
      </c>
      <c r="G12" s="17">
        <f t="shared" si="0"/>
        <v>19.142857142857142</v>
      </c>
      <c r="H12" s="83">
        <f t="shared" si="1"/>
        <v>19.142857142857142</v>
      </c>
      <c r="I12" s="104">
        <f>90/1000</f>
        <v>0.09</v>
      </c>
      <c r="J12" s="102">
        <f>VLOOKUP(B12,Ordering!$A$1:$J$83,10,FALSE)</f>
        <v>4.5</v>
      </c>
      <c r="K12" s="102">
        <f t="shared" ref="K12" si="8">((H12/(I12))/1000)</f>
        <v>0.21269841269841272</v>
      </c>
      <c r="L12" s="103">
        <f t="shared" ref="L12" si="9">J12*K12</f>
        <v>0.9571428571428573</v>
      </c>
      <c r="N12" s="1">
        <v>10</v>
      </c>
      <c r="R12" s="5" t="s">
        <v>19</v>
      </c>
      <c r="S12" s="5" t="s">
        <v>20</v>
      </c>
    </row>
    <row r="13" spans="1:25" ht="15" customHeight="1" thickTop="1" thickBot="1" x14ac:dyDescent="0.55000000000000004">
      <c r="A13" s="14" t="s">
        <v>53</v>
      </c>
      <c r="B13" s="15" t="s">
        <v>228</v>
      </c>
      <c r="C13" s="15" t="s">
        <v>17</v>
      </c>
      <c r="D13" s="29">
        <f t="shared" si="4"/>
        <v>1.4285714285714286E-3</v>
      </c>
      <c r="E13" s="17">
        <f t="shared" si="5"/>
        <v>134</v>
      </c>
      <c r="F13" s="18">
        <v>1</v>
      </c>
      <c r="G13" s="30">
        <f t="shared" si="0"/>
        <v>0.19142857142857142</v>
      </c>
      <c r="H13" s="83">
        <f t="shared" si="1"/>
        <v>0.19142857142857142</v>
      </c>
      <c r="I13" s="102">
        <f>VLOOKUP(B13,Ordering!$A$1:$J$83,6,FALSE)</f>
        <v>1</v>
      </c>
      <c r="J13" s="102">
        <f>VLOOKUP(B13,Ordering!$A$1:$J$83,10,FALSE)</f>
        <v>22.5</v>
      </c>
      <c r="K13" s="102">
        <f t="shared" si="7"/>
        <v>1.9142857142857142E-4</v>
      </c>
      <c r="L13" s="103">
        <f t="shared" si="3"/>
        <v>4.3071428571428566E-3</v>
      </c>
      <c r="N13" s="1">
        <v>0.1</v>
      </c>
      <c r="R13" s="5" t="s">
        <v>21</v>
      </c>
      <c r="S13" s="47">
        <v>132</v>
      </c>
    </row>
    <row r="14" spans="1:25" ht="15" customHeight="1" thickTop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134</v>
      </c>
    </row>
    <row r="16" spans="1:25" x14ac:dyDescent="0.5">
      <c r="R16" s="92" t="s">
        <v>14</v>
      </c>
      <c r="S16" s="93">
        <f>SUM(L5:L13)</f>
        <v>86.26472849927849</v>
      </c>
    </row>
    <row r="19" spans="7:12" ht="16.350000000000001" x14ac:dyDescent="0.5">
      <c r="L19" s="45"/>
    </row>
    <row r="20" spans="7:12" ht="16.350000000000001" x14ac:dyDescent="0.5">
      <c r="G20" s="45"/>
    </row>
  </sheetData>
  <mergeCells count="3">
    <mergeCell ref="B3:H3"/>
    <mergeCell ref="B2:H2"/>
    <mergeCell ref="R10:S10"/>
  </mergeCells>
  <printOptions horizontalCentered="1"/>
  <pageMargins left="0.4" right="0.4" top="1" bottom="0.5" header="0.3" footer="0.3"/>
  <pageSetup paperSize="9" scale="3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0">
    <tabColor theme="7" tint="-0.249977111117893"/>
    <pageSetUpPr fitToPage="1"/>
  </sheetPr>
  <dimension ref="A1:Y16"/>
  <sheetViews>
    <sheetView topLeftCell="H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47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hidden="1" customWidth="1"/>
    <col min="8" max="8" width="29.8203125" bestFit="1" customWidth="1"/>
    <col min="9" max="9" width="9.64453125" bestFit="1" customWidth="1"/>
    <col min="10" max="10" width="14.41015625" customWidth="1"/>
    <col min="11" max="11" width="9.64453125" bestFit="1" customWidth="1"/>
    <col min="12" max="12" width="11.8203125" bestFit="1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152</v>
      </c>
      <c r="G1" s="4"/>
      <c r="H1" s="38" t="s">
        <v>2</v>
      </c>
      <c r="I1" s="13">
        <f>F1/B1</f>
        <v>152</v>
      </c>
      <c r="J1" s="4"/>
      <c r="K1" s="38"/>
    </row>
    <row r="2" spans="1:25" ht="14.25" customHeight="1" x14ac:dyDescent="0.5">
      <c r="A2" s="42"/>
      <c r="B2" s="117" t="s">
        <v>44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65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50</v>
      </c>
      <c r="B5" s="15" t="s">
        <v>230</v>
      </c>
      <c r="C5" s="15" t="s">
        <v>17</v>
      </c>
      <c r="D5" s="20">
        <f>N5/65</f>
        <v>38.46153846153846</v>
      </c>
      <c r="E5" s="17">
        <f>$I$1</f>
        <v>152</v>
      </c>
      <c r="F5" s="18">
        <v>1</v>
      </c>
      <c r="G5" s="17">
        <f>E5*D5</f>
        <v>5846.1538461538457</v>
      </c>
      <c r="H5" s="83">
        <f>G5*F5</f>
        <v>5846.1538461538457</v>
      </c>
      <c r="I5" s="23">
        <f>VLOOKUP(B5,Ordering!$A$1:$J$83,6,FALSE)</f>
        <v>1</v>
      </c>
      <c r="J5" s="23">
        <f>VLOOKUP(B5,Ordering!$A$1:$J$83,10,FALSE)</f>
        <v>25.420026881720432</v>
      </c>
      <c r="K5" s="23">
        <f t="shared" ref="K5" si="0">((H5/(I5))/1000)</f>
        <v>5.8461538461538458</v>
      </c>
      <c r="L5" s="95">
        <f t="shared" ref="L5:L9" si="1">J5*K5</f>
        <v>148.60938792390405</v>
      </c>
      <c r="N5" s="1">
        <v>2500</v>
      </c>
    </row>
    <row r="6" spans="1:25" ht="15" customHeight="1" thickTop="1" thickBot="1" x14ac:dyDescent="0.55000000000000004">
      <c r="A6" s="15" t="s">
        <v>30</v>
      </c>
      <c r="B6" s="15" t="s">
        <v>111</v>
      </c>
      <c r="C6" s="15" t="s">
        <v>15</v>
      </c>
      <c r="D6" s="20">
        <f>N6/65</f>
        <v>7.6923076923076927E-2</v>
      </c>
      <c r="E6" s="17">
        <f>$I$1</f>
        <v>152</v>
      </c>
      <c r="F6" s="18">
        <v>1</v>
      </c>
      <c r="G6" s="17">
        <f>E6*D6</f>
        <v>11.692307692307693</v>
      </c>
      <c r="H6" s="83">
        <f>G6*F6</f>
        <v>11.692307692307693</v>
      </c>
      <c r="I6" s="23">
        <f>VLOOKUP(B6,Ordering!$A$1:$J$83,6,FALSE)</f>
        <v>1</v>
      </c>
      <c r="J6" s="23">
        <f>VLOOKUP(B6,Ordering!$A$1:$J$83,10,FALSE)</f>
        <v>0.43333333333333335</v>
      </c>
      <c r="K6" s="23">
        <f t="shared" ref="K6" si="2">H6/I6</f>
        <v>11.692307692307693</v>
      </c>
      <c r="L6" s="95">
        <f t="shared" si="1"/>
        <v>5.0666666666666673</v>
      </c>
      <c r="N6" s="1">
        <v>5</v>
      </c>
    </row>
    <row r="7" spans="1:25" ht="15" customHeight="1" thickTop="1" thickBot="1" x14ac:dyDescent="0.55000000000000004">
      <c r="A7" s="15" t="s">
        <v>49</v>
      </c>
      <c r="B7" s="15" t="s">
        <v>170</v>
      </c>
      <c r="C7" s="15" t="s">
        <v>17</v>
      </c>
      <c r="D7" s="20">
        <f>N7/65</f>
        <v>5.5384615384615383</v>
      </c>
      <c r="E7" s="17">
        <f>$I$1</f>
        <v>152</v>
      </c>
      <c r="F7" s="18">
        <v>1</v>
      </c>
      <c r="G7" s="17">
        <f>E7*D7</f>
        <v>841.84615384615381</v>
      </c>
      <c r="H7" s="83">
        <f>G7*F7</f>
        <v>841.84615384615381</v>
      </c>
      <c r="I7" s="23">
        <f>VLOOKUP(B7,Ordering!$A$1:$J$83,6,FALSE)</f>
        <v>1</v>
      </c>
      <c r="J7" s="23">
        <f>VLOOKUP(B7,Ordering!$A$1:$J$83,10,FALSE)</f>
        <v>5.882352941176471</v>
      </c>
      <c r="K7" s="23">
        <f t="shared" ref="K7:K9" si="3">((H7/(I7))/1000)</f>
        <v>0.8418461538461538</v>
      </c>
      <c r="L7" s="95">
        <f t="shared" si="1"/>
        <v>4.9520361990950228</v>
      </c>
      <c r="N7" s="1">
        <v>360</v>
      </c>
    </row>
    <row r="8" spans="1:25" ht="15" customHeight="1" thickTop="1" thickBot="1" x14ac:dyDescent="0.55000000000000004">
      <c r="A8" s="15" t="s">
        <v>49</v>
      </c>
      <c r="B8" s="15" t="s">
        <v>120</v>
      </c>
      <c r="C8" s="15" t="s">
        <v>16</v>
      </c>
      <c r="D8" s="20">
        <f>N8/65</f>
        <v>3.4615384615384617</v>
      </c>
      <c r="E8" s="17">
        <f>$I$1</f>
        <v>152</v>
      </c>
      <c r="F8" s="18">
        <v>1</v>
      </c>
      <c r="G8" s="17">
        <f>E8*D8</f>
        <v>526.15384615384619</v>
      </c>
      <c r="H8" s="83">
        <f>G8*F8</f>
        <v>526.15384615384619</v>
      </c>
      <c r="I8" s="23">
        <f>VLOOKUP(B8,Ordering!$A$1:$J$83,6,FALSE)</f>
        <v>1</v>
      </c>
      <c r="J8" s="23">
        <f>VLOOKUP(B8,Ordering!$A$1:$J$83,10,FALSE)</f>
        <v>0</v>
      </c>
      <c r="K8" s="23">
        <f t="shared" si="3"/>
        <v>0.52615384615384619</v>
      </c>
      <c r="L8" s="95">
        <f t="shared" si="1"/>
        <v>0</v>
      </c>
      <c r="N8" s="1">
        <v>225</v>
      </c>
      <c r="V8" s="89" t="s">
        <v>248</v>
      </c>
      <c r="W8" s="90">
        <v>1</v>
      </c>
      <c r="X8" s="89" t="s">
        <v>14</v>
      </c>
      <c r="Y8" s="91">
        <f>SUM(L5:L9)/S15</f>
        <v>1.099161416013883</v>
      </c>
    </row>
    <row r="9" spans="1:25" ht="15" customHeight="1" thickTop="1" thickBot="1" x14ac:dyDescent="0.55000000000000004">
      <c r="A9" s="15" t="s">
        <v>50</v>
      </c>
      <c r="B9" s="15" t="s">
        <v>138</v>
      </c>
      <c r="C9" s="15" t="s">
        <v>17</v>
      </c>
      <c r="D9" s="20">
        <f>N9/65</f>
        <v>4.615384615384615</v>
      </c>
      <c r="E9" s="17">
        <f>$I$1</f>
        <v>152</v>
      </c>
      <c r="F9" s="18">
        <v>1</v>
      </c>
      <c r="G9" s="17">
        <f>E9*D9</f>
        <v>701.53846153846143</v>
      </c>
      <c r="H9" s="83">
        <f>G9*F9</f>
        <v>701.53846153846143</v>
      </c>
      <c r="I9" s="23">
        <f>VLOOKUP(B9,Ordering!$A$1:$J$83,6,FALSE)</f>
        <v>1</v>
      </c>
      <c r="J9" s="23">
        <f>VLOOKUP(B9,Ordering!$A$1:$J$83,10,FALSE)</f>
        <v>12.037037037037036</v>
      </c>
      <c r="K9" s="23">
        <f t="shared" si="3"/>
        <v>0.70153846153846144</v>
      </c>
      <c r="L9" s="95">
        <f t="shared" si="1"/>
        <v>8.4444444444444429</v>
      </c>
      <c r="N9" s="1">
        <v>300</v>
      </c>
    </row>
    <row r="10" spans="1:25" ht="14.75" customHeight="1" thickTop="1" x14ac:dyDescent="0.5">
      <c r="R10" s="119" t="s">
        <v>66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151</v>
      </c>
    </row>
    <row r="14" spans="1:25" ht="14.75" customHeight="1" x14ac:dyDescent="0.5">
      <c r="R14" s="5" t="s">
        <v>22</v>
      </c>
      <c r="S14" s="14">
        <v>1</v>
      </c>
    </row>
    <row r="15" spans="1:25" ht="16.350000000000001" x14ac:dyDescent="0.5">
      <c r="K15" s="45"/>
      <c r="R15" s="5" t="s">
        <v>23</v>
      </c>
      <c r="S15" s="48">
        <f>S13+S14</f>
        <v>152</v>
      </c>
    </row>
    <row r="16" spans="1:25" x14ac:dyDescent="0.5">
      <c r="R16" s="92" t="s">
        <v>14</v>
      </c>
      <c r="S16" s="93">
        <f>SUM(L5:L9)</f>
        <v>167.07253523411021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0">
    <tabColor theme="7" tint="-0.249977111117893"/>
    <pageSetUpPr fitToPage="1"/>
  </sheetPr>
  <dimension ref="A1:Y19"/>
  <sheetViews>
    <sheetView topLeftCell="Q1" zoomScale="55" zoomScaleNormal="55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customWidth="1"/>
    <col min="8" max="8" width="29.8203125" bestFit="1" customWidth="1"/>
    <col min="9" max="9" width="12.234375" customWidth="1"/>
    <col min="10" max="10" width="14.41015625" customWidth="1"/>
    <col min="11" max="11" width="17.46875" bestFit="1" customWidth="1"/>
    <col min="12" max="12" width="11.1171875" bestFit="1" customWidth="1"/>
    <col min="18" max="18" width="15.05859375" customWidth="1"/>
    <col min="19" max="19" width="14.46875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S14</f>
        <v>374</v>
      </c>
      <c r="G1" s="4"/>
      <c r="H1" s="38" t="s">
        <v>2</v>
      </c>
      <c r="I1" s="13">
        <f>F1/B1</f>
        <v>374</v>
      </c>
      <c r="J1" s="4"/>
      <c r="K1" s="38"/>
    </row>
    <row r="2" spans="1:25" ht="14.25" customHeight="1" x14ac:dyDescent="0.5">
      <c r="A2" s="42"/>
      <c r="B2" s="117" t="s">
        <v>35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67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105" t="s">
        <v>247</v>
      </c>
      <c r="J4" s="105" t="s">
        <v>12</v>
      </c>
      <c r="K4" s="105" t="s">
        <v>13</v>
      </c>
      <c r="L4" s="105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374</v>
      </c>
      <c r="F5" s="18">
        <v>1</v>
      </c>
      <c r="G5" s="17">
        <f t="shared" ref="G5:G18" si="2">E5*D5</f>
        <v>110.81481481481481</v>
      </c>
      <c r="H5" s="83">
        <f t="shared" ref="H5:H18" si="3">G5*F5</f>
        <v>110.81481481481481</v>
      </c>
      <c r="I5" s="20">
        <f>VLOOKUP(B5,Ordering!$A$1:$J$83,6,FALSE)</f>
        <v>1</v>
      </c>
      <c r="J5" s="20">
        <f>VLOOKUP(B5,Ordering!$A$1:$J$83,10,FALSE)</f>
        <v>0.43333333333333335</v>
      </c>
      <c r="K5" s="20">
        <f>H5/I5</f>
        <v>110.81481481481481</v>
      </c>
      <c r="L5" s="94">
        <f t="shared" ref="L5:L18" si="4">J5*K5</f>
        <v>48.019753086419755</v>
      </c>
      <c r="N5" s="1">
        <v>16</v>
      </c>
    </row>
    <row r="6" spans="1:25" ht="15" customHeight="1" thickTop="1" thickBot="1" x14ac:dyDescent="0.55000000000000004">
      <c r="A6" s="15" t="s">
        <v>53</v>
      </c>
      <c r="B6" s="15" t="s">
        <v>228</v>
      </c>
      <c r="C6" s="22" t="s">
        <v>17</v>
      </c>
      <c r="D6" s="20">
        <f t="shared" si="0"/>
        <v>3.7037037037037038E-3</v>
      </c>
      <c r="E6" s="17">
        <f t="shared" si="1"/>
        <v>374</v>
      </c>
      <c r="F6" s="18">
        <v>1</v>
      </c>
      <c r="G6" s="17">
        <f t="shared" si="2"/>
        <v>1.3851851851851853</v>
      </c>
      <c r="H6" s="83">
        <f t="shared" si="3"/>
        <v>1.3851851851851853</v>
      </c>
      <c r="I6" s="20">
        <f>VLOOKUP(B6,Ordering!$A$1:$J$83,6,FALSE)</f>
        <v>1</v>
      </c>
      <c r="J6" s="20">
        <f>VLOOKUP(B6,Ordering!$A$1:$J$83,10,FALSE)</f>
        <v>22.5</v>
      </c>
      <c r="K6" s="20">
        <f t="shared" ref="K6:K18" si="5">((H6/(I6))/1000)</f>
        <v>1.3851851851851853E-3</v>
      </c>
      <c r="L6" s="94">
        <f t="shared" si="4"/>
        <v>3.1166666666666669E-2</v>
      </c>
      <c r="N6" s="1">
        <v>0.2</v>
      </c>
    </row>
    <row r="7" spans="1:25" ht="15" customHeight="1" thickTop="1" thickBot="1" x14ac:dyDescent="0.55000000000000004">
      <c r="A7" s="15" t="s">
        <v>48</v>
      </c>
      <c r="B7" s="15" t="s">
        <v>128</v>
      </c>
      <c r="C7" s="22" t="s">
        <v>17</v>
      </c>
      <c r="D7" s="20">
        <f t="shared" si="0"/>
        <v>9.2592592592592595</v>
      </c>
      <c r="E7" s="17">
        <f t="shared" si="1"/>
        <v>374</v>
      </c>
      <c r="F7" s="18">
        <v>1</v>
      </c>
      <c r="G7" s="17">
        <f t="shared" si="2"/>
        <v>3462.962962962963</v>
      </c>
      <c r="H7" s="83">
        <f t="shared" si="3"/>
        <v>3462.962962962963</v>
      </c>
      <c r="I7" s="20">
        <f>VLOOKUP(B7,Ordering!$A$1:$J$83,6,FALSE)</f>
        <v>1</v>
      </c>
      <c r="J7" s="20">
        <f>VLOOKUP(B7,Ordering!$A$1:$J$83,10,FALSE)</f>
        <v>2.7</v>
      </c>
      <c r="K7" s="20">
        <f t="shared" si="5"/>
        <v>3.4629629629629632</v>
      </c>
      <c r="L7" s="94">
        <f t="shared" si="4"/>
        <v>9.3500000000000014</v>
      </c>
      <c r="N7" s="1">
        <v>500</v>
      </c>
    </row>
    <row r="8" spans="1:25" ht="15" customHeight="1" thickTop="1" thickBot="1" x14ac:dyDescent="0.55000000000000004">
      <c r="A8" s="15" t="s">
        <v>30</v>
      </c>
      <c r="B8" s="15" t="s">
        <v>112</v>
      </c>
      <c r="C8" s="22" t="s">
        <v>16</v>
      </c>
      <c r="D8" s="20">
        <f t="shared" si="0"/>
        <v>1.8518518518518519</v>
      </c>
      <c r="E8" s="17">
        <f t="shared" si="1"/>
        <v>374</v>
      </c>
      <c r="F8" s="18">
        <v>1</v>
      </c>
      <c r="G8" s="17">
        <f t="shared" si="2"/>
        <v>692.59259259259261</v>
      </c>
      <c r="H8" s="83">
        <f t="shared" si="3"/>
        <v>692.59259259259261</v>
      </c>
      <c r="I8" s="20">
        <f>VLOOKUP(B8,Ordering!$A$1:$J$83,6,FALSE)</f>
        <v>1</v>
      </c>
      <c r="J8" s="20">
        <f>VLOOKUP(B8,Ordering!$A$1:$J$83,10,FALSE)</f>
        <v>4.2033333333333331</v>
      </c>
      <c r="K8" s="20">
        <f t="shared" si="5"/>
        <v>0.69259259259259265</v>
      </c>
      <c r="L8" s="94">
        <f t="shared" si="4"/>
        <v>2.9111975308641975</v>
      </c>
      <c r="N8" s="1">
        <v>100</v>
      </c>
      <c r="V8" s="89" t="s">
        <v>248</v>
      </c>
      <c r="W8" s="90">
        <v>1</v>
      </c>
      <c r="X8" s="89" t="s">
        <v>14</v>
      </c>
      <c r="Y8" s="106">
        <f>SUM(L5:L18)/S14</f>
        <v>1.3475420924459813</v>
      </c>
    </row>
    <row r="9" spans="1:25" ht="15" customHeight="1" thickTop="1" thickBot="1" x14ac:dyDescent="0.55000000000000004">
      <c r="A9" s="15" t="s">
        <v>53</v>
      </c>
      <c r="B9" s="15" t="s">
        <v>228</v>
      </c>
      <c r="C9" s="22" t="s">
        <v>17</v>
      </c>
      <c r="D9" s="20">
        <f t="shared" si="0"/>
        <v>3.7037037037037035E-2</v>
      </c>
      <c r="E9" s="17">
        <f t="shared" si="1"/>
        <v>374</v>
      </c>
      <c r="F9" s="18">
        <v>1</v>
      </c>
      <c r="G9" s="17">
        <f t="shared" si="2"/>
        <v>13.851851851851851</v>
      </c>
      <c r="H9" s="83">
        <f t="shared" si="3"/>
        <v>13.851851851851851</v>
      </c>
      <c r="I9" s="20">
        <f>VLOOKUP(B9,Ordering!$A$1:$J$83,6,FALSE)</f>
        <v>1</v>
      </c>
      <c r="J9" s="20">
        <f>VLOOKUP(B9,Ordering!$A$1:$J$83,10,FALSE)</f>
        <v>22.5</v>
      </c>
      <c r="K9" s="20">
        <f t="shared" si="5"/>
        <v>1.3851851851851851E-2</v>
      </c>
      <c r="L9" s="94">
        <f t="shared" si="4"/>
        <v>0.31166666666666665</v>
      </c>
      <c r="N9" s="1">
        <v>2</v>
      </c>
      <c r="R9" s="119" t="s">
        <v>68</v>
      </c>
      <c r="S9" s="120"/>
    </row>
    <row r="10" spans="1:25" ht="15" customHeight="1" thickTop="1" thickBot="1" x14ac:dyDescent="0.55000000000000004">
      <c r="A10" s="15" t="s">
        <v>49</v>
      </c>
      <c r="B10" s="15" t="s">
        <v>131</v>
      </c>
      <c r="C10" s="15" t="s">
        <v>17</v>
      </c>
      <c r="D10" s="20">
        <f t="shared" si="0"/>
        <v>0.37037037037037035</v>
      </c>
      <c r="E10" s="17">
        <f t="shared" si="1"/>
        <v>374</v>
      </c>
      <c r="F10" s="18">
        <v>1</v>
      </c>
      <c r="G10" s="17">
        <f t="shared" si="2"/>
        <v>138.5185185185185</v>
      </c>
      <c r="H10" s="83">
        <f t="shared" si="3"/>
        <v>138.5185185185185</v>
      </c>
      <c r="I10" s="20">
        <f>VLOOKUP(B10,Ordering!$A$1:$J$83,6,FALSE)</f>
        <v>1</v>
      </c>
      <c r="J10" s="20">
        <f>VLOOKUP(B10,Ordering!$A$1:$J$83,10,FALSE)</f>
        <v>24.305555555555557</v>
      </c>
      <c r="K10" s="20">
        <f t="shared" si="5"/>
        <v>0.13851851851851851</v>
      </c>
      <c r="L10" s="94">
        <f t="shared" si="4"/>
        <v>3.3667695473251031</v>
      </c>
      <c r="N10" s="1">
        <v>20</v>
      </c>
      <c r="R10" s="119" t="s">
        <v>18</v>
      </c>
      <c r="S10" s="120"/>
    </row>
    <row r="11" spans="1:25" ht="15" customHeight="1" thickTop="1" thickBot="1" x14ac:dyDescent="0.55000000000000004">
      <c r="A11" s="15" t="s">
        <v>49</v>
      </c>
      <c r="B11" s="15" t="s">
        <v>135</v>
      </c>
      <c r="C11" s="22" t="s">
        <v>17</v>
      </c>
      <c r="D11" s="20">
        <f t="shared" si="0"/>
        <v>1.8518518518518517E-2</v>
      </c>
      <c r="E11" s="17">
        <f t="shared" si="1"/>
        <v>374</v>
      </c>
      <c r="F11" s="18">
        <v>1</v>
      </c>
      <c r="G11" s="17">
        <f t="shared" si="2"/>
        <v>6.9259259259259256</v>
      </c>
      <c r="H11" s="83">
        <f t="shared" si="3"/>
        <v>6.9259259259259256</v>
      </c>
      <c r="I11" s="20">
        <f>VLOOKUP(B11,Ordering!$A$1:$J$83,6,FALSE)</f>
        <v>1</v>
      </c>
      <c r="J11" s="20">
        <f>VLOOKUP(B11,Ordering!$A$1:$J$83,10,FALSE)</f>
        <v>0.74</v>
      </c>
      <c r="K11" s="20">
        <f t="shared" si="5"/>
        <v>6.9259259259259257E-3</v>
      </c>
      <c r="L11" s="94">
        <f t="shared" si="4"/>
        <v>5.1251851851851849E-3</v>
      </c>
      <c r="N11" s="1">
        <v>1</v>
      </c>
      <c r="R11" s="5" t="s">
        <v>19</v>
      </c>
      <c r="S11" s="5" t="s">
        <v>20</v>
      </c>
    </row>
    <row r="12" spans="1:25" ht="15" customHeight="1" thickTop="1" thickBot="1" x14ac:dyDescent="0.55000000000000004">
      <c r="A12" s="15" t="s">
        <v>53</v>
      </c>
      <c r="B12" s="15" t="s">
        <v>149</v>
      </c>
      <c r="C12" s="22" t="s">
        <v>17</v>
      </c>
      <c r="D12" s="20">
        <f t="shared" si="0"/>
        <v>3.7037037037037035E-2</v>
      </c>
      <c r="E12" s="17">
        <f t="shared" si="1"/>
        <v>374</v>
      </c>
      <c r="F12" s="18">
        <v>1</v>
      </c>
      <c r="G12" s="17">
        <f t="shared" si="2"/>
        <v>13.851851851851851</v>
      </c>
      <c r="H12" s="83">
        <f t="shared" si="3"/>
        <v>13.851851851851851</v>
      </c>
      <c r="I12" s="20">
        <f>VLOOKUP(B12,Ordering!$A$1:$J$83,6,FALSE)</f>
        <v>1</v>
      </c>
      <c r="J12" s="20">
        <f>VLOOKUP(B12,Ordering!$A$1:$J$83,10,FALSE)</f>
        <v>9333.3333333333339</v>
      </c>
      <c r="K12" s="20">
        <f t="shared" si="5"/>
        <v>1.3851851851851851E-2</v>
      </c>
      <c r="L12" s="94">
        <f t="shared" si="4"/>
        <v>129.28395061728395</v>
      </c>
      <c r="N12" s="1">
        <v>2</v>
      </c>
      <c r="R12" s="5" t="s">
        <v>21</v>
      </c>
      <c r="S12" s="47">
        <v>372</v>
      </c>
    </row>
    <row r="13" spans="1:25" ht="15" customHeight="1" thickTop="1" thickBot="1" x14ac:dyDescent="0.55000000000000004">
      <c r="A13" s="15" t="s">
        <v>50</v>
      </c>
      <c r="B13" s="15" t="s">
        <v>156</v>
      </c>
      <c r="C13" s="22" t="s">
        <v>17</v>
      </c>
      <c r="D13" s="20">
        <f t="shared" si="0"/>
        <v>8.7222222222222214</v>
      </c>
      <c r="E13" s="17">
        <f t="shared" si="1"/>
        <v>374</v>
      </c>
      <c r="F13" s="18">
        <v>1</v>
      </c>
      <c r="G13" s="17">
        <f t="shared" si="2"/>
        <v>3262.1111111111109</v>
      </c>
      <c r="H13" s="83">
        <f t="shared" si="3"/>
        <v>3262.1111111111109</v>
      </c>
      <c r="I13" s="20">
        <f>VLOOKUP(B13,Ordering!$A$1:$J$83,6,FALSE)</f>
        <v>1</v>
      </c>
      <c r="J13" s="20">
        <f>VLOOKUP(B13,Ordering!$A$1:$J$83,10,FALSE)</f>
        <v>1.7</v>
      </c>
      <c r="K13" s="20">
        <f t="shared" si="5"/>
        <v>3.262111111111111</v>
      </c>
      <c r="L13" s="94">
        <f t="shared" si="4"/>
        <v>5.5455888888888882</v>
      </c>
      <c r="N13" s="1">
        <v>471</v>
      </c>
      <c r="R13" s="5" t="s">
        <v>22</v>
      </c>
      <c r="S13" s="14">
        <v>2</v>
      </c>
    </row>
    <row r="14" spans="1:25" ht="15" customHeight="1" thickTop="1" thickBot="1" x14ac:dyDescent="0.55000000000000004">
      <c r="A14" s="15" t="s">
        <v>48</v>
      </c>
      <c r="B14" s="15" t="s">
        <v>129</v>
      </c>
      <c r="C14" s="22" t="s">
        <v>16</v>
      </c>
      <c r="D14" s="20">
        <f t="shared" si="0"/>
        <v>37.037037037037038</v>
      </c>
      <c r="E14" s="17">
        <f t="shared" si="1"/>
        <v>374</v>
      </c>
      <c r="F14" s="18">
        <v>1</v>
      </c>
      <c r="G14" s="17">
        <f t="shared" si="2"/>
        <v>13851.851851851852</v>
      </c>
      <c r="H14" s="83">
        <f t="shared" si="3"/>
        <v>13851.851851851852</v>
      </c>
      <c r="I14" s="20">
        <f>VLOOKUP(B14,Ordering!$A$1:$J$83,6,FALSE)</f>
        <v>1</v>
      </c>
      <c r="J14" s="20">
        <f>VLOOKUP(B14,Ordering!$A$1:$J$83,10,FALSE)</f>
        <v>11.824324324324323</v>
      </c>
      <c r="K14" s="20">
        <f t="shared" si="5"/>
        <v>13.851851851851853</v>
      </c>
      <c r="L14" s="94">
        <f t="shared" si="4"/>
        <v>163.78878878878879</v>
      </c>
      <c r="N14" s="1">
        <v>2000</v>
      </c>
      <c r="R14" s="5" t="s">
        <v>23</v>
      </c>
      <c r="S14" s="48">
        <f>S12+S13</f>
        <v>374</v>
      </c>
    </row>
    <row r="15" spans="1:25" ht="15" customHeight="1" thickTop="1" thickBot="1" x14ac:dyDescent="0.55000000000000004">
      <c r="A15" s="15" t="s">
        <v>30</v>
      </c>
      <c r="B15" s="15" t="s">
        <v>125</v>
      </c>
      <c r="C15" s="22" t="s">
        <v>16</v>
      </c>
      <c r="D15" s="20">
        <f t="shared" si="0"/>
        <v>37.037037037037038</v>
      </c>
      <c r="E15" s="17">
        <f t="shared" si="1"/>
        <v>374</v>
      </c>
      <c r="F15" s="18">
        <v>1</v>
      </c>
      <c r="G15" s="17">
        <f t="shared" si="2"/>
        <v>13851.851851851852</v>
      </c>
      <c r="H15" s="83">
        <f t="shared" si="3"/>
        <v>13851.851851851852</v>
      </c>
      <c r="I15" s="20">
        <f>VLOOKUP(B15,Ordering!$A$1:$J$83,6,FALSE)</f>
        <v>1</v>
      </c>
      <c r="J15" s="20">
        <f>VLOOKUP(B15,Ordering!$A$1:$J$83,10,FALSE)</f>
        <v>6.0606060606060606</v>
      </c>
      <c r="K15" s="20">
        <f t="shared" si="5"/>
        <v>13.851851851851853</v>
      </c>
      <c r="L15" s="94">
        <f t="shared" si="4"/>
        <v>83.950617283950621</v>
      </c>
      <c r="N15" s="1">
        <v>2000</v>
      </c>
      <c r="R15" s="92" t="s">
        <v>14</v>
      </c>
      <c r="S15" s="93">
        <f>SUM(L5:L18)</f>
        <v>503.98074257479703</v>
      </c>
    </row>
    <row r="16" spans="1:25" ht="15" customHeight="1" thickTop="1" thickBot="1" x14ac:dyDescent="0.55000000000000004">
      <c r="A16" s="15" t="s">
        <v>53</v>
      </c>
      <c r="B16" s="15" t="s">
        <v>228</v>
      </c>
      <c r="C16" s="22" t="s">
        <v>17</v>
      </c>
      <c r="D16" s="20">
        <f t="shared" si="0"/>
        <v>9.2592592592592587E-2</v>
      </c>
      <c r="E16" s="17">
        <f t="shared" si="1"/>
        <v>374</v>
      </c>
      <c r="F16" s="18">
        <v>1</v>
      </c>
      <c r="G16" s="17">
        <f t="shared" si="2"/>
        <v>34.629629629629626</v>
      </c>
      <c r="H16" s="83">
        <f t="shared" si="3"/>
        <v>34.629629629629626</v>
      </c>
      <c r="I16" s="20">
        <f>VLOOKUP(B16,Ordering!$A$1:$J$83,6,FALSE)</f>
        <v>1</v>
      </c>
      <c r="J16" s="20">
        <f>VLOOKUP(B16,Ordering!$A$1:$J$83,10,FALSE)</f>
        <v>22.5</v>
      </c>
      <c r="K16" s="20">
        <f t="shared" si="5"/>
        <v>3.4629629629629628E-2</v>
      </c>
      <c r="L16" s="94">
        <f t="shared" si="4"/>
        <v>0.77916666666666667</v>
      </c>
      <c r="N16" s="1">
        <v>5</v>
      </c>
    </row>
    <row r="17" spans="1:14" ht="15" customHeight="1" thickTop="1" thickBot="1" x14ac:dyDescent="0.55000000000000004">
      <c r="A17" s="15" t="s">
        <v>53</v>
      </c>
      <c r="B17" s="15" t="s">
        <v>150</v>
      </c>
      <c r="C17" s="22" t="s">
        <v>17</v>
      </c>
      <c r="D17" s="20">
        <f t="shared" si="0"/>
        <v>3.7037037037037035E-2</v>
      </c>
      <c r="E17" s="17">
        <f t="shared" si="1"/>
        <v>374</v>
      </c>
      <c r="F17" s="18">
        <v>1</v>
      </c>
      <c r="G17" s="17">
        <f t="shared" si="2"/>
        <v>13.851851851851851</v>
      </c>
      <c r="H17" s="17">
        <f t="shared" si="3"/>
        <v>13.851851851851851</v>
      </c>
      <c r="I17" s="20">
        <f>VLOOKUP(B17,Ordering!$A$1:$J$83,6,FALSE)</f>
        <v>1</v>
      </c>
      <c r="J17" s="20">
        <f>VLOOKUP(B17,Ordering!$A$1:$J$83,10,FALSE)</f>
        <v>26.263888888888889</v>
      </c>
      <c r="K17" s="20">
        <f t="shared" si="5"/>
        <v>1.3851851851851851E-2</v>
      </c>
      <c r="L17" s="94">
        <f t="shared" si="4"/>
        <v>0.36380349794238681</v>
      </c>
      <c r="N17" s="1">
        <v>2</v>
      </c>
    </row>
    <row r="18" spans="1:14" ht="15" customHeight="1" thickTop="1" x14ac:dyDescent="0.5">
      <c r="A18" s="15" t="s">
        <v>30</v>
      </c>
      <c r="B18" s="15" t="s">
        <v>122</v>
      </c>
      <c r="C18" s="22" t="s">
        <v>17</v>
      </c>
      <c r="D18" s="20">
        <f t="shared" si="0"/>
        <v>13.888888888888889</v>
      </c>
      <c r="E18" s="17">
        <f t="shared" si="1"/>
        <v>374</v>
      </c>
      <c r="F18" s="18">
        <v>1</v>
      </c>
      <c r="G18" s="17">
        <f t="shared" si="2"/>
        <v>5194.4444444444443</v>
      </c>
      <c r="H18" s="17">
        <f t="shared" si="3"/>
        <v>5194.4444444444443</v>
      </c>
      <c r="I18" s="20">
        <f>VLOOKUP(B18,Ordering!$A$1:$J$83,6,FALSE)</f>
        <v>1</v>
      </c>
      <c r="J18" s="20">
        <f>VLOOKUP(B18,Ordering!$A$1:$J$83,10,FALSE)</f>
        <v>10.833333333333334</v>
      </c>
      <c r="K18" s="20">
        <f t="shared" si="5"/>
        <v>5.1944444444444446</v>
      </c>
      <c r="L18" s="94">
        <f t="shared" si="4"/>
        <v>56.273148148148152</v>
      </c>
      <c r="N18" s="27">
        <v>750</v>
      </c>
    </row>
    <row r="19" spans="1:14" ht="14.75" customHeight="1" x14ac:dyDescent="0.5"/>
  </sheetData>
  <mergeCells count="4">
    <mergeCell ref="R9:S9"/>
    <mergeCell ref="R10:S10"/>
    <mergeCell ref="B2:H2"/>
    <mergeCell ref="B3:H3"/>
  </mergeCells>
  <printOptions horizontalCentered="1"/>
  <pageMargins left="0.4" right="0.4" top="1" bottom="0.5" header="0.3" footer="0.3"/>
  <pageSetup paperSize="9" scale="3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92F7-7743-4A1E-BC2C-6BD350726536}">
  <sheetPr codeName="Sheet40">
    <tabColor theme="7" tint="-0.249977111117893"/>
    <pageSetUpPr fitToPage="1"/>
  </sheetPr>
  <dimension ref="A1:X16"/>
  <sheetViews>
    <sheetView topLeftCell="B1" zoomScale="55" zoomScaleNormal="55" zoomScaleSheetLayoutView="100" workbookViewId="0">
      <selection activeCell="V8" sqref="V8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84</v>
      </c>
      <c r="G1" s="4"/>
      <c r="H1" s="38" t="s">
        <v>2</v>
      </c>
      <c r="I1" s="13">
        <f>F1/B1</f>
        <v>84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84</v>
      </c>
      <c r="F5" s="18">
        <v>1</v>
      </c>
      <c r="G5" s="17">
        <f t="shared" ref="G5:G7" si="1">E5*D5</f>
        <v>546</v>
      </c>
      <c r="H5" s="83">
        <f t="shared" ref="H5:H7" si="2">G5*F5</f>
        <v>546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0.54600000000000004</v>
      </c>
      <c r="L5" s="95">
        <f t="shared" ref="L5:L7" si="4">J5*K5</f>
        <v>21.840000000000003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84</v>
      </c>
      <c r="F6" s="18">
        <v>1</v>
      </c>
      <c r="G6" s="17">
        <f t="shared" si="1"/>
        <v>1041.6000000000001</v>
      </c>
      <c r="H6" s="114">
        <f t="shared" si="2"/>
        <v>1041.6000000000001</v>
      </c>
      <c r="I6" s="109">
        <f>VLOOKUP(B6,Ordering!$A$1:$J$83,6,FALSE)</f>
        <v>1</v>
      </c>
      <c r="J6" s="109">
        <f>VLOOKUP(B6,Ordering!$A$1:$J$83,10,FALSE)</f>
        <v>51</v>
      </c>
      <c r="K6" s="99">
        <f t="shared" si="3"/>
        <v>1.0416000000000001</v>
      </c>
      <c r="L6" s="98">
        <f t="shared" si="4"/>
        <v>53.121600000000001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84</v>
      </c>
      <c r="F7" s="18">
        <v>1</v>
      </c>
      <c r="G7" s="17">
        <f t="shared" si="1"/>
        <v>420</v>
      </c>
      <c r="H7" s="114">
        <f t="shared" si="2"/>
        <v>420</v>
      </c>
      <c r="I7" s="109">
        <f>VLOOKUP(B7,Ordering!$A$1:$J$83,6,FALSE)</f>
        <v>1</v>
      </c>
      <c r="J7" s="109">
        <f>VLOOKUP(B7,Ordering!$A$1:$J$83,10,FALSE)</f>
        <v>41</v>
      </c>
      <c r="K7" s="99">
        <f t="shared" si="3"/>
        <v>0.42</v>
      </c>
      <c r="L7" s="98">
        <f t="shared" si="4"/>
        <v>17.22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1.0973999999999999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79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84</v>
      </c>
    </row>
    <row r="16" spans="1:24" x14ac:dyDescent="0.5">
      <c r="R16" s="92" t="s">
        <v>14</v>
      </c>
      <c r="S16" s="93">
        <f>SUM(L5:L7)</f>
        <v>92.181600000000003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4">
    <tabColor theme="6" tint="-0.249977111117893"/>
    <pageSetUpPr fitToPage="1"/>
  </sheetPr>
  <dimension ref="A1:Y16"/>
  <sheetViews>
    <sheetView topLeftCell="C1" zoomScale="55" zoomScaleNormal="55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8.5859375" customWidth="1"/>
    <col min="19" max="19" width="10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466</v>
      </c>
      <c r="G1" s="4"/>
      <c r="H1" s="38" t="s">
        <v>2</v>
      </c>
      <c r="I1" s="13">
        <f>F1/B1</f>
        <v>466</v>
      </c>
      <c r="J1" s="4"/>
      <c r="K1" s="38"/>
    </row>
    <row r="2" spans="1:25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104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27</v>
      </c>
      <c r="B5" s="15" t="s">
        <v>121</v>
      </c>
      <c r="C5" s="26" t="s">
        <v>17</v>
      </c>
      <c r="D5" s="20">
        <f>N5/96</f>
        <v>12.5</v>
      </c>
      <c r="E5" s="17">
        <f>$I$1</f>
        <v>466</v>
      </c>
      <c r="F5" s="18">
        <v>1</v>
      </c>
      <c r="G5" s="17">
        <f>E5*D5</f>
        <v>5825</v>
      </c>
      <c r="H5" s="83">
        <f>G5*F5</f>
        <v>5825</v>
      </c>
      <c r="I5" s="15">
        <f>VLOOKUP(B5,Ordering!$A$1:$J$83,6,FALSE)</f>
        <v>1</v>
      </c>
      <c r="J5" s="15">
        <f>VLOOKUP(B5,Ordering!$A$1:$J$83,10,FALSE)</f>
        <v>9.1666666666666679</v>
      </c>
      <c r="K5" s="23">
        <f t="shared" ref="K5:K9" si="0">((H5/(I5))/1000)</f>
        <v>5.8250000000000002</v>
      </c>
      <c r="L5" s="95">
        <f t="shared" ref="L5:L9" si="1">J5*K5</f>
        <v>53.395833333333343</v>
      </c>
      <c r="N5" s="1">
        <v>1200</v>
      </c>
    </row>
    <row r="6" spans="1:25" ht="15" customHeight="1" thickTop="1" thickBot="1" x14ac:dyDescent="0.55000000000000004">
      <c r="A6" s="15" t="s">
        <v>30</v>
      </c>
      <c r="B6" s="15" t="s">
        <v>115</v>
      </c>
      <c r="C6" s="26" t="s">
        <v>17</v>
      </c>
      <c r="D6" s="20">
        <f>N6/96</f>
        <v>2.0833333333333335</v>
      </c>
      <c r="E6" s="17">
        <f>$I$1</f>
        <v>466</v>
      </c>
      <c r="F6" s="18">
        <v>1</v>
      </c>
      <c r="G6" s="17">
        <f>E6*D6</f>
        <v>970.83333333333337</v>
      </c>
      <c r="H6" s="83">
        <f>G6*F6</f>
        <v>970.83333333333337</v>
      </c>
      <c r="I6" s="15">
        <f>VLOOKUP(B6,Ordering!$A$1:$J$83,6,FALSE)</f>
        <v>1</v>
      </c>
      <c r="J6" s="15">
        <f>VLOOKUP(B6,Ordering!$A$1:$J$83,10,FALSE)</f>
        <v>30</v>
      </c>
      <c r="K6" s="23">
        <f t="shared" si="0"/>
        <v>0.97083333333333333</v>
      </c>
      <c r="L6" s="95">
        <f t="shared" si="1"/>
        <v>29.125</v>
      </c>
      <c r="N6" s="1">
        <v>200</v>
      </c>
    </row>
    <row r="7" spans="1:25" ht="15" customHeight="1" thickTop="1" thickBot="1" x14ac:dyDescent="0.55000000000000004">
      <c r="A7" s="15" t="s">
        <v>30</v>
      </c>
      <c r="B7" s="15" t="s">
        <v>117</v>
      </c>
      <c r="C7" s="26" t="s">
        <v>17</v>
      </c>
      <c r="D7" s="20">
        <f>N7/96</f>
        <v>15.625</v>
      </c>
      <c r="E7" s="17">
        <f>$I$1</f>
        <v>466</v>
      </c>
      <c r="F7" s="18">
        <v>1</v>
      </c>
      <c r="G7" s="17">
        <f>E7*D7</f>
        <v>7281.25</v>
      </c>
      <c r="H7" s="83">
        <f>G7*F7</f>
        <v>7281.25</v>
      </c>
      <c r="I7" s="15">
        <f>VLOOKUP(B7,Ordering!$A$1:$J$83,6,FALSE)</f>
        <v>1</v>
      </c>
      <c r="J7" s="15">
        <f>VLOOKUP(B7,Ordering!$A$1:$J$83,10,FALSE)</f>
        <v>13.545454545454545</v>
      </c>
      <c r="K7" s="23">
        <f t="shared" si="0"/>
        <v>7.28125</v>
      </c>
      <c r="L7" s="95">
        <f t="shared" si="1"/>
        <v>98.627840909090907</v>
      </c>
      <c r="N7" s="1">
        <v>1500</v>
      </c>
    </row>
    <row r="8" spans="1:25" ht="15" customHeight="1" thickTop="1" thickBot="1" x14ac:dyDescent="0.55000000000000004">
      <c r="A8" s="15" t="s">
        <v>30</v>
      </c>
      <c r="B8" s="15" t="s">
        <v>123</v>
      </c>
      <c r="C8" s="26" t="s">
        <v>17</v>
      </c>
      <c r="D8" s="20">
        <f>N8/96</f>
        <v>4.166666666666667</v>
      </c>
      <c r="E8" s="17">
        <f>$I$1</f>
        <v>466</v>
      </c>
      <c r="F8" s="18">
        <v>1</v>
      </c>
      <c r="G8" s="17">
        <f>E8*D8</f>
        <v>1941.6666666666667</v>
      </c>
      <c r="H8" s="83">
        <f>G8*F8</f>
        <v>1941.6666666666667</v>
      </c>
      <c r="I8" s="15">
        <f>VLOOKUP(B8,Ordering!$A$1:$J$83,6,FALSE)</f>
        <v>1</v>
      </c>
      <c r="J8" s="15">
        <f>VLOOKUP(B8,Ordering!$A$1:$J$83,10,FALSE)</f>
        <v>14.2</v>
      </c>
      <c r="K8" s="23">
        <f t="shared" si="0"/>
        <v>1.9416666666666667</v>
      </c>
      <c r="L8" s="95">
        <f t="shared" si="1"/>
        <v>27.571666666666665</v>
      </c>
      <c r="N8" s="1">
        <v>400</v>
      </c>
      <c r="V8" s="89" t="s">
        <v>248</v>
      </c>
      <c r="W8" s="90">
        <v>1</v>
      </c>
      <c r="X8" s="89" t="s">
        <v>14</v>
      </c>
      <c r="Y8" s="91">
        <f>SUM(L5:L9)/S15</f>
        <v>0.61065814393939399</v>
      </c>
    </row>
    <row r="9" spans="1:25" ht="15" customHeight="1" thickTop="1" thickBot="1" x14ac:dyDescent="0.55000000000000004">
      <c r="A9" s="15" t="s">
        <v>50</v>
      </c>
      <c r="B9" s="15" t="s">
        <v>137</v>
      </c>
      <c r="C9" s="26" t="s">
        <v>17</v>
      </c>
      <c r="D9" s="20">
        <f>N9/96</f>
        <v>5.208333333333333</v>
      </c>
      <c r="E9" s="17">
        <f>$I$1</f>
        <v>466</v>
      </c>
      <c r="F9" s="18">
        <v>1</v>
      </c>
      <c r="G9" s="17">
        <f>E9*D9</f>
        <v>2427.083333333333</v>
      </c>
      <c r="H9" s="83">
        <f>G9*F9</f>
        <v>2427.083333333333</v>
      </c>
      <c r="I9" s="15">
        <f>VLOOKUP(B9,Ordering!$A$1:$J$83,6,FALSE)</f>
        <v>1</v>
      </c>
      <c r="J9" s="15">
        <f>VLOOKUP(B9,Ordering!$A$1:$J$83,10,FALSE)</f>
        <v>31.25</v>
      </c>
      <c r="K9" s="23">
        <f t="shared" si="0"/>
        <v>2.427083333333333</v>
      </c>
      <c r="L9" s="95">
        <f t="shared" si="1"/>
        <v>75.846354166666657</v>
      </c>
      <c r="N9" s="1">
        <v>500</v>
      </c>
    </row>
    <row r="10" spans="1:25" ht="14.75" customHeight="1" thickTop="1" x14ac:dyDescent="0.5">
      <c r="R10" s="119" t="s">
        <v>104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461</v>
      </c>
    </row>
    <row r="14" spans="1:25" ht="14.75" customHeight="1" x14ac:dyDescent="0.5">
      <c r="R14" s="5" t="s">
        <v>22</v>
      </c>
      <c r="S14" s="14">
        <v>5</v>
      </c>
    </row>
    <row r="15" spans="1:25" x14ac:dyDescent="0.5">
      <c r="R15" s="5" t="s">
        <v>23</v>
      </c>
      <c r="S15" s="48">
        <f>S13+S14</f>
        <v>466</v>
      </c>
    </row>
    <row r="16" spans="1:25" x14ac:dyDescent="0.5">
      <c r="R16" s="92" t="s">
        <v>14</v>
      </c>
      <c r="S16" s="93">
        <f>SUM(L5:L9)</f>
        <v>284.56669507575759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9">
    <tabColor theme="6" tint="-0.249977111117893"/>
    <pageSetUpPr fitToPage="1"/>
  </sheetPr>
  <dimension ref="A1:Y16"/>
  <sheetViews>
    <sheetView topLeftCell="F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64</v>
      </c>
      <c r="G1" s="4"/>
      <c r="H1" s="38" t="s">
        <v>2</v>
      </c>
      <c r="I1" s="13">
        <f>F1/B1</f>
        <v>64</v>
      </c>
      <c r="J1" s="50" t="s">
        <v>69</v>
      </c>
      <c r="K1" s="38">
        <v>77</v>
      </c>
    </row>
    <row r="2" spans="1:25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102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50</v>
      </c>
      <c r="B5" s="15" t="s">
        <v>138</v>
      </c>
      <c r="C5" s="15" t="s">
        <v>17</v>
      </c>
      <c r="D5" s="23">
        <f>N5/$K$1</f>
        <v>12.987012987012987</v>
      </c>
      <c r="E5" s="21">
        <f>$I$1</f>
        <v>64</v>
      </c>
      <c r="F5" s="18">
        <v>1</v>
      </c>
      <c r="G5" s="17">
        <f>E5*D5</f>
        <v>831.16883116883116</v>
      </c>
      <c r="H5" s="83">
        <f>G5*F5</f>
        <v>831.16883116883116</v>
      </c>
      <c r="I5" s="23">
        <f>VLOOKUP(B5,Ordering!$A$1:$J$83,6,FALSE)</f>
        <v>1</v>
      </c>
      <c r="J5" s="23">
        <f>VLOOKUP(B5,Ordering!$A$1:$J$83,10,FALSE)</f>
        <v>12.037037037037036</v>
      </c>
      <c r="K5" s="23">
        <f t="shared" ref="K5:K9" si="0">((H5/(I5))/1000)</f>
        <v>0.83116883116883111</v>
      </c>
      <c r="L5" s="95">
        <f t="shared" ref="L5:L9" si="1">J5*K5</f>
        <v>10.004810004810004</v>
      </c>
      <c r="N5" s="1">
        <v>1000</v>
      </c>
    </row>
    <row r="6" spans="1:25" ht="15" customHeight="1" thickTop="1" thickBot="1" x14ac:dyDescent="0.55000000000000004">
      <c r="A6" s="15" t="s">
        <v>48</v>
      </c>
      <c r="B6" s="15" t="s">
        <v>119</v>
      </c>
      <c r="C6" s="15" t="s">
        <v>17</v>
      </c>
      <c r="D6" s="23">
        <f t="shared" ref="D6:D9" si="2">N6/$K$1</f>
        <v>6.4935064935064934</v>
      </c>
      <c r="E6" s="21">
        <f>$I$1</f>
        <v>64</v>
      </c>
      <c r="F6" s="18">
        <v>1</v>
      </c>
      <c r="G6" s="17">
        <f>E6*D6</f>
        <v>415.58441558441558</v>
      </c>
      <c r="H6" s="83">
        <f>G6*F6</f>
        <v>415.58441558441558</v>
      </c>
      <c r="I6" s="23">
        <f>VLOOKUP(B6,Ordering!$A$1:$J$83,6,FALSE)</f>
        <v>1</v>
      </c>
      <c r="J6" s="23">
        <f>VLOOKUP(B6,Ordering!$A$1:$J$83,10,FALSE)</f>
        <v>17</v>
      </c>
      <c r="K6" s="23">
        <f t="shared" si="0"/>
        <v>0.41558441558441556</v>
      </c>
      <c r="L6" s="95">
        <f t="shared" si="1"/>
        <v>7.0649350649350646</v>
      </c>
      <c r="N6" s="1">
        <v>500</v>
      </c>
    </row>
    <row r="7" spans="1:25" ht="15" customHeight="1" thickTop="1" thickBot="1" x14ac:dyDescent="0.55000000000000004">
      <c r="A7" s="15" t="s">
        <v>53</v>
      </c>
      <c r="B7" s="15" t="s">
        <v>161</v>
      </c>
      <c r="C7" s="15" t="s">
        <v>17</v>
      </c>
      <c r="D7" s="23">
        <f t="shared" si="2"/>
        <v>1.2987012987012987</v>
      </c>
      <c r="E7" s="21">
        <f>$I$1</f>
        <v>64</v>
      </c>
      <c r="F7" s="18">
        <v>1</v>
      </c>
      <c r="G7" s="17">
        <f>E7*D7</f>
        <v>83.116883116883116</v>
      </c>
      <c r="H7" s="83">
        <f>G7*F7</f>
        <v>83.116883116883116</v>
      </c>
      <c r="I7" s="23">
        <f>VLOOKUP(B7,Ordering!$A$1:$J$83,6,FALSE)</f>
        <v>1</v>
      </c>
      <c r="J7" s="23">
        <f>VLOOKUP(B7,Ordering!$A$1:$J$83,10,FALSE)</f>
        <v>17.5</v>
      </c>
      <c r="K7" s="23">
        <f t="shared" si="0"/>
        <v>8.3116883116883117E-2</v>
      </c>
      <c r="L7" s="95">
        <f t="shared" si="1"/>
        <v>1.4545454545454546</v>
      </c>
      <c r="N7" s="1">
        <v>100</v>
      </c>
    </row>
    <row r="8" spans="1:25" ht="15" customHeight="1" thickTop="1" thickBot="1" x14ac:dyDescent="0.55000000000000004">
      <c r="A8" s="15" t="s">
        <v>30</v>
      </c>
      <c r="B8" s="15" t="s">
        <v>115</v>
      </c>
      <c r="C8" s="15" t="s">
        <v>17</v>
      </c>
      <c r="D8" s="23">
        <f t="shared" si="2"/>
        <v>7.7922077922077921</v>
      </c>
      <c r="E8" s="21">
        <f>$I$1</f>
        <v>64</v>
      </c>
      <c r="F8" s="18">
        <v>1</v>
      </c>
      <c r="G8" s="17">
        <f>E8*D8</f>
        <v>498.7012987012987</v>
      </c>
      <c r="H8" s="83">
        <f>G8*F8</f>
        <v>498.7012987012987</v>
      </c>
      <c r="I8" s="23">
        <f>VLOOKUP(B8,Ordering!$A$1:$J$83,6,FALSE)</f>
        <v>1</v>
      </c>
      <c r="J8" s="23">
        <f>VLOOKUP(B8,Ordering!$A$1:$J$83,10,FALSE)</f>
        <v>30</v>
      </c>
      <c r="K8" s="23">
        <f t="shared" si="0"/>
        <v>0.4987012987012987</v>
      </c>
      <c r="L8" s="95">
        <f t="shared" si="1"/>
        <v>14.961038961038961</v>
      </c>
      <c r="N8" s="1">
        <v>600</v>
      </c>
      <c r="V8" s="89" t="s">
        <v>248</v>
      </c>
      <c r="W8" s="90">
        <v>1</v>
      </c>
      <c r="X8" s="89" t="s">
        <v>14</v>
      </c>
      <c r="Y8" s="91">
        <f>SUM(L5:L9)/S15</f>
        <v>0.57450697450697441</v>
      </c>
    </row>
    <row r="9" spans="1:25" ht="14.75" customHeight="1" thickTop="1" thickBot="1" x14ac:dyDescent="0.55000000000000004">
      <c r="A9" s="15" t="s">
        <v>30</v>
      </c>
      <c r="B9" s="15" t="s">
        <v>145</v>
      </c>
      <c r="C9" s="15" t="s">
        <v>17</v>
      </c>
      <c r="D9" s="23">
        <f t="shared" si="2"/>
        <v>2.5974025974025974</v>
      </c>
      <c r="E9" s="21">
        <f>$I$1</f>
        <v>64</v>
      </c>
      <c r="F9" s="18">
        <v>1</v>
      </c>
      <c r="G9" s="17">
        <f>E9*D9</f>
        <v>166.23376623376623</v>
      </c>
      <c r="H9" s="83">
        <f>G9*F9</f>
        <v>166.23376623376623</v>
      </c>
      <c r="I9" s="23">
        <f>VLOOKUP(B9,Ordering!$A$1:$J$83,6,FALSE)</f>
        <v>1</v>
      </c>
      <c r="J9" s="23">
        <f>VLOOKUP(B9,Ordering!$A$1:$J$83,10,FALSE)</f>
        <v>19.75</v>
      </c>
      <c r="K9" s="23">
        <f t="shared" si="0"/>
        <v>0.16623376623376623</v>
      </c>
      <c r="L9" s="95">
        <f t="shared" si="1"/>
        <v>3.2831168831168833</v>
      </c>
      <c r="N9" s="1">
        <v>200</v>
      </c>
    </row>
    <row r="10" spans="1:25" ht="14.7" thickTop="1" x14ac:dyDescent="0.5">
      <c r="R10" s="119" t="s">
        <v>102</v>
      </c>
      <c r="S10" s="120"/>
    </row>
    <row r="11" spans="1:25" x14ac:dyDescent="0.5">
      <c r="R11" s="119" t="s">
        <v>18</v>
      </c>
      <c r="S11" s="120"/>
    </row>
    <row r="12" spans="1:25" ht="14.75" customHeight="1" x14ac:dyDescent="0.5"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62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64</v>
      </c>
    </row>
    <row r="16" spans="1:25" x14ac:dyDescent="0.5">
      <c r="R16" s="92" t="s">
        <v>14</v>
      </c>
      <c r="S16" s="93">
        <f>SUM(L5:L9)</f>
        <v>36.768446368446362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8">
    <tabColor theme="6" tint="-0.249977111117893"/>
    <pageSetUpPr fitToPage="1"/>
  </sheetPr>
  <dimension ref="A1:X16"/>
  <sheetViews>
    <sheetView topLeftCell="H1" zoomScale="70" zoomScaleNormal="70" zoomScaleSheetLayoutView="100" workbookViewId="0">
      <selection activeCell="S14" sqref="S14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102</v>
      </c>
      <c r="G1" s="4"/>
      <c r="H1" s="38" t="s">
        <v>2</v>
      </c>
      <c r="I1" s="13">
        <f>F1/B1</f>
        <v>102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103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thickTop="1" thickBot="1" x14ac:dyDescent="0.55000000000000004">
      <c r="A5" s="15" t="s">
        <v>30</v>
      </c>
      <c r="B5" s="15" t="s">
        <v>115</v>
      </c>
      <c r="C5" s="14" t="s">
        <v>17</v>
      </c>
      <c r="D5" s="20">
        <f t="shared" ref="D5:D12" si="0">N5/70</f>
        <v>14.285714285714286</v>
      </c>
      <c r="E5" s="17">
        <f t="shared" ref="E5:E12" si="1">$I$1</f>
        <v>102</v>
      </c>
      <c r="F5" s="18">
        <v>1</v>
      </c>
      <c r="G5" s="17">
        <f t="shared" ref="G5:G12" si="2">E5*D5</f>
        <v>1457.1428571428571</v>
      </c>
      <c r="H5" s="101">
        <f t="shared" ref="H5:H12" si="3">G5*F5</f>
        <v>1457.1428571428571</v>
      </c>
      <c r="I5" s="102">
        <f>VLOOKUP(B5,Ordering!$A$1:$J$83,6,FALSE)</f>
        <v>1</v>
      </c>
      <c r="J5" s="102">
        <f>VLOOKUP(B5,Ordering!$A$1:$J$83,10,FALSE)</f>
        <v>30</v>
      </c>
      <c r="K5" s="102">
        <f t="shared" ref="K5:K6" si="4">((H5/(I5))/1000)</f>
        <v>1.4571428571428571</v>
      </c>
      <c r="L5" s="103">
        <f t="shared" ref="L5:L12" si="5">J5*K5</f>
        <v>43.714285714285715</v>
      </c>
      <c r="N5" s="1">
        <v>1000</v>
      </c>
    </row>
    <row r="6" spans="1:24" ht="15" customHeight="1" thickTop="1" thickBot="1" x14ac:dyDescent="0.55000000000000004">
      <c r="A6" s="15" t="s">
        <v>48</v>
      </c>
      <c r="B6" s="15" t="s">
        <v>166</v>
      </c>
      <c r="C6" s="14" t="s">
        <v>17</v>
      </c>
      <c r="D6" s="20">
        <f t="shared" si="0"/>
        <v>10</v>
      </c>
      <c r="E6" s="17">
        <f t="shared" si="1"/>
        <v>102</v>
      </c>
      <c r="F6" s="18">
        <v>1</v>
      </c>
      <c r="G6" s="17">
        <f t="shared" si="2"/>
        <v>1020</v>
      </c>
      <c r="H6" s="101">
        <f t="shared" si="3"/>
        <v>1020</v>
      </c>
      <c r="I6" s="102">
        <f>VLOOKUP(B6,Ordering!$A$1:$J$83,6,FALSE)</f>
        <v>1</v>
      </c>
      <c r="J6" s="102">
        <f>VLOOKUP(B6,Ordering!$A$1:$J$83,10,FALSE)</f>
        <v>6.5</v>
      </c>
      <c r="K6" s="102">
        <f t="shared" si="4"/>
        <v>1.02</v>
      </c>
      <c r="L6" s="103">
        <f t="shared" si="5"/>
        <v>6.63</v>
      </c>
      <c r="N6" s="1">
        <v>700</v>
      </c>
    </row>
    <row r="7" spans="1:24" ht="15" customHeight="1" thickTop="1" thickBot="1" x14ac:dyDescent="0.55000000000000004">
      <c r="A7" s="15" t="s">
        <v>30</v>
      </c>
      <c r="B7" s="15" t="s">
        <v>111</v>
      </c>
      <c r="C7" s="14" t="s">
        <v>15</v>
      </c>
      <c r="D7" s="20">
        <f t="shared" si="0"/>
        <v>0.2</v>
      </c>
      <c r="E7" s="17">
        <f t="shared" si="1"/>
        <v>102</v>
      </c>
      <c r="F7" s="18">
        <v>1</v>
      </c>
      <c r="G7" s="17">
        <f t="shared" si="2"/>
        <v>20.400000000000002</v>
      </c>
      <c r="H7" s="101">
        <f t="shared" si="3"/>
        <v>20.400000000000002</v>
      </c>
      <c r="I7" s="102">
        <f>VLOOKUP(B7,Ordering!$A$1:$J$83,6,FALSE)</f>
        <v>1</v>
      </c>
      <c r="J7" s="102">
        <f>VLOOKUP(B7,Ordering!$A$1:$J$83,10,FALSE)</f>
        <v>0.43333333333333335</v>
      </c>
      <c r="K7" s="102">
        <f t="shared" ref="K7" si="6">H7/I7</f>
        <v>20.400000000000002</v>
      </c>
      <c r="L7" s="103">
        <f t="shared" si="5"/>
        <v>8.8400000000000016</v>
      </c>
      <c r="N7" s="1">
        <v>14</v>
      </c>
    </row>
    <row r="8" spans="1:24" ht="15" customHeight="1" thickTop="1" thickBot="1" x14ac:dyDescent="0.55000000000000004">
      <c r="A8" s="15" t="s">
        <v>50</v>
      </c>
      <c r="B8" s="15" t="s">
        <v>156</v>
      </c>
      <c r="C8" s="14" t="s">
        <v>17</v>
      </c>
      <c r="D8" s="20">
        <f t="shared" si="0"/>
        <v>14.285714285714286</v>
      </c>
      <c r="E8" s="17">
        <f t="shared" si="1"/>
        <v>102</v>
      </c>
      <c r="F8" s="18">
        <v>1</v>
      </c>
      <c r="G8" s="17">
        <f t="shared" si="2"/>
        <v>1457.1428571428571</v>
      </c>
      <c r="H8" s="101">
        <f t="shared" si="3"/>
        <v>1457.1428571428571</v>
      </c>
      <c r="I8" s="102">
        <f>VLOOKUP(B8,Ordering!$A$1:$J$83,6,FALSE)</f>
        <v>1</v>
      </c>
      <c r="J8" s="102">
        <f>VLOOKUP(B8,Ordering!$A$1:$J$83,10,FALSE)</f>
        <v>1.7</v>
      </c>
      <c r="K8" s="102">
        <f t="shared" ref="K8:K12" si="7">((H8/(I8))/1000)</f>
        <v>1.4571428571428571</v>
      </c>
      <c r="L8" s="103">
        <f t="shared" si="5"/>
        <v>2.4771428571428569</v>
      </c>
      <c r="N8" s="1">
        <v>1000</v>
      </c>
      <c r="U8" s="89" t="s">
        <v>248</v>
      </c>
      <c r="V8" s="90">
        <v>1</v>
      </c>
      <c r="W8" s="89" t="s">
        <v>14</v>
      </c>
      <c r="X8" s="91">
        <f>SUM(L5:L12)/S15</f>
        <v>0.8330158730158731</v>
      </c>
    </row>
    <row r="9" spans="1:24" ht="15" customHeight="1" thickTop="1" thickBot="1" x14ac:dyDescent="0.55000000000000004">
      <c r="A9" s="15" t="s">
        <v>51</v>
      </c>
      <c r="B9" s="15" t="s">
        <v>144</v>
      </c>
      <c r="C9" s="14" t="s">
        <v>17</v>
      </c>
      <c r="D9" s="20">
        <f t="shared" si="0"/>
        <v>1.4285714285714286</v>
      </c>
      <c r="E9" s="17">
        <f t="shared" si="1"/>
        <v>102</v>
      </c>
      <c r="F9" s="18">
        <v>1</v>
      </c>
      <c r="G9" s="17">
        <f t="shared" si="2"/>
        <v>145.71428571428572</v>
      </c>
      <c r="H9" s="101">
        <f t="shared" si="3"/>
        <v>145.71428571428572</v>
      </c>
      <c r="I9" s="102">
        <f>VLOOKUP(B9,Ordering!$A$1:$J$83,6,FALSE)</f>
        <v>1</v>
      </c>
      <c r="J9" s="102">
        <f>VLOOKUP(B9,Ordering!$A$1:$J$83,10,FALSE)</f>
        <v>34.133333333333333</v>
      </c>
      <c r="K9" s="102">
        <f t="shared" si="7"/>
        <v>0.14571428571428571</v>
      </c>
      <c r="L9" s="103">
        <f t="shared" si="5"/>
        <v>4.9737142857142853</v>
      </c>
      <c r="N9" s="1">
        <v>100</v>
      </c>
    </row>
    <row r="10" spans="1:24" ht="15" customHeight="1" thickTop="1" thickBot="1" x14ac:dyDescent="0.55000000000000004">
      <c r="A10" s="14" t="s">
        <v>49</v>
      </c>
      <c r="B10" s="15" t="s">
        <v>132</v>
      </c>
      <c r="C10" s="14" t="s">
        <v>17</v>
      </c>
      <c r="D10" s="20">
        <f t="shared" si="0"/>
        <v>0.7142857142857143</v>
      </c>
      <c r="E10" s="17">
        <f t="shared" si="1"/>
        <v>102</v>
      </c>
      <c r="F10" s="18">
        <v>1</v>
      </c>
      <c r="G10" s="17">
        <f t="shared" si="2"/>
        <v>72.857142857142861</v>
      </c>
      <c r="H10" s="101">
        <f t="shared" si="3"/>
        <v>72.857142857142861</v>
      </c>
      <c r="I10" s="102">
        <f>VLOOKUP(B10,Ordering!$A$1:$J$83,6,FALSE)</f>
        <v>1</v>
      </c>
      <c r="J10" s="102">
        <f>VLOOKUP(B10,Ordering!$A$1:$J$83,10,FALSE)</f>
        <v>7.9</v>
      </c>
      <c r="K10" s="102">
        <f t="shared" si="7"/>
        <v>7.2857142857142856E-2</v>
      </c>
      <c r="L10" s="103">
        <f t="shared" si="5"/>
        <v>0.57557142857142862</v>
      </c>
      <c r="N10" s="1">
        <v>50</v>
      </c>
      <c r="R10" s="119" t="s">
        <v>103</v>
      </c>
      <c r="S10" s="120"/>
    </row>
    <row r="11" spans="1:24" ht="15" customHeight="1" thickTop="1" thickBot="1" x14ac:dyDescent="0.55000000000000004">
      <c r="A11" s="14" t="s">
        <v>49</v>
      </c>
      <c r="B11" s="15" t="s">
        <v>131</v>
      </c>
      <c r="C11" s="14" t="s">
        <v>17</v>
      </c>
      <c r="D11" s="20">
        <f t="shared" si="0"/>
        <v>0.2857142857142857</v>
      </c>
      <c r="E11" s="17">
        <f t="shared" si="1"/>
        <v>102</v>
      </c>
      <c r="F11" s="18">
        <v>1</v>
      </c>
      <c r="G11" s="17">
        <f t="shared" si="2"/>
        <v>29.142857142857142</v>
      </c>
      <c r="H11" s="101">
        <f t="shared" si="3"/>
        <v>29.142857142857142</v>
      </c>
      <c r="I11" s="102">
        <f>VLOOKUP(B11,Ordering!$A$1:$J$83,6,FALSE)</f>
        <v>1</v>
      </c>
      <c r="J11" s="102">
        <f>VLOOKUP(B11,Ordering!$A$1:$J$83,10,FALSE)</f>
        <v>24.305555555555557</v>
      </c>
      <c r="K11" s="102">
        <f t="shared" si="7"/>
        <v>2.9142857142857144E-2</v>
      </c>
      <c r="L11" s="103">
        <f t="shared" si="5"/>
        <v>0.70833333333333337</v>
      </c>
      <c r="N11" s="1">
        <v>20</v>
      </c>
      <c r="R11" s="119" t="s">
        <v>18</v>
      </c>
      <c r="S11" s="120"/>
    </row>
    <row r="12" spans="1:24" ht="15" customHeight="1" thickTop="1" thickBot="1" x14ac:dyDescent="0.55000000000000004">
      <c r="A12" s="14" t="s">
        <v>53</v>
      </c>
      <c r="B12" s="15" t="s">
        <v>153</v>
      </c>
      <c r="C12" s="14" t="s">
        <v>17</v>
      </c>
      <c r="D12" s="20">
        <f t="shared" si="0"/>
        <v>4.2857142857142856</v>
      </c>
      <c r="E12" s="17">
        <f t="shared" si="1"/>
        <v>102</v>
      </c>
      <c r="F12" s="18">
        <v>1</v>
      </c>
      <c r="G12" s="17">
        <f t="shared" si="2"/>
        <v>437.14285714285711</v>
      </c>
      <c r="H12" s="101">
        <f t="shared" si="3"/>
        <v>437.14285714285711</v>
      </c>
      <c r="I12" s="102">
        <f>VLOOKUP(B12,Ordering!$A$1:$J$83,6,FALSE)</f>
        <v>1</v>
      </c>
      <c r="J12" s="102">
        <f>VLOOKUP(B12,Ordering!$A$1:$J$83,10,FALSE)</f>
        <v>39</v>
      </c>
      <c r="K12" s="102">
        <f t="shared" si="7"/>
        <v>0.43714285714285711</v>
      </c>
      <c r="L12" s="103">
        <f t="shared" si="5"/>
        <v>17.048571428571428</v>
      </c>
      <c r="N12" s="1">
        <v>300</v>
      </c>
      <c r="R12" s="5" t="s">
        <v>19</v>
      </c>
      <c r="S12" s="5" t="s">
        <v>20</v>
      </c>
    </row>
    <row r="13" spans="1:24" ht="15" customHeight="1" thickTop="1" x14ac:dyDescent="0.5">
      <c r="R13" s="5" t="s">
        <v>21</v>
      </c>
      <c r="S13" s="47">
        <v>97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102</v>
      </c>
    </row>
    <row r="16" spans="1:24" x14ac:dyDescent="0.5">
      <c r="R16" s="92" t="s">
        <v>14</v>
      </c>
      <c r="S16" s="93">
        <f>SUM(L5:L12)</f>
        <v>84.967619047619053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D2532-0B27-4D49-B93A-9C86412D1B7C}">
  <sheetPr codeName="Sheet35">
    <tabColor theme="6" tint="-0.249977111117893"/>
    <pageSetUpPr fitToPage="1"/>
  </sheetPr>
  <dimension ref="A1:X16"/>
  <sheetViews>
    <sheetView topLeftCell="D1" zoomScale="55" zoomScaleNormal="55" zoomScaleSheetLayoutView="100" workbookViewId="0">
      <selection activeCell="S14" sqref="S14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3" max="17" width="3.46875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38</v>
      </c>
      <c r="G1" s="4"/>
      <c r="H1" s="38" t="s">
        <v>2</v>
      </c>
      <c r="I1" s="13">
        <f>F1/B1</f>
        <v>38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38</v>
      </c>
      <c r="F5" s="18">
        <v>1</v>
      </c>
      <c r="G5" s="17">
        <f t="shared" ref="G5:G7" si="1">E5*D5</f>
        <v>247</v>
      </c>
      <c r="H5" s="83">
        <f t="shared" ref="H5:H7" si="2">G5*F5</f>
        <v>247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0.247</v>
      </c>
      <c r="L5" s="95">
        <f t="shared" ref="L5:L7" si="4">J5*K5</f>
        <v>9.879999999999999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38</v>
      </c>
      <c r="F6" s="18">
        <v>1</v>
      </c>
      <c r="G6" s="17">
        <f t="shared" si="1"/>
        <v>471.2</v>
      </c>
      <c r="H6" s="83">
        <f t="shared" si="2"/>
        <v>471.2</v>
      </c>
      <c r="I6" s="14">
        <f>VLOOKUP(B6,Ordering!$A$1:$J$83,6,FALSE)</f>
        <v>1</v>
      </c>
      <c r="J6" s="95">
        <f>VLOOKUP(B6,Ordering!$A$1:$J$83,10,FALSE)</f>
        <v>51</v>
      </c>
      <c r="K6" s="23">
        <f t="shared" si="3"/>
        <v>0.47120000000000001</v>
      </c>
      <c r="L6" s="95">
        <f t="shared" si="4"/>
        <v>24.031200000000002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38</v>
      </c>
      <c r="F7" s="18">
        <v>1</v>
      </c>
      <c r="G7" s="17">
        <f t="shared" si="1"/>
        <v>190</v>
      </c>
      <c r="H7" s="83">
        <f t="shared" si="2"/>
        <v>190</v>
      </c>
      <c r="I7" s="14">
        <f>VLOOKUP(B7,Ordering!$A$1:$J$83,6,FALSE)</f>
        <v>1</v>
      </c>
      <c r="J7" s="95">
        <f>VLOOKUP(B7,Ordering!$A$1:$J$83,10,FALSE)</f>
        <v>41</v>
      </c>
      <c r="K7" s="23">
        <f t="shared" si="3"/>
        <v>0.19</v>
      </c>
      <c r="L7" s="95">
        <f t="shared" si="4"/>
        <v>7.79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1.0973999999999999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33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38</v>
      </c>
    </row>
    <row r="16" spans="1:24" x14ac:dyDescent="0.5">
      <c r="R16" s="92" t="s">
        <v>14</v>
      </c>
      <c r="S16" s="93">
        <f>SUM(L5:L7)</f>
        <v>41.7012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42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>
    <tabColor theme="5" tint="-0.249977111117893"/>
    <pageSetUpPr fitToPage="1"/>
  </sheetPr>
  <dimension ref="A1:Y16"/>
  <sheetViews>
    <sheetView topLeftCell="I1" zoomScale="70" zoomScaleNormal="70" zoomScaleSheetLayoutView="100" workbookViewId="0">
      <selection activeCell="S30" sqref="S30"/>
    </sheetView>
  </sheetViews>
  <sheetFormatPr defaultRowHeight="14.35" x14ac:dyDescent="0.5"/>
  <cols>
    <col min="1" max="1" width="17.64453125" bestFit="1" customWidth="1"/>
    <col min="2" max="2" width="31.4687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10.1171875" bestFit="1" customWidth="1"/>
    <col min="10" max="10" width="14.41015625" customWidth="1"/>
    <col min="11" max="11" width="11.1171875" bestFit="1" customWidth="1"/>
    <col min="12" max="12" width="12.1171875" bestFit="1" customWidth="1"/>
    <col min="18" max="18" width="19.35156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385</v>
      </c>
      <c r="G1" s="4"/>
      <c r="H1" s="38" t="s">
        <v>2</v>
      </c>
      <c r="I1" s="13">
        <f>F1/B1</f>
        <v>385</v>
      </c>
      <c r="J1" s="4"/>
      <c r="K1" s="38"/>
    </row>
    <row r="2" spans="1:25" ht="14.25" customHeight="1" x14ac:dyDescent="0.5">
      <c r="A2" s="42"/>
      <c r="B2" s="117" t="s">
        <v>34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70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117</v>
      </c>
      <c r="C5" s="22" t="s">
        <v>17</v>
      </c>
      <c r="D5" s="20">
        <f t="shared" ref="D5:D12" si="0">N5/250</f>
        <v>22</v>
      </c>
      <c r="E5" s="17">
        <f t="shared" ref="E5:E12" si="1">$I$1</f>
        <v>385</v>
      </c>
      <c r="F5" s="18">
        <v>1</v>
      </c>
      <c r="G5" s="17">
        <f t="shared" ref="G5:G12" si="2">E5*D5</f>
        <v>8470</v>
      </c>
      <c r="H5" s="83">
        <f t="shared" ref="H5:H12" si="3">G5*F5</f>
        <v>8470</v>
      </c>
      <c r="I5" s="20">
        <f>VLOOKUP(B5,Ordering!$A$1:$J$83,6,FALSE)</f>
        <v>1</v>
      </c>
      <c r="J5" s="20">
        <f>VLOOKUP(B5,Ordering!$A$1:$J$83,10,FALSE)</f>
        <v>13.545454545454545</v>
      </c>
      <c r="K5" s="20">
        <f t="shared" ref="K5:K12" si="4">((H5/(I5))/1000)</f>
        <v>8.4700000000000006</v>
      </c>
      <c r="L5" s="94">
        <f t="shared" ref="L5:L12" si="5">J5*K5</f>
        <v>114.73</v>
      </c>
      <c r="N5" s="1">
        <v>5500</v>
      </c>
    </row>
    <row r="6" spans="1:25" ht="15" customHeight="1" thickTop="1" thickBot="1" x14ac:dyDescent="0.55000000000000004">
      <c r="A6" s="15" t="s">
        <v>30</v>
      </c>
      <c r="B6" s="15" t="s">
        <v>124</v>
      </c>
      <c r="C6" s="22" t="s">
        <v>17</v>
      </c>
      <c r="D6" s="20">
        <f t="shared" si="0"/>
        <v>6</v>
      </c>
      <c r="E6" s="17">
        <f t="shared" si="1"/>
        <v>385</v>
      </c>
      <c r="F6" s="18">
        <v>1</v>
      </c>
      <c r="G6" s="17">
        <f t="shared" si="2"/>
        <v>2310</v>
      </c>
      <c r="H6" s="83">
        <f t="shared" si="3"/>
        <v>2310</v>
      </c>
      <c r="I6" s="20">
        <f>VLOOKUP(B6,Ordering!$A$1:$J$83,6,FALSE)</f>
        <v>1</v>
      </c>
      <c r="J6" s="20">
        <f>VLOOKUP(B6,Ordering!$A$1:$J$83,10,FALSE)</f>
        <v>34.848484848484851</v>
      </c>
      <c r="K6" s="20">
        <f t="shared" si="4"/>
        <v>2.31</v>
      </c>
      <c r="L6" s="94">
        <f t="shared" si="5"/>
        <v>80.500000000000014</v>
      </c>
      <c r="N6" s="1">
        <v>1500</v>
      </c>
    </row>
    <row r="7" spans="1:25" ht="15" customHeight="1" thickTop="1" thickBot="1" x14ac:dyDescent="0.55000000000000004">
      <c r="A7" s="15" t="s">
        <v>30</v>
      </c>
      <c r="B7" s="15" t="s">
        <v>123</v>
      </c>
      <c r="C7" s="22" t="s">
        <v>17</v>
      </c>
      <c r="D7" s="20">
        <f t="shared" si="0"/>
        <v>2</v>
      </c>
      <c r="E7" s="17">
        <f t="shared" si="1"/>
        <v>385</v>
      </c>
      <c r="F7" s="18">
        <v>1</v>
      </c>
      <c r="G7" s="17">
        <f t="shared" si="2"/>
        <v>770</v>
      </c>
      <c r="H7" s="83">
        <f t="shared" si="3"/>
        <v>770</v>
      </c>
      <c r="I7" s="20">
        <f>VLOOKUP(B7,Ordering!$A$1:$J$83,6,FALSE)</f>
        <v>1</v>
      </c>
      <c r="J7" s="20">
        <f>VLOOKUP(B7,Ordering!$A$1:$J$83,10,FALSE)</f>
        <v>14.2</v>
      </c>
      <c r="K7" s="20">
        <f t="shared" si="4"/>
        <v>0.77</v>
      </c>
      <c r="L7" s="94">
        <f t="shared" si="5"/>
        <v>10.933999999999999</v>
      </c>
      <c r="N7" s="1">
        <v>500</v>
      </c>
    </row>
    <row r="8" spans="1:25" ht="15" customHeight="1" thickTop="1" thickBot="1" x14ac:dyDescent="0.55000000000000004">
      <c r="A8" s="15" t="s">
        <v>30</v>
      </c>
      <c r="B8" s="15" t="s">
        <v>122</v>
      </c>
      <c r="C8" s="22" t="s">
        <v>16</v>
      </c>
      <c r="D8" s="20">
        <f t="shared" si="0"/>
        <v>8</v>
      </c>
      <c r="E8" s="17">
        <f t="shared" si="1"/>
        <v>385</v>
      </c>
      <c r="F8" s="18">
        <v>1</v>
      </c>
      <c r="G8" s="17">
        <f t="shared" si="2"/>
        <v>3080</v>
      </c>
      <c r="H8" s="83">
        <f t="shared" si="3"/>
        <v>3080</v>
      </c>
      <c r="I8" s="20">
        <f>VLOOKUP(B8,Ordering!$A$1:$J$83,6,FALSE)</f>
        <v>1</v>
      </c>
      <c r="J8" s="20">
        <f>VLOOKUP(B8,Ordering!$A$1:$J$83,10,FALSE)</f>
        <v>10.833333333333334</v>
      </c>
      <c r="K8" s="20">
        <f t="shared" si="4"/>
        <v>3.08</v>
      </c>
      <c r="L8" s="94">
        <f t="shared" si="5"/>
        <v>33.366666666666667</v>
      </c>
      <c r="N8" s="1">
        <v>2000</v>
      </c>
      <c r="V8" s="89" t="s">
        <v>248</v>
      </c>
      <c r="W8" s="90">
        <v>1</v>
      </c>
      <c r="X8" s="89" t="s">
        <v>14</v>
      </c>
      <c r="Y8" s="107">
        <f>SUM(L5:L12)/S15</f>
        <v>1.089566486013986</v>
      </c>
    </row>
    <row r="9" spans="1:25" ht="15" customHeight="1" thickTop="1" thickBot="1" x14ac:dyDescent="0.55000000000000004">
      <c r="A9" s="15" t="s">
        <v>52</v>
      </c>
      <c r="B9" s="15" t="s">
        <v>205</v>
      </c>
      <c r="C9" s="22" t="s">
        <v>17</v>
      </c>
      <c r="D9" s="20">
        <f t="shared" si="0"/>
        <v>12</v>
      </c>
      <c r="E9" s="17">
        <f t="shared" si="1"/>
        <v>385</v>
      </c>
      <c r="F9" s="18">
        <v>1</v>
      </c>
      <c r="G9" s="17">
        <f t="shared" si="2"/>
        <v>4620</v>
      </c>
      <c r="H9" s="83">
        <f t="shared" si="3"/>
        <v>4620</v>
      </c>
      <c r="I9" s="20">
        <f>VLOOKUP(B9,Ordering!$A$1:$J$83,6,FALSE)</f>
        <v>1</v>
      </c>
      <c r="J9" s="20">
        <f>VLOOKUP(B9,Ordering!$A$1:$J$83,10,FALSE)</f>
        <v>8.8043750000000003</v>
      </c>
      <c r="K9" s="20">
        <f t="shared" si="4"/>
        <v>4.62</v>
      </c>
      <c r="L9" s="94">
        <f t="shared" si="5"/>
        <v>40.676212500000005</v>
      </c>
      <c r="N9" s="1">
        <v>3000</v>
      </c>
    </row>
    <row r="10" spans="1:25" ht="15" customHeight="1" thickTop="1" thickBot="1" x14ac:dyDescent="0.55000000000000004">
      <c r="A10" s="15" t="s">
        <v>52</v>
      </c>
      <c r="B10" s="15" t="s">
        <v>229</v>
      </c>
      <c r="C10" s="22" t="s">
        <v>17</v>
      </c>
      <c r="D10" s="20">
        <f t="shared" si="0"/>
        <v>16</v>
      </c>
      <c r="E10" s="17">
        <f t="shared" si="1"/>
        <v>385</v>
      </c>
      <c r="F10" s="18">
        <v>1</v>
      </c>
      <c r="G10" s="17">
        <f t="shared" si="2"/>
        <v>6160</v>
      </c>
      <c r="H10" s="83">
        <f t="shared" si="3"/>
        <v>6160</v>
      </c>
      <c r="I10" s="20">
        <f>VLOOKUP(B10,Ordering!$A$1:$J$83,6,FALSE)</f>
        <v>0.52</v>
      </c>
      <c r="J10" s="20">
        <f>VLOOKUP(B10,Ordering!$A$1:$J$83,10,FALSE)</f>
        <v>9</v>
      </c>
      <c r="K10" s="20">
        <f t="shared" si="4"/>
        <v>11.846153846153845</v>
      </c>
      <c r="L10" s="94">
        <f t="shared" si="5"/>
        <v>106.6153846153846</v>
      </c>
      <c r="N10" s="1">
        <v>4000</v>
      </c>
      <c r="R10" s="119" t="s">
        <v>71</v>
      </c>
      <c r="S10" s="120"/>
    </row>
    <row r="11" spans="1:25" ht="15" customHeight="1" thickTop="1" thickBot="1" x14ac:dyDescent="0.55000000000000004">
      <c r="A11" s="15" t="s">
        <v>27</v>
      </c>
      <c r="B11" s="15" t="s">
        <v>121</v>
      </c>
      <c r="C11" s="22" t="s">
        <v>17</v>
      </c>
      <c r="D11" s="20">
        <f t="shared" si="0"/>
        <v>1.4</v>
      </c>
      <c r="E11" s="17">
        <f t="shared" si="1"/>
        <v>385</v>
      </c>
      <c r="F11" s="18">
        <v>1</v>
      </c>
      <c r="G11" s="17">
        <f t="shared" si="2"/>
        <v>539</v>
      </c>
      <c r="H11" s="83">
        <f t="shared" si="3"/>
        <v>539</v>
      </c>
      <c r="I11" s="20">
        <f>VLOOKUP(B11,Ordering!$A$1:$J$83,6,FALSE)</f>
        <v>1</v>
      </c>
      <c r="J11" s="20">
        <f>VLOOKUP(B11,Ordering!$A$1:$J$83,10,FALSE)</f>
        <v>9.1666666666666679</v>
      </c>
      <c r="K11" s="20">
        <f t="shared" si="4"/>
        <v>0.53900000000000003</v>
      </c>
      <c r="L11" s="94">
        <f t="shared" si="5"/>
        <v>4.9408333333333339</v>
      </c>
      <c r="N11" s="1">
        <v>350</v>
      </c>
      <c r="R11" s="119" t="s">
        <v>18</v>
      </c>
      <c r="S11" s="120"/>
    </row>
    <row r="12" spans="1:25" ht="15" customHeight="1" thickTop="1" thickBot="1" x14ac:dyDescent="0.55000000000000004">
      <c r="A12" s="15" t="s">
        <v>30</v>
      </c>
      <c r="B12" s="15" t="s">
        <v>115</v>
      </c>
      <c r="C12" s="22" t="s">
        <v>17</v>
      </c>
      <c r="D12" s="20">
        <f t="shared" si="0"/>
        <v>2.4</v>
      </c>
      <c r="E12" s="17">
        <f t="shared" si="1"/>
        <v>385</v>
      </c>
      <c r="F12" s="18">
        <v>1</v>
      </c>
      <c r="G12" s="17">
        <f t="shared" si="2"/>
        <v>924</v>
      </c>
      <c r="H12" s="83">
        <f t="shared" si="3"/>
        <v>924</v>
      </c>
      <c r="I12" s="20">
        <f>VLOOKUP(B12,Ordering!$A$1:$J$83,6,FALSE)</f>
        <v>1</v>
      </c>
      <c r="J12" s="20">
        <f>VLOOKUP(B12,Ordering!$A$1:$J$83,10,FALSE)</f>
        <v>30</v>
      </c>
      <c r="K12" s="20">
        <f t="shared" si="4"/>
        <v>0.92400000000000004</v>
      </c>
      <c r="L12" s="94">
        <f t="shared" si="5"/>
        <v>27.720000000000002</v>
      </c>
      <c r="N12" s="1">
        <v>600</v>
      </c>
      <c r="R12" s="5" t="s">
        <v>19</v>
      </c>
      <c r="S12" s="5" t="s">
        <v>20</v>
      </c>
    </row>
    <row r="13" spans="1:25" ht="15" customHeight="1" thickTop="1" x14ac:dyDescent="0.5">
      <c r="R13" s="5" t="s">
        <v>21</v>
      </c>
      <c r="S13" s="47">
        <v>383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385</v>
      </c>
    </row>
    <row r="16" spans="1:25" x14ac:dyDescent="0.5">
      <c r="R16" s="92" t="s">
        <v>14</v>
      </c>
      <c r="S16" s="93">
        <f>SUM(L5:L12)</f>
        <v>419.48309711538462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>
    <tabColor theme="5" tint="-0.249977111117893"/>
    <pageSetUpPr fitToPage="1"/>
  </sheetPr>
  <dimension ref="A1:Y16"/>
  <sheetViews>
    <sheetView topLeftCell="J1" zoomScale="70" zoomScaleNormal="70" zoomScaleSheetLayoutView="100" workbookViewId="0">
      <selection activeCell="S30" sqref="S30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9.644531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138</v>
      </c>
      <c r="G1" s="4"/>
      <c r="H1" s="38" t="s">
        <v>2</v>
      </c>
      <c r="I1" s="13">
        <f>F1/B1</f>
        <v>138</v>
      </c>
      <c r="J1" s="4"/>
      <c r="K1" s="38"/>
    </row>
    <row r="2" spans="1:25" ht="14.25" customHeight="1" x14ac:dyDescent="0.5">
      <c r="A2" s="42"/>
      <c r="B2" s="117" t="s">
        <v>36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72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124</v>
      </c>
      <c r="C5" s="22" t="s">
        <v>17</v>
      </c>
      <c r="D5" s="20">
        <f t="shared" ref="D5:D12" si="0">N5/30</f>
        <v>12.5</v>
      </c>
      <c r="E5" s="17">
        <f t="shared" ref="E5:E12" si="1">$I$1</f>
        <v>138</v>
      </c>
      <c r="F5" s="18">
        <v>1</v>
      </c>
      <c r="G5" s="17">
        <f t="shared" ref="G5:G11" si="2">E5*D5</f>
        <v>1725</v>
      </c>
      <c r="H5" s="101">
        <f t="shared" ref="H5:H11" si="3">G5*F5</f>
        <v>1725</v>
      </c>
      <c r="I5" s="102">
        <f>VLOOKUP(B5,Ordering!$A$1:$J$83,6,FALSE)</f>
        <v>1</v>
      </c>
      <c r="J5" s="102">
        <f>VLOOKUP(B5,Ordering!$A$1:$J$83,10,FALSE)</f>
        <v>34.848484848484851</v>
      </c>
      <c r="K5" s="102">
        <f t="shared" ref="K5:K7" si="4">((H5/(I5))/1000)</f>
        <v>1.7250000000000001</v>
      </c>
      <c r="L5" s="103">
        <f t="shared" ref="L5:L12" si="5">J5*K5</f>
        <v>60.113636363636374</v>
      </c>
      <c r="N5" s="3">
        <v>375</v>
      </c>
    </row>
    <row r="6" spans="1:25" ht="15" customHeight="1" thickTop="1" thickBot="1" x14ac:dyDescent="0.55000000000000004">
      <c r="A6" s="15" t="s">
        <v>48</v>
      </c>
      <c r="B6" s="15" t="s">
        <v>128</v>
      </c>
      <c r="C6" s="22" t="s">
        <v>17</v>
      </c>
      <c r="D6" s="20">
        <f t="shared" si="0"/>
        <v>3.3333333333333335</v>
      </c>
      <c r="E6" s="17">
        <f t="shared" si="1"/>
        <v>138</v>
      </c>
      <c r="F6" s="18">
        <v>1</v>
      </c>
      <c r="G6" s="17">
        <f t="shared" si="2"/>
        <v>460</v>
      </c>
      <c r="H6" s="101">
        <f t="shared" si="3"/>
        <v>460</v>
      </c>
      <c r="I6" s="102">
        <f>VLOOKUP(B6,Ordering!$A$1:$J$83,6,FALSE)</f>
        <v>1</v>
      </c>
      <c r="J6" s="102">
        <f>VLOOKUP(B6,Ordering!$A$1:$J$83,10,FALSE)</f>
        <v>2.7</v>
      </c>
      <c r="K6" s="102">
        <f t="shared" si="4"/>
        <v>0.46</v>
      </c>
      <c r="L6" s="103">
        <f t="shared" si="5"/>
        <v>1.2420000000000002</v>
      </c>
      <c r="N6" s="3">
        <v>100</v>
      </c>
    </row>
    <row r="7" spans="1:25" ht="15" customHeight="1" thickTop="1" thickBot="1" x14ac:dyDescent="0.55000000000000004">
      <c r="A7" s="15" t="s">
        <v>30</v>
      </c>
      <c r="B7" s="15" t="s">
        <v>116</v>
      </c>
      <c r="C7" s="22" t="s">
        <v>17</v>
      </c>
      <c r="D7" s="20">
        <f t="shared" si="0"/>
        <v>5</v>
      </c>
      <c r="E7" s="17">
        <f t="shared" si="1"/>
        <v>138</v>
      </c>
      <c r="F7" s="18">
        <v>1</v>
      </c>
      <c r="G7" s="17">
        <f t="shared" si="2"/>
        <v>690</v>
      </c>
      <c r="H7" s="101">
        <f t="shared" si="3"/>
        <v>690</v>
      </c>
      <c r="I7" s="102">
        <f>VLOOKUP(B7,Ordering!$A$1:$J$83,6,FALSE)</f>
        <v>1</v>
      </c>
      <c r="J7" s="102">
        <f>VLOOKUP(B7,Ordering!$A$1:$J$83,10,FALSE)</f>
        <v>6.6959999999999997</v>
      </c>
      <c r="K7" s="102">
        <f t="shared" si="4"/>
        <v>0.69</v>
      </c>
      <c r="L7" s="103">
        <f t="shared" si="5"/>
        <v>4.620239999999999</v>
      </c>
      <c r="N7" s="3">
        <v>150</v>
      </c>
    </row>
    <row r="8" spans="1:25" ht="15" customHeight="1" thickTop="1" thickBot="1" x14ac:dyDescent="0.55000000000000004">
      <c r="A8" s="15" t="s">
        <v>30</v>
      </c>
      <c r="B8" s="15" t="s">
        <v>111</v>
      </c>
      <c r="C8" s="22" t="s">
        <v>15</v>
      </c>
      <c r="D8" s="20">
        <f t="shared" si="0"/>
        <v>0.2</v>
      </c>
      <c r="E8" s="17">
        <f t="shared" si="1"/>
        <v>138</v>
      </c>
      <c r="F8" s="18">
        <v>1</v>
      </c>
      <c r="G8" s="30">
        <f t="shared" si="2"/>
        <v>27.6</v>
      </c>
      <c r="H8" s="101">
        <f t="shared" si="3"/>
        <v>27.6</v>
      </c>
      <c r="I8" s="102">
        <f>VLOOKUP(B8,Ordering!$A$1:$J$83,6,FALSE)</f>
        <v>1</v>
      </c>
      <c r="J8" s="102">
        <f>VLOOKUP(B8,Ordering!$A$1:$J$83,10,FALSE)</f>
        <v>0.43333333333333335</v>
      </c>
      <c r="K8" s="102">
        <f t="shared" ref="K8" si="6">H8/I8</f>
        <v>27.6</v>
      </c>
      <c r="L8" s="103">
        <f t="shared" si="5"/>
        <v>11.96</v>
      </c>
      <c r="N8" s="3">
        <v>6</v>
      </c>
      <c r="V8" s="89" t="s">
        <v>248</v>
      </c>
      <c r="W8" s="90">
        <v>1</v>
      </c>
      <c r="X8" s="89" t="s">
        <v>14</v>
      </c>
      <c r="Y8" s="107">
        <f>SUM(L5:L12)/S15</f>
        <v>1.0886749494949495</v>
      </c>
    </row>
    <row r="9" spans="1:25" ht="15" customHeight="1" thickTop="1" thickBot="1" x14ac:dyDescent="0.55000000000000004">
      <c r="A9" s="15" t="s">
        <v>50</v>
      </c>
      <c r="B9" s="15" t="s">
        <v>156</v>
      </c>
      <c r="C9" s="22" t="s">
        <v>17</v>
      </c>
      <c r="D9" s="20">
        <f t="shared" si="0"/>
        <v>1</v>
      </c>
      <c r="E9" s="17">
        <f t="shared" si="1"/>
        <v>138</v>
      </c>
      <c r="F9" s="18">
        <v>1</v>
      </c>
      <c r="G9" s="17">
        <f t="shared" si="2"/>
        <v>138</v>
      </c>
      <c r="H9" s="101">
        <f t="shared" si="3"/>
        <v>138</v>
      </c>
      <c r="I9" s="102">
        <f>VLOOKUP(B9,Ordering!$A$1:$J$83,6,FALSE)</f>
        <v>1</v>
      </c>
      <c r="J9" s="102">
        <f>VLOOKUP(B9,Ordering!$A$1:$J$83,10,FALSE)</f>
        <v>1.7</v>
      </c>
      <c r="K9" s="102">
        <f t="shared" ref="K9:K12" si="7">((H9/(I9))/1000)</f>
        <v>0.13800000000000001</v>
      </c>
      <c r="L9" s="103">
        <f t="shared" si="5"/>
        <v>0.2346</v>
      </c>
      <c r="N9" s="3">
        <v>30</v>
      </c>
    </row>
    <row r="10" spans="1:25" ht="15" customHeight="1" thickTop="1" thickBot="1" x14ac:dyDescent="0.55000000000000004">
      <c r="A10" s="14" t="s">
        <v>27</v>
      </c>
      <c r="B10" s="15" t="s">
        <v>121</v>
      </c>
      <c r="C10" s="22" t="s">
        <v>17</v>
      </c>
      <c r="D10" s="20">
        <f t="shared" si="0"/>
        <v>20</v>
      </c>
      <c r="E10" s="17">
        <f t="shared" si="1"/>
        <v>138</v>
      </c>
      <c r="F10" s="18">
        <v>1</v>
      </c>
      <c r="G10" s="17">
        <f t="shared" si="2"/>
        <v>2760</v>
      </c>
      <c r="H10" s="101">
        <f t="shared" si="3"/>
        <v>2760</v>
      </c>
      <c r="I10" s="102">
        <f>VLOOKUP(B10,Ordering!$A$1:$J$83,6,FALSE)</f>
        <v>1</v>
      </c>
      <c r="J10" s="102">
        <f>VLOOKUP(B10,Ordering!$A$1:$J$83,10,FALSE)</f>
        <v>9.1666666666666679</v>
      </c>
      <c r="K10" s="102">
        <f t="shared" si="7"/>
        <v>2.76</v>
      </c>
      <c r="L10" s="103">
        <f t="shared" si="5"/>
        <v>25.3</v>
      </c>
      <c r="N10" s="3">
        <v>600</v>
      </c>
      <c r="R10" s="119" t="s">
        <v>75</v>
      </c>
      <c r="S10" s="120"/>
    </row>
    <row r="11" spans="1:25" ht="15" customHeight="1" thickTop="1" thickBot="1" x14ac:dyDescent="0.55000000000000004">
      <c r="A11" s="14" t="s">
        <v>30</v>
      </c>
      <c r="B11" s="15" t="s">
        <v>115</v>
      </c>
      <c r="C11" s="22" t="s">
        <v>17</v>
      </c>
      <c r="D11" s="20">
        <f>N11/30</f>
        <v>3.3333333333333335</v>
      </c>
      <c r="E11" s="17">
        <f t="shared" si="1"/>
        <v>138</v>
      </c>
      <c r="F11" s="18">
        <v>1</v>
      </c>
      <c r="G11" s="17">
        <f t="shared" si="2"/>
        <v>460</v>
      </c>
      <c r="H11" s="101">
        <f t="shared" si="3"/>
        <v>460</v>
      </c>
      <c r="I11" s="102">
        <f>VLOOKUP(B11,Ordering!$A$1:$J$83,6,FALSE)</f>
        <v>1</v>
      </c>
      <c r="J11" s="102">
        <f>VLOOKUP(B11,Ordering!$A$1:$J$83,10,FALSE)</f>
        <v>30</v>
      </c>
      <c r="K11" s="102">
        <f t="shared" si="7"/>
        <v>0.46</v>
      </c>
      <c r="L11" s="103">
        <f t="shared" si="5"/>
        <v>13.8</v>
      </c>
      <c r="N11" s="3">
        <v>100</v>
      </c>
      <c r="R11" s="119" t="s">
        <v>18</v>
      </c>
      <c r="S11" s="120"/>
    </row>
    <row r="12" spans="1:25" ht="15" customHeight="1" thickTop="1" x14ac:dyDescent="0.5">
      <c r="A12" s="14"/>
      <c r="B12" s="15" t="s">
        <v>147</v>
      </c>
      <c r="C12" s="22" t="s">
        <v>17</v>
      </c>
      <c r="D12" s="20">
        <f t="shared" si="0"/>
        <v>6.666666666666667</v>
      </c>
      <c r="E12" s="17">
        <f t="shared" si="1"/>
        <v>138</v>
      </c>
      <c r="F12" s="18">
        <v>1</v>
      </c>
      <c r="G12" s="17">
        <f t="shared" ref="G12" si="8">E12*D12</f>
        <v>920</v>
      </c>
      <c r="H12" s="101">
        <f t="shared" ref="H12" si="9">G12*F12</f>
        <v>920</v>
      </c>
      <c r="I12" s="102">
        <f>VLOOKUP(B12,Ordering!$A$1:$J$83,6,FALSE)</f>
        <v>1</v>
      </c>
      <c r="J12" s="102">
        <f>VLOOKUP(B12,Ordering!$A$1:$J$83,10,FALSE)</f>
        <v>35.833333333333336</v>
      </c>
      <c r="K12" s="102">
        <f t="shared" si="7"/>
        <v>0.92</v>
      </c>
      <c r="L12" s="103">
        <f t="shared" si="5"/>
        <v>32.966666666666669</v>
      </c>
      <c r="N12" s="28">
        <v>200</v>
      </c>
      <c r="R12" s="5" t="s">
        <v>19</v>
      </c>
      <c r="S12" s="5" t="s">
        <v>20</v>
      </c>
    </row>
    <row r="13" spans="1:25" ht="14.75" customHeight="1" x14ac:dyDescent="0.5">
      <c r="R13" s="5" t="s">
        <v>21</v>
      </c>
      <c r="S13" s="47">
        <v>136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138</v>
      </c>
    </row>
    <row r="16" spans="1:25" x14ac:dyDescent="0.5">
      <c r="R16" s="92" t="s">
        <v>14</v>
      </c>
      <c r="S16" s="93">
        <f>SUM(L5:L12)</f>
        <v>150.23714303030303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theme="5" tint="-0.249977111117893"/>
    <pageSetUpPr fitToPage="1"/>
  </sheetPr>
  <dimension ref="A1:Y24"/>
  <sheetViews>
    <sheetView topLeftCell="I1" zoomScale="70" zoomScaleNormal="70" zoomScaleSheetLayoutView="100" workbookViewId="0">
      <selection activeCell="S30" sqref="S30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2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161</v>
      </c>
      <c r="G1" s="4"/>
      <c r="H1" s="38" t="s">
        <v>2</v>
      </c>
      <c r="I1" s="13">
        <f>F1/B1</f>
        <v>161</v>
      </c>
      <c r="J1" s="4"/>
      <c r="K1" s="38"/>
    </row>
    <row r="2" spans="1:25" ht="14.25" customHeight="1" x14ac:dyDescent="0.5">
      <c r="A2" s="42"/>
      <c r="B2" s="117" t="s">
        <v>40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73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50</v>
      </c>
      <c r="B5" s="15" t="s">
        <v>231</v>
      </c>
      <c r="C5" s="16" t="s">
        <v>17</v>
      </c>
      <c r="D5" s="20">
        <f t="shared" ref="D5:D12" si="0">N5/50</f>
        <v>20</v>
      </c>
      <c r="E5" s="17">
        <f t="shared" ref="E5:E12" si="1">$I$1</f>
        <v>161</v>
      </c>
      <c r="F5" s="18">
        <v>1</v>
      </c>
      <c r="G5" s="17">
        <f t="shared" ref="G5:G12" si="2">E5*D5</f>
        <v>3220</v>
      </c>
      <c r="H5" s="83">
        <f t="shared" ref="H5:H12" si="3">G5*F5</f>
        <v>3220</v>
      </c>
      <c r="I5" s="23">
        <f>VLOOKUP(B5,Ordering!$A$1:$J$83,6,FALSE)</f>
        <v>1</v>
      </c>
      <c r="J5" s="23">
        <f>VLOOKUP(B5,Ordering!$A$1:$J$83,10,FALSE)</f>
        <v>9.3333333333333339</v>
      </c>
      <c r="K5" s="23">
        <f t="shared" ref="K5:K7" si="4">((H5/(I5))/1000)</f>
        <v>3.22</v>
      </c>
      <c r="L5" s="95">
        <f t="shared" ref="L5:L12" si="5">J5*K5</f>
        <v>30.053333333333338</v>
      </c>
      <c r="N5" s="1">
        <v>1000</v>
      </c>
    </row>
    <row r="6" spans="1:25" ht="15" customHeight="1" thickTop="1" thickBot="1" x14ac:dyDescent="0.55000000000000004">
      <c r="A6" s="15" t="s">
        <v>49</v>
      </c>
      <c r="B6" s="15" t="s">
        <v>170</v>
      </c>
      <c r="C6" s="16" t="s">
        <v>17</v>
      </c>
      <c r="D6" s="20">
        <f t="shared" si="0"/>
        <v>6</v>
      </c>
      <c r="E6" s="17">
        <f t="shared" si="1"/>
        <v>161</v>
      </c>
      <c r="F6" s="18">
        <v>1</v>
      </c>
      <c r="G6" s="17">
        <f t="shared" si="2"/>
        <v>966</v>
      </c>
      <c r="H6" s="83">
        <f t="shared" si="3"/>
        <v>966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0.96599999999999997</v>
      </c>
      <c r="L6" s="95">
        <f t="shared" si="5"/>
        <v>5.6823529411764708</v>
      </c>
      <c r="N6" s="1">
        <v>300</v>
      </c>
    </row>
    <row r="7" spans="1:25" ht="15" customHeight="1" thickTop="1" thickBot="1" x14ac:dyDescent="0.55000000000000004">
      <c r="A7" s="15" t="s">
        <v>49</v>
      </c>
      <c r="B7" s="15" t="s">
        <v>120</v>
      </c>
      <c r="C7" s="16" t="s">
        <v>16</v>
      </c>
      <c r="D7" s="20">
        <f t="shared" si="0"/>
        <v>6</v>
      </c>
      <c r="E7" s="17">
        <f t="shared" si="1"/>
        <v>161</v>
      </c>
      <c r="F7" s="18">
        <v>1</v>
      </c>
      <c r="G7" s="17">
        <f t="shared" si="2"/>
        <v>966</v>
      </c>
      <c r="H7" s="83">
        <f t="shared" si="3"/>
        <v>966</v>
      </c>
      <c r="I7" s="23">
        <f>VLOOKUP(B7,Ordering!$A$1:$J$83,6,FALSE)</f>
        <v>1</v>
      </c>
      <c r="J7" s="23">
        <f>VLOOKUP(B7,Ordering!$A$1:$J$83,10,FALSE)</f>
        <v>0</v>
      </c>
      <c r="K7" s="23">
        <f t="shared" si="4"/>
        <v>0.96599999999999997</v>
      </c>
      <c r="L7" s="95">
        <f t="shared" si="5"/>
        <v>0</v>
      </c>
      <c r="N7" s="1">
        <v>300</v>
      </c>
    </row>
    <row r="8" spans="1:25" ht="15" customHeight="1" thickTop="1" thickBot="1" x14ac:dyDescent="0.55000000000000004">
      <c r="A8" s="15" t="s">
        <v>30</v>
      </c>
      <c r="B8" s="15" t="s">
        <v>111</v>
      </c>
      <c r="C8" s="22" t="s">
        <v>15</v>
      </c>
      <c r="D8" s="29">
        <f t="shared" si="0"/>
        <v>0.14000000000000001</v>
      </c>
      <c r="E8" s="17">
        <f t="shared" si="1"/>
        <v>161</v>
      </c>
      <c r="F8" s="18">
        <v>1</v>
      </c>
      <c r="G8" s="17">
        <f t="shared" si="2"/>
        <v>22.540000000000003</v>
      </c>
      <c r="H8" s="83">
        <f t="shared" si="3"/>
        <v>22.540000000000003</v>
      </c>
      <c r="I8" s="23">
        <f>VLOOKUP(B8,Ordering!$A$1:$J$83,6,FALSE)</f>
        <v>1</v>
      </c>
      <c r="J8" s="23">
        <f>VLOOKUP(B8,Ordering!$A$1:$J$83,10,FALSE)</f>
        <v>0.43333333333333335</v>
      </c>
      <c r="K8" s="23">
        <f t="shared" ref="K8" si="6">H8/I8</f>
        <v>22.540000000000003</v>
      </c>
      <c r="L8" s="95">
        <f t="shared" si="5"/>
        <v>9.767333333333335</v>
      </c>
      <c r="N8" s="1">
        <v>7</v>
      </c>
      <c r="V8" s="89" t="s">
        <v>248</v>
      </c>
      <c r="W8" s="90">
        <v>1</v>
      </c>
      <c r="X8" s="89" t="s">
        <v>14</v>
      </c>
      <c r="Y8" s="91">
        <f>SUM(L5:L12)/S15</f>
        <v>0.7407607843137255</v>
      </c>
    </row>
    <row r="9" spans="1:25" ht="15" customHeight="1" thickTop="1" thickBot="1" x14ac:dyDescent="0.55000000000000004">
      <c r="A9" s="15" t="s">
        <v>51</v>
      </c>
      <c r="B9" s="15" t="s">
        <v>142</v>
      </c>
      <c r="C9" s="16" t="s">
        <v>17</v>
      </c>
      <c r="D9" s="20">
        <f t="shared" si="0"/>
        <v>10</v>
      </c>
      <c r="E9" s="17">
        <f t="shared" si="1"/>
        <v>161</v>
      </c>
      <c r="F9" s="18">
        <v>1</v>
      </c>
      <c r="G9" s="17">
        <f t="shared" si="2"/>
        <v>1610</v>
      </c>
      <c r="H9" s="83">
        <f t="shared" si="3"/>
        <v>1610</v>
      </c>
      <c r="I9" s="23">
        <f>VLOOKUP(B9,Ordering!$A$1:$J$83,6,FALSE)</f>
        <v>1</v>
      </c>
      <c r="J9" s="23">
        <f>VLOOKUP(B9,Ordering!$A$1:$J$83,10,FALSE)</f>
        <v>19.75</v>
      </c>
      <c r="K9" s="23">
        <f t="shared" ref="K9:K12" si="7">((H9/(I9))/1000)</f>
        <v>1.61</v>
      </c>
      <c r="L9" s="95">
        <f t="shared" si="5"/>
        <v>31.797500000000003</v>
      </c>
      <c r="N9" s="1">
        <v>500</v>
      </c>
    </row>
    <row r="10" spans="1:25" ht="15" customHeight="1" thickTop="1" thickBot="1" x14ac:dyDescent="0.55000000000000004">
      <c r="A10" s="14" t="s">
        <v>30</v>
      </c>
      <c r="B10" s="15" t="s">
        <v>112</v>
      </c>
      <c r="C10" s="16" t="s">
        <v>16</v>
      </c>
      <c r="D10" s="20">
        <f t="shared" si="0"/>
        <v>10</v>
      </c>
      <c r="E10" s="17">
        <f t="shared" si="1"/>
        <v>161</v>
      </c>
      <c r="F10" s="18">
        <v>1</v>
      </c>
      <c r="G10" s="17">
        <f t="shared" si="2"/>
        <v>1610</v>
      </c>
      <c r="H10" s="83">
        <f t="shared" si="3"/>
        <v>1610</v>
      </c>
      <c r="I10" s="23">
        <f>VLOOKUP(B10,Ordering!$A$1:$J$83,6,FALSE)</f>
        <v>1</v>
      </c>
      <c r="J10" s="23">
        <f>VLOOKUP(B10,Ordering!$A$1:$J$83,10,FALSE)</f>
        <v>4.2033333333333331</v>
      </c>
      <c r="K10" s="23">
        <f t="shared" si="7"/>
        <v>1.61</v>
      </c>
      <c r="L10" s="95">
        <f t="shared" si="5"/>
        <v>6.7673666666666668</v>
      </c>
      <c r="N10" s="1">
        <v>500</v>
      </c>
      <c r="R10" s="119" t="s">
        <v>74</v>
      </c>
      <c r="S10" s="120"/>
    </row>
    <row r="11" spans="1:25" ht="15" customHeight="1" thickTop="1" thickBot="1" x14ac:dyDescent="0.55000000000000004">
      <c r="A11" s="14" t="s">
        <v>30</v>
      </c>
      <c r="B11" s="15" t="s">
        <v>126</v>
      </c>
      <c r="C11" s="16" t="s">
        <v>17</v>
      </c>
      <c r="D11" s="20">
        <f t="shared" si="0"/>
        <v>10</v>
      </c>
      <c r="E11" s="17">
        <f t="shared" si="1"/>
        <v>161</v>
      </c>
      <c r="F11" s="18">
        <v>1</v>
      </c>
      <c r="G11" s="17">
        <f t="shared" si="2"/>
        <v>1610</v>
      </c>
      <c r="H11" s="83">
        <f t="shared" si="3"/>
        <v>1610</v>
      </c>
      <c r="I11" s="23">
        <f>VLOOKUP(B11,Ordering!$A$1:$J$83,6,FALSE)</f>
        <v>1</v>
      </c>
      <c r="J11" s="23">
        <f>VLOOKUP(B11,Ordering!$A$1:$J$83,10,FALSE)</f>
        <v>20</v>
      </c>
      <c r="K11" s="23">
        <f t="shared" si="7"/>
        <v>1.61</v>
      </c>
      <c r="L11" s="95">
        <f t="shared" si="5"/>
        <v>32.200000000000003</v>
      </c>
      <c r="N11" s="1">
        <v>500</v>
      </c>
      <c r="R11" s="119" t="s">
        <v>18</v>
      </c>
      <c r="S11" s="120"/>
    </row>
    <row r="12" spans="1:25" ht="15" customHeight="1" thickTop="1" thickBot="1" x14ac:dyDescent="0.55000000000000004">
      <c r="A12" s="14" t="s">
        <v>53</v>
      </c>
      <c r="B12" s="15" t="s">
        <v>152</v>
      </c>
      <c r="C12" s="16" t="s">
        <v>17</v>
      </c>
      <c r="D12" s="20">
        <f t="shared" si="0"/>
        <v>0.2</v>
      </c>
      <c r="E12" s="17">
        <f t="shared" si="1"/>
        <v>161</v>
      </c>
      <c r="F12" s="18">
        <v>1</v>
      </c>
      <c r="G12" s="17">
        <f t="shared" si="2"/>
        <v>32.200000000000003</v>
      </c>
      <c r="H12" s="83">
        <f t="shared" si="3"/>
        <v>32.200000000000003</v>
      </c>
      <c r="I12" s="23">
        <f>VLOOKUP(B12,Ordering!$A$1:$J$83,6,FALSE)</f>
        <v>1</v>
      </c>
      <c r="J12" s="23">
        <f>VLOOKUP(B12,Ordering!$A$1:$J$83,10,FALSE)</f>
        <v>93</v>
      </c>
      <c r="K12" s="23">
        <f t="shared" si="7"/>
        <v>3.2199999999999999E-2</v>
      </c>
      <c r="L12" s="95">
        <f t="shared" si="5"/>
        <v>2.9946000000000002</v>
      </c>
      <c r="N12" s="1">
        <v>10</v>
      </c>
      <c r="R12" s="5" t="s">
        <v>19</v>
      </c>
      <c r="S12" s="5" t="s">
        <v>20</v>
      </c>
    </row>
    <row r="13" spans="1:25" ht="15" customHeight="1" thickTop="1" x14ac:dyDescent="0.5">
      <c r="C13" s="25"/>
      <c r="D13" s="25"/>
      <c r="R13" s="5" t="s">
        <v>21</v>
      </c>
      <c r="S13" s="47">
        <v>159</v>
      </c>
    </row>
    <row r="14" spans="1:25" ht="14.75" customHeight="1" x14ac:dyDescent="0.5">
      <c r="C14" s="25"/>
      <c r="D14" s="25"/>
      <c r="R14" s="5" t="s">
        <v>22</v>
      </c>
      <c r="S14" s="14">
        <v>2</v>
      </c>
    </row>
    <row r="15" spans="1:25" x14ac:dyDescent="0.5">
      <c r="C15" s="25"/>
      <c r="D15" s="25"/>
      <c r="R15" s="5" t="s">
        <v>23</v>
      </c>
      <c r="S15" s="48">
        <f>S13+S14</f>
        <v>161</v>
      </c>
    </row>
    <row r="16" spans="1:25" x14ac:dyDescent="0.5">
      <c r="C16" s="25"/>
      <c r="D16" s="25"/>
      <c r="R16" s="92" t="s">
        <v>14</v>
      </c>
      <c r="S16" s="93">
        <f>SUM(L5:L12)</f>
        <v>119.26248627450981</v>
      </c>
    </row>
    <row r="17" spans="3:4" x14ac:dyDescent="0.5">
      <c r="C17" s="25"/>
      <c r="D17" s="25"/>
    </row>
    <row r="18" spans="3:4" x14ac:dyDescent="0.5">
      <c r="C18" s="25"/>
      <c r="D18" s="25"/>
    </row>
    <row r="19" spans="3:4" x14ac:dyDescent="0.5">
      <c r="C19" s="25"/>
      <c r="D19" s="25"/>
    </row>
    <row r="20" spans="3:4" x14ac:dyDescent="0.5">
      <c r="C20" s="25"/>
      <c r="D20" s="25"/>
    </row>
    <row r="21" spans="3:4" x14ac:dyDescent="0.5">
      <c r="C21" s="25"/>
      <c r="D21" s="25"/>
    </row>
    <row r="22" spans="3:4" x14ac:dyDescent="0.5">
      <c r="C22" s="25"/>
      <c r="D22" s="25"/>
    </row>
    <row r="23" spans="3:4" x14ac:dyDescent="0.5">
      <c r="C23" s="25"/>
      <c r="D23" s="25"/>
    </row>
    <row r="24" spans="3:4" x14ac:dyDescent="0.5">
      <c r="C24" s="25"/>
      <c r="D24" s="25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C641E-DFDB-4AA6-8F39-62D917C2C252}">
  <sheetPr codeName="Sheet36">
    <tabColor theme="5" tint="-0.249977111117893"/>
    <pageSetUpPr fitToPage="1"/>
  </sheetPr>
  <dimension ref="A1:X16"/>
  <sheetViews>
    <sheetView topLeftCell="G1" zoomScale="55" zoomScaleNormal="55" zoomScaleSheetLayoutView="100" workbookViewId="0">
      <selection activeCell="S30" sqref="S30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42</v>
      </c>
      <c r="G1" s="4"/>
      <c r="H1" s="38" t="s">
        <v>2</v>
      </c>
      <c r="I1" s="13">
        <f>F1/B1</f>
        <v>42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42</v>
      </c>
      <c r="F5" s="18">
        <v>1</v>
      </c>
      <c r="G5" s="17">
        <f t="shared" ref="G5:G7" si="1">E5*D5</f>
        <v>273</v>
      </c>
      <c r="H5" s="83">
        <f t="shared" ref="H5:H7" si="2">G5*F5</f>
        <v>273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0.27300000000000002</v>
      </c>
      <c r="L5" s="95">
        <f t="shared" ref="L5:L7" si="4">J5*K5</f>
        <v>10.920000000000002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42</v>
      </c>
      <c r="F6" s="18">
        <v>1</v>
      </c>
      <c r="G6" s="17">
        <f t="shared" si="1"/>
        <v>520.80000000000007</v>
      </c>
      <c r="H6" s="108">
        <f t="shared" si="2"/>
        <v>520.80000000000007</v>
      </c>
      <c r="I6" s="109">
        <f>VLOOKUP(B6,Ordering!$A$1:$J$83,6,FALSE)</f>
        <v>1</v>
      </c>
      <c r="J6" s="109">
        <f>VLOOKUP(B6,Ordering!$A$1:$J$83,10,FALSE)</f>
        <v>51</v>
      </c>
      <c r="K6" s="99">
        <f t="shared" si="3"/>
        <v>0.52080000000000004</v>
      </c>
      <c r="L6" s="98">
        <f t="shared" si="4"/>
        <v>26.5608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42</v>
      </c>
      <c r="F7" s="18">
        <v>1</v>
      </c>
      <c r="G7" s="17">
        <f t="shared" si="1"/>
        <v>210</v>
      </c>
      <c r="H7" s="108">
        <f t="shared" si="2"/>
        <v>210</v>
      </c>
      <c r="I7" s="109">
        <f>VLOOKUP(B7,Ordering!$A$1:$J$83,6,FALSE)</f>
        <v>1</v>
      </c>
      <c r="J7" s="109">
        <f>VLOOKUP(B7,Ordering!$A$1:$J$83,10,FALSE)</f>
        <v>41</v>
      </c>
      <c r="K7" s="99">
        <f t="shared" si="3"/>
        <v>0.21</v>
      </c>
      <c r="L7" s="98">
        <f t="shared" si="4"/>
        <v>8.61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1.0973999999999999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37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42</v>
      </c>
    </row>
    <row r="16" spans="1:24" x14ac:dyDescent="0.5">
      <c r="R16" s="92" t="s">
        <v>14</v>
      </c>
      <c r="S16" s="93">
        <f>SUM(L5:L7)</f>
        <v>46.090800000000002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2">
    <tabColor theme="4" tint="-0.249977111117893"/>
    <pageSetUpPr fitToPage="1"/>
  </sheetPr>
  <dimension ref="A1:Y16"/>
  <sheetViews>
    <sheetView topLeftCell="H1" zoomScale="70" zoomScaleNormal="70" zoomScaleSheetLayoutView="100" workbookViewId="0">
      <selection activeCell="T26" sqref="T26"/>
    </sheetView>
  </sheetViews>
  <sheetFormatPr defaultRowHeight="14.35" x14ac:dyDescent="0.5"/>
  <cols>
    <col min="1" max="1" width="23.70312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9" max="9" width="9.8203125" customWidth="1"/>
    <col min="10" max="10" width="14.41015625" customWidth="1"/>
    <col min="18" max="18" width="15.468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122</v>
      </c>
      <c r="G1" s="4"/>
      <c r="H1" s="38" t="s">
        <v>2</v>
      </c>
      <c r="I1" s="13">
        <f>F1/B1</f>
        <v>122</v>
      </c>
      <c r="J1" s="4"/>
      <c r="K1" s="38"/>
    </row>
    <row r="2" spans="1:25" ht="14.25" customHeight="1" x14ac:dyDescent="0.5">
      <c r="A2" s="42" t="s">
        <v>46</v>
      </c>
      <c r="B2" s="117" t="s">
        <v>46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81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14" t="s">
        <v>15</v>
      </c>
      <c r="D5" s="20">
        <f t="shared" ref="D5:D12" si="0">N5/70</f>
        <v>0.14285714285714285</v>
      </c>
      <c r="E5" s="17">
        <f t="shared" ref="E5:E12" si="1">$I$1</f>
        <v>122</v>
      </c>
      <c r="F5" s="18">
        <v>1</v>
      </c>
      <c r="G5" s="17">
        <f t="shared" ref="G5:G12" si="2">E5*D5</f>
        <v>17.428571428571427</v>
      </c>
      <c r="H5" s="83">
        <f t="shared" ref="H5:H12" si="3">G5*F5</f>
        <v>17.428571428571427</v>
      </c>
      <c r="I5" s="15">
        <f>VLOOKUP(B5,Ordering!$A$1:$J$83,6,FALSE)</f>
        <v>1</v>
      </c>
      <c r="J5" s="15">
        <f>VLOOKUP(B5,Ordering!$A$1:$J$83,10,FALSE)</f>
        <v>0.43333333333333335</v>
      </c>
      <c r="K5" s="15">
        <f>H5/I5</f>
        <v>17.428571428571427</v>
      </c>
      <c r="L5" s="95">
        <f t="shared" ref="L5:L11" si="4">J5*K5</f>
        <v>7.5523809523809522</v>
      </c>
      <c r="N5" s="1">
        <v>10</v>
      </c>
    </row>
    <row r="6" spans="1:25" ht="15" customHeight="1" thickTop="1" thickBot="1" x14ac:dyDescent="0.55000000000000004">
      <c r="A6" s="15" t="s">
        <v>48</v>
      </c>
      <c r="B6" s="15" t="s">
        <v>166</v>
      </c>
      <c r="C6" s="14" t="s">
        <v>17</v>
      </c>
      <c r="D6" s="20">
        <f t="shared" si="0"/>
        <v>8.9285714285714288</v>
      </c>
      <c r="E6" s="17">
        <f t="shared" si="1"/>
        <v>122</v>
      </c>
      <c r="F6" s="18">
        <v>1</v>
      </c>
      <c r="G6" s="17">
        <f t="shared" si="2"/>
        <v>1089.2857142857142</v>
      </c>
      <c r="H6" s="83">
        <f t="shared" si="3"/>
        <v>1089.2857142857142</v>
      </c>
      <c r="I6" s="15">
        <f>VLOOKUP(B6,Ordering!$A$1:$J$83,6,FALSE)</f>
        <v>1</v>
      </c>
      <c r="J6" s="15">
        <f>VLOOKUP(B6,Ordering!$A$1:$J$83,10,FALSE)</f>
        <v>6.5</v>
      </c>
      <c r="K6" s="23">
        <f t="shared" ref="K6:K11" si="5">((H6/(I6))/1000)</f>
        <v>1.0892857142857142</v>
      </c>
      <c r="L6" s="95">
        <f t="shared" si="4"/>
        <v>7.0803571428571423</v>
      </c>
      <c r="N6" s="1">
        <v>625</v>
      </c>
    </row>
    <row r="7" spans="1:25" ht="15" customHeight="1" thickTop="1" thickBot="1" x14ac:dyDescent="0.55000000000000004">
      <c r="A7" s="15" t="s">
        <v>49</v>
      </c>
      <c r="B7" s="15" t="s">
        <v>170</v>
      </c>
      <c r="C7" s="14" t="s">
        <v>16</v>
      </c>
      <c r="D7" s="20">
        <f t="shared" si="0"/>
        <v>8.9285714285714288</v>
      </c>
      <c r="E7" s="17">
        <f t="shared" si="1"/>
        <v>122</v>
      </c>
      <c r="F7" s="18">
        <v>1</v>
      </c>
      <c r="G7" s="17">
        <f t="shared" si="2"/>
        <v>1089.2857142857142</v>
      </c>
      <c r="H7" s="83">
        <f t="shared" si="3"/>
        <v>1089.2857142857142</v>
      </c>
      <c r="I7" s="15">
        <f>VLOOKUP(B7,Ordering!$A$1:$J$83,6,FALSE)</f>
        <v>1</v>
      </c>
      <c r="J7" s="15">
        <f>VLOOKUP(B7,Ordering!$A$1:$J$83,10,FALSE)</f>
        <v>5.882352941176471</v>
      </c>
      <c r="K7" s="23">
        <f t="shared" si="5"/>
        <v>1.0892857142857142</v>
      </c>
      <c r="L7" s="95">
        <f t="shared" si="4"/>
        <v>6.4075630252100844</v>
      </c>
      <c r="N7" s="1">
        <v>625</v>
      </c>
    </row>
    <row r="8" spans="1:25" ht="15" customHeight="1" thickTop="1" thickBot="1" x14ac:dyDescent="0.55000000000000004">
      <c r="A8" s="15" t="s">
        <v>50</v>
      </c>
      <c r="B8" s="15" t="s">
        <v>156</v>
      </c>
      <c r="C8" s="14" t="s">
        <v>17</v>
      </c>
      <c r="D8" s="20">
        <f t="shared" si="0"/>
        <v>17.857142857142858</v>
      </c>
      <c r="E8" s="17">
        <f t="shared" si="1"/>
        <v>122</v>
      </c>
      <c r="F8" s="18">
        <v>1</v>
      </c>
      <c r="G8" s="17">
        <f t="shared" si="2"/>
        <v>2178.5714285714284</v>
      </c>
      <c r="H8" s="83">
        <f t="shared" si="3"/>
        <v>2178.5714285714284</v>
      </c>
      <c r="I8" s="15">
        <f>VLOOKUP(B8,Ordering!$A$1:$J$83,6,FALSE)</f>
        <v>1</v>
      </c>
      <c r="J8" s="15">
        <f>VLOOKUP(B8,Ordering!$A$1:$J$83,10,FALSE)</f>
        <v>1.7</v>
      </c>
      <c r="K8" s="23">
        <f t="shared" si="5"/>
        <v>2.1785714285714284</v>
      </c>
      <c r="L8" s="95">
        <f t="shared" si="4"/>
        <v>3.7035714285714283</v>
      </c>
      <c r="N8" s="1">
        <v>1250</v>
      </c>
      <c r="V8" s="89" t="s">
        <v>248</v>
      </c>
      <c r="W8" s="90">
        <v>1</v>
      </c>
      <c r="X8" s="89" t="s">
        <v>14</v>
      </c>
      <c r="Y8" s="91">
        <f>SUM(L5:L12)/S15</f>
        <v>0.45471312560111765</v>
      </c>
    </row>
    <row r="9" spans="1:25" ht="15" customHeight="1" thickTop="1" thickBot="1" x14ac:dyDescent="0.55000000000000004">
      <c r="A9" s="15" t="s">
        <v>49</v>
      </c>
      <c r="B9" s="15" t="s">
        <v>132</v>
      </c>
      <c r="C9" s="14" t="s">
        <v>17</v>
      </c>
      <c r="D9" s="20">
        <f t="shared" si="0"/>
        <v>0.7142857142857143</v>
      </c>
      <c r="E9" s="17">
        <f t="shared" si="1"/>
        <v>122</v>
      </c>
      <c r="F9" s="18">
        <v>1</v>
      </c>
      <c r="G9" s="17">
        <f t="shared" si="2"/>
        <v>87.142857142857139</v>
      </c>
      <c r="H9" s="83">
        <f t="shared" si="3"/>
        <v>87.142857142857139</v>
      </c>
      <c r="I9" s="15">
        <f>VLOOKUP(B9,Ordering!$A$1:$J$83,6,FALSE)</f>
        <v>1</v>
      </c>
      <c r="J9" s="15">
        <f>VLOOKUP(B9,Ordering!$A$1:$J$83,10,FALSE)</f>
        <v>7.9</v>
      </c>
      <c r="K9" s="23">
        <f t="shared" si="5"/>
        <v>8.7142857142857133E-2</v>
      </c>
      <c r="L9" s="95">
        <f t="shared" si="4"/>
        <v>0.68842857142857139</v>
      </c>
      <c r="N9" s="1">
        <v>50</v>
      </c>
    </row>
    <row r="10" spans="1:25" ht="15" customHeight="1" thickTop="1" thickBot="1" x14ac:dyDescent="0.55000000000000004">
      <c r="A10" s="14" t="s">
        <v>49</v>
      </c>
      <c r="B10" s="15" t="s">
        <v>131</v>
      </c>
      <c r="C10" s="14" t="s">
        <v>17</v>
      </c>
      <c r="D10" s="20">
        <f t="shared" si="0"/>
        <v>0.2857142857142857</v>
      </c>
      <c r="E10" s="17">
        <f t="shared" si="1"/>
        <v>122</v>
      </c>
      <c r="F10" s="18">
        <v>1</v>
      </c>
      <c r="G10" s="17">
        <f t="shared" si="2"/>
        <v>34.857142857142854</v>
      </c>
      <c r="H10" s="83">
        <f t="shared" si="3"/>
        <v>34.857142857142854</v>
      </c>
      <c r="I10" s="15">
        <f>VLOOKUP(B10,Ordering!$A$1:$J$83,6,FALSE)</f>
        <v>1</v>
      </c>
      <c r="J10" s="15">
        <f>VLOOKUP(B10,Ordering!$A$1:$J$83,10,FALSE)</f>
        <v>24.305555555555557</v>
      </c>
      <c r="K10" s="23">
        <f t="shared" si="5"/>
        <v>3.4857142857142857E-2</v>
      </c>
      <c r="L10" s="95">
        <f t="shared" si="4"/>
        <v>0.84722222222222232</v>
      </c>
      <c r="N10" s="1">
        <v>20</v>
      </c>
      <c r="R10" s="119" t="s">
        <v>76</v>
      </c>
      <c r="S10" s="120"/>
    </row>
    <row r="11" spans="1:25" ht="15" customHeight="1" thickTop="1" thickBot="1" x14ac:dyDescent="0.55000000000000004">
      <c r="A11" s="14" t="s">
        <v>50</v>
      </c>
      <c r="B11" s="15" t="s">
        <v>165</v>
      </c>
      <c r="C11" s="14" t="s">
        <v>17</v>
      </c>
      <c r="D11" s="20">
        <f t="shared" si="0"/>
        <v>12.142857142857142</v>
      </c>
      <c r="E11" s="17">
        <f t="shared" si="1"/>
        <v>122</v>
      </c>
      <c r="F11" s="18">
        <v>1</v>
      </c>
      <c r="G11" s="17">
        <f t="shared" si="2"/>
        <v>1481.4285714285713</v>
      </c>
      <c r="H11" s="83">
        <f t="shared" si="3"/>
        <v>1481.4285714285713</v>
      </c>
      <c r="I11" s="15">
        <f>VLOOKUP(B11,Ordering!$A$1:$J$83,6,FALSE)</f>
        <v>0.38</v>
      </c>
      <c r="J11" s="15">
        <f>VLOOKUP(B11,Ordering!$A$1:$J$83,10,FALSE)</f>
        <v>4.5</v>
      </c>
      <c r="K11" s="23">
        <f t="shared" si="5"/>
        <v>3.8984962406015033</v>
      </c>
      <c r="L11" s="95">
        <f t="shared" si="4"/>
        <v>17.543233082706767</v>
      </c>
      <c r="N11" s="1">
        <v>850</v>
      </c>
      <c r="R11" s="119" t="s">
        <v>18</v>
      </c>
      <c r="S11" s="120"/>
    </row>
    <row r="12" spans="1:25" ht="15" customHeight="1" thickTop="1" thickBot="1" x14ac:dyDescent="0.55000000000000004">
      <c r="A12" s="14" t="s">
        <v>256</v>
      </c>
      <c r="B12" s="15" t="s">
        <v>165</v>
      </c>
      <c r="C12" s="14" t="s">
        <v>17</v>
      </c>
      <c r="D12" s="20">
        <f t="shared" si="0"/>
        <v>1.4285714285714286</v>
      </c>
      <c r="E12" s="17">
        <f t="shared" si="1"/>
        <v>122</v>
      </c>
      <c r="F12" s="18">
        <v>1</v>
      </c>
      <c r="G12" s="17">
        <f t="shared" si="2"/>
        <v>174.28571428571428</v>
      </c>
      <c r="H12" s="83">
        <f t="shared" si="3"/>
        <v>174.28571428571428</v>
      </c>
      <c r="I12" s="97">
        <f>70/1040</f>
        <v>6.7307692307692304E-2</v>
      </c>
      <c r="J12" s="15">
        <f>VLOOKUP(B12,Ordering!$A$1:$J$83,10,FALSE)</f>
        <v>4.5</v>
      </c>
      <c r="K12" s="23">
        <f t="shared" ref="K12" si="6">((H12/(I12))/1000)</f>
        <v>2.5893877551020408</v>
      </c>
      <c r="L12" s="95">
        <f t="shared" ref="L12" si="7">J12*K12</f>
        <v>11.652244897959184</v>
      </c>
      <c r="N12" s="1">
        <v>100</v>
      </c>
      <c r="R12" s="5" t="s">
        <v>19</v>
      </c>
      <c r="S12" s="5" t="s">
        <v>20</v>
      </c>
    </row>
    <row r="13" spans="1:25" ht="15" customHeight="1" thickTop="1" x14ac:dyDescent="0.5">
      <c r="R13" s="5" t="s">
        <v>21</v>
      </c>
      <c r="S13" s="47">
        <v>120</v>
      </c>
    </row>
    <row r="14" spans="1:25" ht="14.75" customHeight="1" x14ac:dyDescent="0.5">
      <c r="R14" s="5" t="s">
        <v>22</v>
      </c>
      <c r="S14" s="14">
        <v>2</v>
      </c>
    </row>
    <row r="15" spans="1:25" x14ac:dyDescent="0.5">
      <c r="R15" s="5" t="s">
        <v>23</v>
      </c>
      <c r="S15" s="48">
        <f>S13+S14</f>
        <v>122</v>
      </c>
    </row>
    <row r="16" spans="1:25" x14ac:dyDescent="0.5">
      <c r="R16" s="92" t="s">
        <v>14</v>
      </c>
      <c r="S16" s="93">
        <f>SUM(L5:L12)</f>
        <v>55.47500132333635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2">
    <tabColor theme="4" tint="-0.249977111117893"/>
    <pageSetUpPr fitToPage="1"/>
  </sheetPr>
  <dimension ref="A1:Y16"/>
  <sheetViews>
    <sheetView topLeftCell="C1" zoomScale="55" zoomScaleNormal="55" zoomScaleSheetLayoutView="100" workbookViewId="0">
      <selection activeCell="T26" sqref="T26"/>
    </sheetView>
  </sheetViews>
  <sheetFormatPr defaultRowHeight="14.35" x14ac:dyDescent="0.5"/>
  <cols>
    <col min="1" max="1" width="17.64453125" bestFit="1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5.820312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230</v>
      </c>
      <c r="G1" s="4"/>
      <c r="H1" s="38" t="s">
        <v>2</v>
      </c>
      <c r="I1" s="13">
        <f>F1/B1</f>
        <v>230</v>
      </c>
      <c r="J1" s="4"/>
      <c r="K1" s="38"/>
    </row>
    <row r="2" spans="1:25" ht="14.25" customHeight="1" x14ac:dyDescent="0.5">
      <c r="A2" s="42"/>
      <c r="B2" s="117" t="s">
        <v>37</v>
      </c>
      <c r="C2" s="117"/>
      <c r="D2" s="117"/>
      <c r="E2" s="117"/>
      <c r="F2" s="117"/>
      <c r="G2" s="117"/>
      <c r="H2" s="117"/>
      <c r="I2" s="41"/>
      <c r="J2" s="43"/>
      <c r="K2" s="42"/>
    </row>
    <row r="3" spans="1:25" ht="14.25" customHeight="1" x14ac:dyDescent="0.5">
      <c r="A3" s="46"/>
      <c r="B3" s="118" t="s">
        <v>80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49</v>
      </c>
      <c r="B5" s="15" t="s">
        <v>120</v>
      </c>
      <c r="C5" s="15" t="s">
        <v>16</v>
      </c>
      <c r="D5" s="20">
        <f t="shared" ref="D5:D12" si="0">N5/70</f>
        <v>10</v>
      </c>
      <c r="E5" s="17">
        <f t="shared" ref="E5:E16" si="1">$I$1</f>
        <v>230</v>
      </c>
      <c r="F5" s="18">
        <v>1</v>
      </c>
      <c r="G5" s="17">
        <f t="shared" ref="G5:G15" si="2">E5*D5</f>
        <v>2300</v>
      </c>
      <c r="H5" s="83">
        <f t="shared" ref="H5:H15" si="3">G5*F5</f>
        <v>2300</v>
      </c>
      <c r="I5" s="23">
        <f>VLOOKUP(B5,Ordering!$A$1:$J$83,6,FALSE)</f>
        <v>1</v>
      </c>
      <c r="J5" s="23">
        <f>VLOOKUP(B5,Ordering!$A$1:$J$83,10,FALSE)</f>
        <v>0</v>
      </c>
      <c r="K5" s="23">
        <f t="shared" ref="K5:K16" si="4">((H5/(I5))/1000)</f>
        <v>2.2999999999999998</v>
      </c>
      <c r="L5" s="95">
        <f t="shared" ref="L5:L16" si="5">J5*K5</f>
        <v>0</v>
      </c>
      <c r="N5" s="3">
        <v>700</v>
      </c>
    </row>
    <row r="6" spans="1:25" ht="15" customHeight="1" thickTop="1" thickBot="1" x14ac:dyDescent="0.55000000000000004">
      <c r="A6" s="15" t="s">
        <v>49</v>
      </c>
      <c r="B6" s="15" t="s">
        <v>170</v>
      </c>
      <c r="C6" s="15" t="s">
        <v>17</v>
      </c>
      <c r="D6" s="20">
        <f t="shared" si="0"/>
        <v>9.6428571428571423</v>
      </c>
      <c r="E6" s="17">
        <f t="shared" si="1"/>
        <v>230</v>
      </c>
      <c r="F6" s="18">
        <v>1</v>
      </c>
      <c r="G6" s="17">
        <f t="shared" si="2"/>
        <v>2217.8571428571427</v>
      </c>
      <c r="H6" s="83">
        <f t="shared" si="3"/>
        <v>2217.8571428571427</v>
      </c>
      <c r="I6" s="23">
        <f>VLOOKUP(B6,Ordering!$A$1:$J$83,6,FALSE)</f>
        <v>1</v>
      </c>
      <c r="J6" s="23">
        <f>VLOOKUP(B6,Ordering!$A$1:$J$83,10,FALSE)</f>
        <v>5.882352941176471</v>
      </c>
      <c r="K6" s="23">
        <f t="shared" si="4"/>
        <v>2.2178571428571425</v>
      </c>
      <c r="L6" s="95">
        <f t="shared" si="5"/>
        <v>13.046218487394958</v>
      </c>
      <c r="N6" s="3">
        <v>675</v>
      </c>
    </row>
    <row r="7" spans="1:25" ht="15" customHeight="1" thickTop="1" thickBot="1" x14ac:dyDescent="0.55000000000000004">
      <c r="A7" s="15" t="s">
        <v>48</v>
      </c>
      <c r="B7" s="15" t="s">
        <v>128</v>
      </c>
      <c r="C7" s="15" t="s">
        <v>17</v>
      </c>
      <c r="D7" s="20">
        <f t="shared" si="0"/>
        <v>2.8571428571428572</v>
      </c>
      <c r="E7" s="17">
        <f t="shared" si="1"/>
        <v>230</v>
      </c>
      <c r="F7" s="18">
        <v>1</v>
      </c>
      <c r="G7" s="17">
        <f t="shared" si="2"/>
        <v>657.14285714285711</v>
      </c>
      <c r="H7" s="83">
        <f t="shared" si="3"/>
        <v>657.14285714285711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4"/>
        <v>0.65714285714285714</v>
      </c>
      <c r="L7" s="95">
        <f t="shared" si="5"/>
        <v>1.7742857142857145</v>
      </c>
      <c r="N7" s="3">
        <v>200</v>
      </c>
    </row>
    <row r="8" spans="1:25" ht="15" customHeight="1" thickTop="1" thickBot="1" x14ac:dyDescent="0.55000000000000004">
      <c r="A8" s="15" t="s">
        <v>53</v>
      </c>
      <c r="B8" s="15" t="s">
        <v>159</v>
      </c>
      <c r="C8" s="15" t="s">
        <v>17</v>
      </c>
      <c r="D8" s="20">
        <f t="shared" si="0"/>
        <v>7.1428571428571425E-2</v>
      </c>
      <c r="E8" s="17">
        <f t="shared" si="1"/>
        <v>230</v>
      </c>
      <c r="F8" s="18">
        <v>1</v>
      </c>
      <c r="G8" s="17">
        <f t="shared" si="2"/>
        <v>16.428571428571427</v>
      </c>
      <c r="H8" s="83">
        <f t="shared" si="3"/>
        <v>16.428571428571427</v>
      </c>
      <c r="I8" s="23">
        <f>VLOOKUP(B8,Ordering!$A$1:$J$83,6,FALSE)</f>
        <v>1</v>
      </c>
      <c r="J8" s="23">
        <f>VLOOKUP(B8,Ordering!$A$1:$J$83,10,FALSE)</f>
        <v>14</v>
      </c>
      <c r="K8" s="23">
        <f t="shared" si="4"/>
        <v>1.6428571428571428E-2</v>
      </c>
      <c r="L8" s="95">
        <f t="shared" si="5"/>
        <v>0.22999999999999998</v>
      </c>
      <c r="N8" s="3">
        <v>5</v>
      </c>
      <c r="V8" s="89" t="s">
        <v>248</v>
      </c>
      <c r="W8" s="90">
        <v>1</v>
      </c>
      <c r="X8" s="89" t="s">
        <v>14</v>
      </c>
      <c r="Y8" s="91">
        <f>SUM(L5:L16)/S15</f>
        <v>0.29327864145658261</v>
      </c>
    </row>
    <row r="9" spans="1:25" ht="15" customHeight="1" thickTop="1" thickBot="1" x14ac:dyDescent="0.55000000000000004">
      <c r="A9" s="15" t="s">
        <v>53</v>
      </c>
      <c r="B9" s="15" t="s">
        <v>160</v>
      </c>
      <c r="C9" s="15" t="s">
        <v>17</v>
      </c>
      <c r="D9" s="20">
        <f t="shared" si="0"/>
        <v>7.1428571428571425E-2</v>
      </c>
      <c r="E9" s="17">
        <f t="shared" si="1"/>
        <v>230</v>
      </c>
      <c r="F9" s="18">
        <v>1</v>
      </c>
      <c r="G9" s="17">
        <f t="shared" si="2"/>
        <v>16.428571428571427</v>
      </c>
      <c r="H9" s="83">
        <f t="shared" si="3"/>
        <v>16.428571428571427</v>
      </c>
      <c r="I9" s="23">
        <f>VLOOKUP(B9,Ordering!$A$1:$J$83,6,FALSE)</f>
        <v>1</v>
      </c>
      <c r="J9" s="23">
        <f>VLOOKUP(B9,Ordering!$A$1:$J$83,10,FALSE)</f>
        <v>107</v>
      </c>
      <c r="K9" s="23">
        <f t="shared" si="4"/>
        <v>1.6428571428571428E-2</v>
      </c>
      <c r="L9" s="95">
        <f t="shared" si="5"/>
        <v>1.7578571428571428</v>
      </c>
      <c r="N9" s="3">
        <v>5</v>
      </c>
    </row>
    <row r="10" spans="1:25" ht="15" customHeight="1" thickTop="1" thickBot="1" x14ac:dyDescent="0.55000000000000004">
      <c r="A10" s="15" t="s">
        <v>49</v>
      </c>
      <c r="B10" s="15" t="s">
        <v>131</v>
      </c>
      <c r="C10" s="15" t="s">
        <v>17</v>
      </c>
      <c r="D10" s="20">
        <f t="shared" si="0"/>
        <v>0.21428571428571427</v>
      </c>
      <c r="E10" s="17">
        <f t="shared" si="1"/>
        <v>230</v>
      </c>
      <c r="F10" s="18">
        <v>1</v>
      </c>
      <c r="G10" s="17">
        <f t="shared" si="2"/>
        <v>49.285714285714285</v>
      </c>
      <c r="H10" s="83">
        <f t="shared" si="3"/>
        <v>49.285714285714285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4"/>
        <v>4.9285714285714287E-2</v>
      </c>
      <c r="L10" s="95">
        <f t="shared" si="5"/>
        <v>1.1979166666666667</v>
      </c>
      <c r="N10" s="3">
        <v>15</v>
      </c>
      <c r="R10" s="119" t="s">
        <v>77</v>
      </c>
      <c r="S10" s="120"/>
    </row>
    <row r="11" spans="1:25" ht="15" customHeight="1" thickTop="1" thickBot="1" x14ac:dyDescent="0.55000000000000004">
      <c r="A11" s="15" t="s">
        <v>30</v>
      </c>
      <c r="B11" s="15" t="s">
        <v>127</v>
      </c>
      <c r="C11" s="15" t="s">
        <v>17</v>
      </c>
      <c r="D11" s="20">
        <f t="shared" si="0"/>
        <v>5.7142857142857144</v>
      </c>
      <c r="E11" s="17">
        <f t="shared" si="1"/>
        <v>230</v>
      </c>
      <c r="F11" s="18">
        <v>1</v>
      </c>
      <c r="G11" s="17">
        <f t="shared" si="2"/>
        <v>1314.2857142857142</v>
      </c>
      <c r="H11" s="83">
        <f t="shared" si="3"/>
        <v>1314.2857142857142</v>
      </c>
      <c r="I11" s="23">
        <f>VLOOKUP(B11,Ordering!$A$1:$J$83,6,FALSE)</f>
        <v>1</v>
      </c>
      <c r="J11" s="23">
        <f>VLOOKUP(B11,Ordering!$A$1:$J$83,10,FALSE)</f>
        <v>14</v>
      </c>
      <c r="K11" s="23">
        <f t="shared" si="4"/>
        <v>1.3142857142857143</v>
      </c>
      <c r="L11" s="95">
        <f t="shared" si="5"/>
        <v>18.399999999999999</v>
      </c>
      <c r="N11" s="3">
        <v>400</v>
      </c>
      <c r="R11" s="119" t="s">
        <v>18</v>
      </c>
      <c r="S11" s="120"/>
    </row>
    <row r="12" spans="1:25" ht="15" customHeight="1" thickTop="1" thickBot="1" x14ac:dyDescent="0.55000000000000004">
      <c r="A12" s="15" t="s">
        <v>49</v>
      </c>
      <c r="B12" s="15" t="s">
        <v>132</v>
      </c>
      <c r="C12" s="15" t="s">
        <v>17</v>
      </c>
      <c r="D12" s="20">
        <f t="shared" si="0"/>
        <v>0.2857142857142857</v>
      </c>
      <c r="E12" s="17">
        <f t="shared" si="1"/>
        <v>230</v>
      </c>
      <c r="F12" s="18">
        <v>1</v>
      </c>
      <c r="G12" s="17">
        <f t="shared" si="2"/>
        <v>65.714285714285708</v>
      </c>
      <c r="H12" s="83">
        <f t="shared" si="3"/>
        <v>65.714285714285708</v>
      </c>
      <c r="I12" s="23">
        <f>VLOOKUP(B12,Ordering!$A$1:$J$83,6,FALSE)</f>
        <v>1</v>
      </c>
      <c r="J12" s="23">
        <f>VLOOKUP(B12,Ordering!$A$1:$J$83,10,FALSE)</f>
        <v>7.9</v>
      </c>
      <c r="K12" s="23">
        <f t="shared" si="4"/>
        <v>6.5714285714285711E-2</v>
      </c>
      <c r="L12" s="95">
        <f t="shared" si="5"/>
        <v>0.51914285714285713</v>
      </c>
      <c r="N12" s="3">
        <v>20</v>
      </c>
      <c r="R12" s="5" t="s">
        <v>19</v>
      </c>
      <c r="S12" s="5" t="s">
        <v>20</v>
      </c>
    </row>
    <row r="13" spans="1:25" ht="15" customHeight="1" thickTop="1" thickBot="1" x14ac:dyDescent="0.55000000000000004">
      <c r="A13" s="15" t="s">
        <v>54</v>
      </c>
      <c r="B13" s="15" t="s">
        <v>177</v>
      </c>
      <c r="C13" s="15" t="s">
        <v>17</v>
      </c>
      <c r="D13" s="20">
        <f>N13/70</f>
        <v>10</v>
      </c>
      <c r="E13" s="17">
        <f t="shared" si="1"/>
        <v>230</v>
      </c>
      <c r="F13" s="18">
        <v>1</v>
      </c>
      <c r="G13" s="17">
        <f t="shared" si="2"/>
        <v>2300</v>
      </c>
      <c r="H13" s="83">
        <f t="shared" si="3"/>
        <v>2300</v>
      </c>
      <c r="I13" s="23">
        <f>VLOOKUP(B13,Ordering!$A$1:$J$83,6,FALSE)</f>
        <v>1</v>
      </c>
      <c r="J13" s="23">
        <f>VLOOKUP(B13,Ordering!$A$1:$J$83,10,FALSE)</f>
        <v>4.333333333333333</v>
      </c>
      <c r="K13" s="23">
        <f t="shared" si="4"/>
        <v>2.2999999999999998</v>
      </c>
      <c r="L13" s="95">
        <f t="shared" si="5"/>
        <v>9.966666666666665</v>
      </c>
      <c r="N13" s="3">
        <v>700</v>
      </c>
      <c r="R13" s="5" t="s">
        <v>21</v>
      </c>
      <c r="S13" s="47">
        <v>228</v>
      </c>
    </row>
    <row r="14" spans="1:25" ht="15" customHeight="1" thickTop="1" x14ac:dyDescent="0.5">
      <c r="A14" s="15"/>
      <c r="B14" s="15" t="s">
        <v>140</v>
      </c>
      <c r="C14" s="15" t="s">
        <v>17</v>
      </c>
      <c r="D14" s="20">
        <v>11.428571428571429</v>
      </c>
      <c r="E14" s="17">
        <f t="shared" si="1"/>
        <v>230</v>
      </c>
      <c r="F14" s="18">
        <v>1</v>
      </c>
      <c r="G14" s="17">
        <f t="shared" ref="G14" si="6">E14*D14</f>
        <v>2628.5714285714284</v>
      </c>
      <c r="H14" s="83">
        <f t="shared" ref="H14" si="7">G14*F14</f>
        <v>2628.5714285714284</v>
      </c>
      <c r="I14" s="23">
        <f>VLOOKUP(B14,Ordering!$A$1:$J$83,6,FALSE)</f>
        <v>1</v>
      </c>
      <c r="J14" s="23">
        <f>VLOOKUP(B14,Ordering!$A$1:$J$83,10,FALSE)</f>
        <v>6.96</v>
      </c>
      <c r="K14" s="23">
        <f t="shared" si="4"/>
        <v>2.6285714285714286</v>
      </c>
      <c r="L14" s="95">
        <f t="shared" si="5"/>
        <v>18.294857142857143</v>
      </c>
      <c r="N14" s="28">
        <v>30</v>
      </c>
      <c r="R14" s="5" t="s">
        <v>22</v>
      </c>
      <c r="S14" s="14">
        <v>2</v>
      </c>
    </row>
    <row r="15" spans="1:25" x14ac:dyDescent="0.5">
      <c r="A15" s="15" t="s">
        <v>53</v>
      </c>
      <c r="B15" s="15" t="s">
        <v>151</v>
      </c>
      <c r="C15" s="15" t="s">
        <v>17</v>
      </c>
      <c r="D15" s="20">
        <f>N14/70</f>
        <v>0.42857142857142855</v>
      </c>
      <c r="E15" s="17">
        <f t="shared" si="1"/>
        <v>230</v>
      </c>
      <c r="F15" s="18">
        <v>1</v>
      </c>
      <c r="G15" s="17">
        <f t="shared" si="2"/>
        <v>98.571428571428569</v>
      </c>
      <c r="H15" s="83">
        <f t="shared" si="3"/>
        <v>98.571428571428569</v>
      </c>
      <c r="I15" s="23">
        <f>VLOOKUP(B15,Ordering!$A$1:$J$83,6,FALSE)</f>
        <v>1</v>
      </c>
      <c r="J15" s="23">
        <f>VLOOKUP(B15,Ordering!$A$1:$J$83,10,FALSE)</f>
        <v>10</v>
      </c>
      <c r="K15" s="23">
        <f t="shared" si="4"/>
        <v>9.8571428571428574E-2</v>
      </c>
      <c r="L15" s="95">
        <f t="shared" si="5"/>
        <v>0.98571428571428577</v>
      </c>
      <c r="N15" s="28">
        <v>30</v>
      </c>
      <c r="R15" s="5" t="s">
        <v>23</v>
      </c>
      <c r="S15" s="48">
        <f>S13+S14</f>
        <v>230</v>
      </c>
    </row>
    <row r="16" spans="1:25" x14ac:dyDescent="0.5">
      <c r="A16" s="15" t="s">
        <v>53</v>
      </c>
      <c r="B16" s="15" t="s">
        <v>158</v>
      </c>
      <c r="C16" s="15" t="s">
        <v>17</v>
      </c>
      <c r="D16" s="20">
        <f>N15/70</f>
        <v>0.42857142857142855</v>
      </c>
      <c r="E16" s="17">
        <f t="shared" si="1"/>
        <v>230</v>
      </c>
      <c r="F16" s="18">
        <v>1</v>
      </c>
      <c r="G16" s="17">
        <f t="shared" ref="G16" si="8">E16*D16</f>
        <v>98.571428571428569</v>
      </c>
      <c r="H16" s="83">
        <f t="shared" ref="H16" si="9">G16*F16</f>
        <v>98.571428571428569</v>
      </c>
      <c r="I16" s="23">
        <f>VLOOKUP(B16,Ordering!$A$1:$J$83,6,FALSE)</f>
        <v>1</v>
      </c>
      <c r="J16" s="23">
        <f>VLOOKUP(B16,Ordering!$A$1:$J$83,10,FALSE)</f>
        <v>13</v>
      </c>
      <c r="K16" s="23">
        <f t="shared" si="4"/>
        <v>9.8571428571428574E-2</v>
      </c>
      <c r="L16" s="95">
        <f t="shared" si="5"/>
        <v>1.2814285714285714</v>
      </c>
      <c r="R16" s="92" t="s">
        <v>14</v>
      </c>
      <c r="S16" s="93">
        <f>SUM(L5:L16)</f>
        <v>67.454087535013997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BE277-62A0-4C3A-95A4-0982FDA2B9BF}">
  <sheetPr codeName="Sheet33">
    <tabColor theme="4" tint="-0.249977111117893"/>
    <pageSetUpPr fitToPage="1"/>
  </sheetPr>
  <dimension ref="A1:Y19"/>
  <sheetViews>
    <sheetView topLeftCell="B1" zoomScale="55" zoomScaleNormal="55" zoomScaleSheetLayoutView="100" workbookViewId="0">
      <selection activeCell="T26" sqref="T26"/>
    </sheetView>
  </sheetViews>
  <sheetFormatPr defaultRowHeight="14.35" x14ac:dyDescent="0.5"/>
  <cols>
    <col min="1" max="1" width="17.64453125" bestFit="1" customWidth="1"/>
    <col min="2" max="2" width="36.35156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8" max="18" width="13.05859375" customWidth="1"/>
    <col min="19" max="19" width="8.46875" bestFit="1" customWidth="1"/>
  </cols>
  <sheetData>
    <row r="1" spans="1:25" x14ac:dyDescent="0.5">
      <c r="A1" s="38" t="s">
        <v>0</v>
      </c>
      <c r="B1" s="12">
        <v>1</v>
      </c>
      <c r="C1" s="4"/>
      <c r="D1" s="4"/>
      <c r="E1" s="38" t="s">
        <v>1</v>
      </c>
      <c r="F1" s="13">
        <f>S14</f>
        <v>273</v>
      </c>
      <c r="G1" s="4"/>
      <c r="H1" s="38" t="s">
        <v>2</v>
      </c>
      <c r="I1" s="13">
        <f>F1/B1</f>
        <v>273</v>
      </c>
      <c r="J1" s="4"/>
      <c r="K1" s="38"/>
    </row>
    <row r="2" spans="1:25" ht="14.25" customHeight="1" x14ac:dyDescent="0.5">
      <c r="A2" s="42"/>
      <c r="B2" s="128" t="s">
        <v>35</v>
      </c>
      <c r="C2" s="128"/>
      <c r="D2" s="128"/>
      <c r="E2" s="128"/>
      <c r="F2" s="128"/>
      <c r="G2" s="128"/>
      <c r="H2" s="128"/>
      <c r="I2" s="41"/>
      <c r="J2" s="43"/>
      <c r="K2" s="42"/>
    </row>
    <row r="3" spans="1:25" ht="14.25" customHeight="1" x14ac:dyDescent="0.5">
      <c r="A3" s="46"/>
      <c r="B3" s="129" t="s">
        <v>79</v>
      </c>
      <c r="C3" s="129"/>
      <c r="D3" s="129"/>
      <c r="E3" s="129"/>
      <c r="F3" s="129"/>
      <c r="G3" s="129"/>
      <c r="H3" s="129"/>
      <c r="I3" s="84"/>
      <c r="J3" s="85"/>
      <c r="K3" s="86"/>
    </row>
    <row r="4" spans="1:25" ht="39.75" customHeight="1" thickBot="1" x14ac:dyDescent="0.55000000000000004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5" ht="15" customHeight="1" thickTop="1" thickBot="1" x14ac:dyDescent="0.55000000000000004">
      <c r="A5" s="15" t="s">
        <v>30</v>
      </c>
      <c r="B5" s="15" t="s">
        <v>111</v>
      </c>
      <c r="C5" s="22" t="s">
        <v>15</v>
      </c>
      <c r="D5" s="20">
        <f t="shared" ref="D5:D18" si="0">N5/54</f>
        <v>0.29629629629629628</v>
      </c>
      <c r="E5" s="17">
        <f t="shared" ref="E5:E18" si="1">$I$1</f>
        <v>273</v>
      </c>
      <c r="F5" s="18">
        <v>1</v>
      </c>
      <c r="G5" s="17">
        <f t="shared" ref="G5:G18" si="2">E5*D5</f>
        <v>80.888888888888886</v>
      </c>
      <c r="H5" s="83">
        <f t="shared" ref="H5:H18" si="3">G5*F5</f>
        <v>80.888888888888886</v>
      </c>
      <c r="I5" s="23">
        <f>VLOOKUP(B5,Ordering!$A$1:$J$83,6,FALSE)</f>
        <v>1</v>
      </c>
      <c r="J5" s="23">
        <f>VLOOKUP(B5,Ordering!$A$1:$J$83,10,FALSE)</f>
        <v>0.43333333333333335</v>
      </c>
      <c r="K5" s="23">
        <f>H5/I5</f>
        <v>80.888888888888886</v>
      </c>
      <c r="L5" s="95">
        <f t="shared" ref="L5:L18" si="4">J5*K5</f>
        <v>35.05185185185185</v>
      </c>
      <c r="N5" s="1">
        <v>16</v>
      </c>
    </row>
    <row r="6" spans="1:25" ht="15" customHeight="1" thickTop="1" thickBot="1" x14ac:dyDescent="0.55000000000000004">
      <c r="A6" s="15" t="s">
        <v>53</v>
      </c>
      <c r="B6" s="15" t="s">
        <v>228</v>
      </c>
      <c r="C6" s="22" t="s">
        <v>17</v>
      </c>
      <c r="D6" s="20">
        <f t="shared" si="0"/>
        <v>3.7037037037037038E-3</v>
      </c>
      <c r="E6" s="17">
        <f t="shared" si="1"/>
        <v>273</v>
      </c>
      <c r="F6" s="18">
        <v>1</v>
      </c>
      <c r="G6" s="17">
        <f t="shared" si="2"/>
        <v>1.0111111111111111</v>
      </c>
      <c r="H6" s="83">
        <f t="shared" si="3"/>
        <v>1.0111111111111111</v>
      </c>
      <c r="I6" s="23">
        <f>VLOOKUP(B6,Ordering!$A$1:$J$83,6,FALSE)</f>
        <v>1</v>
      </c>
      <c r="J6" s="23">
        <f>VLOOKUP(B6,Ordering!$A$1:$J$83,10,FALSE)</f>
        <v>22.5</v>
      </c>
      <c r="K6" s="23">
        <f t="shared" ref="K6:K18" si="5">((H6/(I6))/1000)</f>
        <v>1.0111111111111111E-3</v>
      </c>
      <c r="L6" s="95">
        <f t="shared" si="4"/>
        <v>2.2749999999999999E-2</v>
      </c>
      <c r="N6" s="1">
        <v>0.2</v>
      </c>
    </row>
    <row r="7" spans="1:25" ht="15" customHeight="1" thickTop="1" thickBot="1" x14ac:dyDescent="0.55000000000000004">
      <c r="A7" s="15" t="s">
        <v>48</v>
      </c>
      <c r="B7" s="15" t="s">
        <v>128</v>
      </c>
      <c r="C7" s="22" t="s">
        <v>17</v>
      </c>
      <c r="D7" s="20">
        <f t="shared" si="0"/>
        <v>9.2592592592592595</v>
      </c>
      <c r="E7" s="17">
        <f t="shared" si="1"/>
        <v>273</v>
      </c>
      <c r="F7" s="18">
        <v>1</v>
      </c>
      <c r="G7" s="17">
        <f t="shared" si="2"/>
        <v>2527.7777777777778</v>
      </c>
      <c r="H7" s="83">
        <f t="shared" si="3"/>
        <v>2527.7777777777778</v>
      </c>
      <c r="I7" s="23">
        <f>VLOOKUP(B7,Ordering!$A$1:$J$83,6,FALSE)</f>
        <v>1</v>
      </c>
      <c r="J7" s="23">
        <f>VLOOKUP(B7,Ordering!$A$1:$J$83,10,FALSE)</f>
        <v>2.7</v>
      </c>
      <c r="K7" s="23">
        <f t="shared" si="5"/>
        <v>2.5277777777777777</v>
      </c>
      <c r="L7" s="95">
        <f t="shared" si="4"/>
        <v>6.8250000000000002</v>
      </c>
      <c r="N7" s="1">
        <v>500</v>
      </c>
    </row>
    <row r="8" spans="1:25" ht="15" customHeight="1" thickTop="1" thickBot="1" x14ac:dyDescent="0.55000000000000004">
      <c r="A8" s="15" t="s">
        <v>30</v>
      </c>
      <c r="B8" s="15" t="s">
        <v>112</v>
      </c>
      <c r="C8" s="22" t="s">
        <v>16</v>
      </c>
      <c r="D8" s="20">
        <f t="shared" si="0"/>
        <v>1.8518518518518519</v>
      </c>
      <c r="E8" s="17">
        <f t="shared" si="1"/>
        <v>273</v>
      </c>
      <c r="F8" s="18">
        <v>1</v>
      </c>
      <c r="G8" s="17">
        <f t="shared" si="2"/>
        <v>505.55555555555554</v>
      </c>
      <c r="H8" s="83">
        <f t="shared" si="3"/>
        <v>505.55555555555554</v>
      </c>
      <c r="I8" s="23">
        <f>VLOOKUP(B8,Ordering!$A$1:$J$83,6,FALSE)</f>
        <v>1</v>
      </c>
      <c r="J8" s="23">
        <f>VLOOKUP(B8,Ordering!$A$1:$J$83,10,FALSE)</f>
        <v>4.2033333333333331</v>
      </c>
      <c r="K8" s="23">
        <f t="shared" si="5"/>
        <v>0.50555555555555554</v>
      </c>
      <c r="L8" s="95">
        <f t="shared" si="4"/>
        <v>2.1250185185185182</v>
      </c>
      <c r="N8" s="1">
        <v>100</v>
      </c>
      <c r="V8" s="89" t="s">
        <v>248</v>
      </c>
      <c r="W8" s="90">
        <v>1</v>
      </c>
      <c r="X8" s="89" t="s">
        <v>14</v>
      </c>
      <c r="Y8" s="106">
        <f>SUM(L5:L18)/S14</f>
        <v>1.3475420924459813</v>
      </c>
    </row>
    <row r="9" spans="1:25" ht="15" customHeight="1" thickTop="1" thickBot="1" x14ac:dyDescent="0.55000000000000004">
      <c r="A9" s="15" t="s">
        <v>53</v>
      </c>
      <c r="B9" s="15" t="s">
        <v>228</v>
      </c>
      <c r="C9" s="22" t="s">
        <v>17</v>
      </c>
      <c r="D9" s="20">
        <f t="shared" si="0"/>
        <v>3.7037037037037035E-2</v>
      </c>
      <c r="E9" s="17">
        <f t="shared" si="1"/>
        <v>273</v>
      </c>
      <c r="F9" s="18">
        <v>1</v>
      </c>
      <c r="G9" s="17">
        <f t="shared" si="2"/>
        <v>10.111111111111111</v>
      </c>
      <c r="H9" s="83">
        <f t="shared" si="3"/>
        <v>10.111111111111111</v>
      </c>
      <c r="I9" s="23">
        <f>VLOOKUP(B9,Ordering!$A$1:$J$83,6,FALSE)</f>
        <v>1</v>
      </c>
      <c r="J9" s="23">
        <f>VLOOKUP(B9,Ordering!$A$1:$J$83,10,FALSE)</f>
        <v>22.5</v>
      </c>
      <c r="K9" s="23">
        <f t="shared" si="5"/>
        <v>1.0111111111111111E-2</v>
      </c>
      <c r="L9" s="95">
        <f t="shared" si="4"/>
        <v>0.22749999999999998</v>
      </c>
      <c r="N9" s="1">
        <v>2</v>
      </c>
      <c r="R9" s="119" t="s">
        <v>78</v>
      </c>
      <c r="S9" s="120"/>
    </row>
    <row r="10" spans="1:25" ht="15" customHeight="1" thickTop="1" thickBot="1" x14ac:dyDescent="0.55000000000000004">
      <c r="A10" s="15" t="s">
        <v>49</v>
      </c>
      <c r="B10" s="15" t="s">
        <v>131</v>
      </c>
      <c r="C10" s="15" t="s">
        <v>17</v>
      </c>
      <c r="D10" s="20">
        <f t="shared" si="0"/>
        <v>0.37037037037037035</v>
      </c>
      <c r="E10" s="17">
        <f t="shared" si="1"/>
        <v>273</v>
      </c>
      <c r="F10" s="18">
        <v>1</v>
      </c>
      <c r="G10" s="17">
        <f t="shared" si="2"/>
        <v>101.1111111111111</v>
      </c>
      <c r="H10" s="83">
        <f t="shared" si="3"/>
        <v>101.1111111111111</v>
      </c>
      <c r="I10" s="23">
        <f>VLOOKUP(B10,Ordering!$A$1:$J$83,6,FALSE)</f>
        <v>1</v>
      </c>
      <c r="J10" s="23">
        <f>VLOOKUP(B10,Ordering!$A$1:$J$83,10,FALSE)</f>
        <v>24.305555555555557</v>
      </c>
      <c r="K10" s="23">
        <f t="shared" si="5"/>
        <v>0.1011111111111111</v>
      </c>
      <c r="L10" s="95">
        <f t="shared" si="4"/>
        <v>2.4575617283950617</v>
      </c>
      <c r="N10" s="1">
        <v>20</v>
      </c>
      <c r="R10" s="119" t="s">
        <v>18</v>
      </c>
      <c r="S10" s="120"/>
    </row>
    <row r="11" spans="1:25" ht="15" customHeight="1" thickTop="1" thickBot="1" x14ac:dyDescent="0.55000000000000004">
      <c r="A11" s="15" t="s">
        <v>49</v>
      </c>
      <c r="B11" s="15" t="s">
        <v>135</v>
      </c>
      <c r="C11" s="22" t="s">
        <v>17</v>
      </c>
      <c r="D11" s="20">
        <f t="shared" si="0"/>
        <v>1.8518518518518517E-2</v>
      </c>
      <c r="E11" s="17">
        <f t="shared" si="1"/>
        <v>273</v>
      </c>
      <c r="F11" s="18">
        <v>1</v>
      </c>
      <c r="G11" s="17">
        <f t="shared" si="2"/>
        <v>5.0555555555555554</v>
      </c>
      <c r="H11" s="83">
        <f t="shared" si="3"/>
        <v>5.0555555555555554</v>
      </c>
      <c r="I11" s="23">
        <f>VLOOKUP(B11,Ordering!$A$1:$J$83,6,FALSE)</f>
        <v>1</v>
      </c>
      <c r="J11" s="23">
        <f>VLOOKUP(B11,Ordering!$A$1:$J$83,10,FALSE)</f>
        <v>0.74</v>
      </c>
      <c r="K11" s="23">
        <f t="shared" si="5"/>
        <v>5.0555555555555553E-3</v>
      </c>
      <c r="L11" s="95">
        <f t="shared" si="4"/>
        <v>3.7411111111111109E-3</v>
      </c>
      <c r="N11" s="1">
        <v>1</v>
      </c>
      <c r="R11" s="5" t="s">
        <v>19</v>
      </c>
      <c r="S11" s="5" t="s">
        <v>20</v>
      </c>
    </row>
    <row r="12" spans="1:25" ht="15" customHeight="1" thickTop="1" thickBot="1" x14ac:dyDescent="0.55000000000000004">
      <c r="A12" s="15" t="s">
        <v>53</v>
      </c>
      <c r="B12" s="15" t="s">
        <v>149</v>
      </c>
      <c r="C12" s="22" t="s">
        <v>17</v>
      </c>
      <c r="D12" s="20">
        <f t="shared" si="0"/>
        <v>3.7037037037037035E-2</v>
      </c>
      <c r="E12" s="17">
        <f t="shared" si="1"/>
        <v>273</v>
      </c>
      <c r="F12" s="18">
        <v>1</v>
      </c>
      <c r="G12" s="17">
        <f t="shared" si="2"/>
        <v>10.111111111111111</v>
      </c>
      <c r="H12" s="83">
        <f t="shared" si="3"/>
        <v>10.111111111111111</v>
      </c>
      <c r="I12" s="23">
        <f>VLOOKUP(B12,Ordering!$A$1:$J$83,6,FALSE)</f>
        <v>1</v>
      </c>
      <c r="J12" s="23">
        <f>VLOOKUP(B12,Ordering!$A$1:$J$83,10,FALSE)</f>
        <v>9333.3333333333339</v>
      </c>
      <c r="K12" s="23">
        <f t="shared" si="5"/>
        <v>1.0111111111111111E-2</v>
      </c>
      <c r="L12" s="95">
        <f t="shared" si="4"/>
        <v>94.370370370370367</v>
      </c>
      <c r="N12" s="1">
        <v>2</v>
      </c>
      <c r="R12" s="5" t="s">
        <v>21</v>
      </c>
      <c r="S12" s="47">
        <v>271</v>
      </c>
    </row>
    <row r="13" spans="1:25" ht="15" customHeight="1" thickTop="1" thickBot="1" x14ac:dyDescent="0.55000000000000004">
      <c r="A13" s="15" t="s">
        <v>50</v>
      </c>
      <c r="B13" s="15" t="s">
        <v>156</v>
      </c>
      <c r="C13" s="22" t="s">
        <v>17</v>
      </c>
      <c r="D13" s="20">
        <f t="shared" si="0"/>
        <v>8.7222222222222214</v>
      </c>
      <c r="E13" s="17">
        <f t="shared" si="1"/>
        <v>273</v>
      </c>
      <c r="F13" s="18">
        <v>1</v>
      </c>
      <c r="G13" s="17">
        <f t="shared" si="2"/>
        <v>2381.1666666666665</v>
      </c>
      <c r="H13" s="83">
        <f t="shared" si="3"/>
        <v>2381.1666666666665</v>
      </c>
      <c r="I13" s="23">
        <f>VLOOKUP(B13,Ordering!$A$1:$J$83,6,FALSE)</f>
        <v>1</v>
      </c>
      <c r="J13" s="23">
        <f>VLOOKUP(B13,Ordering!$A$1:$J$83,10,FALSE)</f>
        <v>1.7</v>
      </c>
      <c r="K13" s="23">
        <f t="shared" si="5"/>
        <v>2.3811666666666667</v>
      </c>
      <c r="L13" s="95">
        <f t="shared" si="4"/>
        <v>4.0479833333333328</v>
      </c>
      <c r="N13" s="1">
        <v>471</v>
      </c>
      <c r="R13" s="5" t="s">
        <v>22</v>
      </c>
      <c r="S13" s="14">
        <v>2</v>
      </c>
    </row>
    <row r="14" spans="1:25" ht="15" customHeight="1" thickTop="1" thickBot="1" x14ac:dyDescent="0.55000000000000004">
      <c r="A14" s="15" t="s">
        <v>48</v>
      </c>
      <c r="B14" s="15" t="s">
        <v>129</v>
      </c>
      <c r="C14" s="22" t="s">
        <v>16</v>
      </c>
      <c r="D14" s="20">
        <f t="shared" si="0"/>
        <v>37.037037037037038</v>
      </c>
      <c r="E14" s="17">
        <f t="shared" si="1"/>
        <v>273</v>
      </c>
      <c r="F14" s="18">
        <v>1</v>
      </c>
      <c r="G14" s="17">
        <f t="shared" si="2"/>
        <v>10111.111111111111</v>
      </c>
      <c r="H14" s="83">
        <f t="shared" si="3"/>
        <v>10111.111111111111</v>
      </c>
      <c r="I14" s="23">
        <f>VLOOKUP(B14,Ordering!$A$1:$J$83,6,FALSE)</f>
        <v>1</v>
      </c>
      <c r="J14" s="23">
        <f>VLOOKUP(B14,Ordering!$A$1:$J$83,10,FALSE)</f>
        <v>11.824324324324323</v>
      </c>
      <c r="K14" s="23">
        <f t="shared" si="5"/>
        <v>10.111111111111111</v>
      </c>
      <c r="L14" s="95">
        <f t="shared" si="4"/>
        <v>119.55705705705704</v>
      </c>
      <c r="N14" s="1">
        <v>2000</v>
      </c>
      <c r="R14" s="5" t="s">
        <v>23</v>
      </c>
      <c r="S14" s="48">
        <f>S12+S13</f>
        <v>273</v>
      </c>
    </row>
    <row r="15" spans="1:25" ht="15" customHeight="1" thickTop="1" thickBot="1" x14ac:dyDescent="0.55000000000000004">
      <c r="A15" s="15" t="s">
        <v>30</v>
      </c>
      <c r="B15" s="15" t="s">
        <v>125</v>
      </c>
      <c r="C15" s="22" t="s">
        <v>16</v>
      </c>
      <c r="D15" s="20">
        <f t="shared" si="0"/>
        <v>37.037037037037038</v>
      </c>
      <c r="E15" s="17">
        <f t="shared" si="1"/>
        <v>273</v>
      </c>
      <c r="F15" s="18">
        <v>1</v>
      </c>
      <c r="G15" s="17">
        <f t="shared" si="2"/>
        <v>10111.111111111111</v>
      </c>
      <c r="H15" s="83">
        <f t="shared" si="3"/>
        <v>10111.111111111111</v>
      </c>
      <c r="I15" s="23">
        <f>VLOOKUP(B15,Ordering!$A$1:$J$83,6,FALSE)</f>
        <v>1</v>
      </c>
      <c r="J15" s="23">
        <f>VLOOKUP(B15,Ordering!$A$1:$J$83,10,FALSE)</f>
        <v>6.0606060606060606</v>
      </c>
      <c r="K15" s="23">
        <f t="shared" si="5"/>
        <v>10.111111111111111</v>
      </c>
      <c r="L15" s="95">
        <f t="shared" si="4"/>
        <v>61.279461279461273</v>
      </c>
      <c r="N15" s="1">
        <v>2000</v>
      </c>
      <c r="R15" s="92" t="s">
        <v>14</v>
      </c>
      <c r="S15" s="93">
        <f>SUM(L5:L18)</f>
        <v>367.87899123775293</v>
      </c>
    </row>
    <row r="16" spans="1:25" ht="15" customHeight="1" thickTop="1" thickBot="1" x14ac:dyDescent="0.55000000000000004">
      <c r="A16" s="15" t="s">
        <v>53</v>
      </c>
      <c r="B16" s="15" t="s">
        <v>228</v>
      </c>
      <c r="C16" s="22" t="s">
        <v>17</v>
      </c>
      <c r="D16" s="20">
        <f t="shared" si="0"/>
        <v>9.2592592592592587E-2</v>
      </c>
      <c r="E16" s="17">
        <f t="shared" si="1"/>
        <v>273</v>
      </c>
      <c r="F16" s="18">
        <v>1</v>
      </c>
      <c r="G16" s="17">
        <f t="shared" si="2"/>
        <v>25.277777777777775</v>
      </c>
      <c r="H16" s="83">
        <f t="shared" si="3"/>
        <v>25.277777777777775</v>
      </c>
      <c r="I16" s="23">
        <f>VLOOKUP(B16,Ordering!$A$1:$J$83,6,FALSE)</f>
        <v>1</v>
      </c>
      <c r="J16" s="23">
        <f>VLOOKUP(B16,Ordering!$A$1:$J$83,10,FALSE)</f>
        <v>22.5</v>
      </c>
      <c r="K16" s="23">
        <f t="shared" si="5"/>
        <v>2.5277777777777774E-2</v>
      </c>
      <c r="L16" s="95">
        <f t="shared" si="4"/>
        <v>0.56874999999999987</v>
      </c>
      <c r="N16" s="1">
        <v>5</v>
      </c>
    </row>
    <row r="17" spans="1:14" ht="15" customHeight="1" thickTop="1" thickBot="1" x14ac:dyDescent="0.55000000000000004">
      <c r="A17" s="15" t="s">
        <v>53</v>
      </c>
      <c r="B17" s="15" t="s">
        <v>150</v>
      </c>
      <c r="C17" s="22" t="s">
        <v>17</v>
      </c>
      <c r="D17" s="20">
        <f t="shared" si="0"/>
        <v>3.7037037037037035E-2</v>
      </c>
      <c r="E17" s="17">
        <f t="shared" si="1"/>
        <v>273</v>
      </c>
      <c r="F17" s="18">
        <v>1</v>
      </c>
      <c r="G17" s="17">
        <f t="shared" si="2"/>
        <v>10.111111111111111</v>
      </c>
      <c r="H17" s="17">
        <f t="shared" si="3"/>
        <v>10.111111111111111</v>
      </c>
      <c r="I17" s="23">
        <f>VLOOKUP(B17,Ordering!$A$1:$J$83,6,FALSE)</f>
        <v>1</v>
      </c>
      <c r="J17" s="23">
        <f>VLOOKUP(B17,Ordering!$A$1:$J$83,10,FALSE)</f>
        <v>26.263888888888889</v>
      </c>
      <c r="K17" s="23">
        <f t="shared" si="5"/>
        <v>1.0111111111111111E-2</v>
      </c>
      <c r="L17" s="95">
        <f t="shared" si="4"/>
        <v>0.2655570987654321</v>
      </c>
      <c r="N17" s="1">
        <v>2</v>
      </c>
    </row>
    <row r="18" spans="1:14" ht="15" customHeight="1" thickTop="1" x14ac:dyDescent="0.5">
      <c r="A18" s="15" t="s">
        <v>30</v>
      </c>
      <c r="B18" s="15" t="s">
        <v>122</v>
      </c>
      <c r="C18" s="22" t="s">
        <v>17</v>
      </c>
      <c r="D18" s="20">
        <f t="shared" si="0"/>
        <v>13.888888888888889</v>
      </c>
      <c r="E18" s="17">
        <f t="shared" si="1"/>
        <v>273</v>
      </c>
      <c r="F18" s="18">
        <v>1</v>
      </c>
      <c r="G18" s="17">
        <f t="shared" si="2"/>
        <v>3791.666666666667</v>
      </c>
      <c r="H18" s="17">
        <f t="shared" si="3"/>
        <v>3791.666666666667</v>
      </c>
      <c r="I18" s="23">
        <f>VLOOKUP(B18,Ordering!$A$1:$J$83,6,FALSE)</f>
        <v>1</v>
      </c>
      <c r="J18" s="23">
        <f>VLOOKUP(B18,Ordering!$A$1:$J$83,10,FALSE)</f>
        <v>10.833333333333334</v>
      </c>
      <c r="K18" s="23">
        <f t="shared" si="5"/>
        <v>3.791666666666667</v>
      </c>
      <c r="L18" s="95">
        <f t="shared" si="4"/>
        <v>41.076388888888893</v>
      </c>
      <c r="N18" s="27">
        <v>750</v>
      </c>
    </row>
    <row r="19" spans="1:14" ht="14.75" customHeight="1" x14ac:dyDescent="0.5"/>
  </sheetData>
  <mergeCells count="4">
    <mergeCell ref="R9:S9"/>
    <mergeCell ref="R10:S10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47A6-5772-4894-A428-B1A1526DF8E8}">
  <sheetPr codeName="Sheet37">
    <tabColor theme="4" tint="-0.249977111117893"/>
    <pageSetUpPr fitToPage="1"/>
  </sheetPr>
  <dimension ref="A1:X16"/>
  <sheetViews>
    <sheetView topLeftCell="C1" zoomScale="55" zoomScaleNormal="55" zoomScaleSheetLayoutView="100" workbookViewId="0">
      <selection activeCell="T26" sqref="T26"/>
    </sheetView>
  </sheetViews>
  <sheetFormatPr defaultRowHeight="14.35" x14ac:dyDescent="0.5"/>
  <cols>
    <col min="1" max="1" width="23.05859375" customWidth="1"/>
    <col min="2" max="2" width="35.8203125" bestFit="1" customWidth="1"/>
    <col min="3" max="3" width="17.41015625" customWidth="1"/>
    <col min="4" max="4" width="14.46875" bestFit="1" customWidth="1"/>
    <col min="5" max="5" width="14.3515625" bestFit="1" customWidth="1"/>
    <col min="6" max="6" width="11.46875" bestFit="1" customWidth="1"/>
    <col min="8" max="8" width="29.8203125" bestFit="1" customWidth="1"/>
    <col min="10" max="10" width="14.41015625" customWidth="1"/>
    <col min="12" max="12" width="20.9375" bestFit="1" customWidth="1"/>
    <col min="18" max="18" width="19.05859375" customWidth="1"/>
    <col min="19" max="19" width="15.9375" customWidth="1"/>
  </cols>
  <sheetData>
    <row r="1" spans="1:24" x14ac:dyDescent="0.5">
      <c r="A1" s="38" t="s">
        <v>0</v>
      </c>
      <c r="B1" s="12">
        <v>1</v>
      </c>
      <c r="C1" s="4"/>
      <c r="D1" s="4"/>
      <c r="E1" s="38" t="s">
        <v>1</v>
      </c>
      <c r="F1" s="13">
        <f>S15</f>
        <v>41</v>
      </c>
      <c r="G1" s="4"/>
      <c r="H1" s="38" t="s">
        <v>2</v>
      </c>
      <c r="I1" s="13">
        <f>F1/B1</f>
        <v>41</v>
      </c>
      <c r="J1" s="4"/>
      <c r="K1" s="38"/>
    </row>
    <row r="2" spans="1:24" ht="14.25" customHeight="1" x14ac:dyDescent="0.5">
      <c r="A2" s="42"/>
      <c r="B2" s="117"/>
      <c r="C2" s="117"/>
      <c r="D2" s="117"/>
      <c r="E2" s="117"/>
      <c r="F2" s="117"/>
      <c r="G2" s="117"/>
      <c r="H2" s="117"/>
      <c r="I2" s="41"/>
      <c r="J2" s="43"/>
      <c r="K2" s="42"/>
    </row>
    <row r="3" spans="1:24" ht="14.25" customHeight="1" x14ac:dyDescent="0.5">
      <c r="A3" s="46"/>
      <c r="B3" s="118" t="s">
        <v>242</v>
      </c>
      <c r="C3" s="118"/>
      <c r="D3" s="118"/>
      <c r="E3" s="118"/>
      <c r="F3" s="118"/>
      <c r="G3" s="118"/>
      <c r="H3" s="118"/>
      <c r="I3" s="84"/>
      <c r="J3" s="85"/>
      <c r="K3" s="86"/>
    </row>
    <row r="4" spans="1:24" ht="39.75" customHeight="1" x14ac:dyDescent="0.5">
      <c r="A4" s="44" t="s">
        <v>4</v>
      </c>
      <c r="B4" s="44" t="s">
        <v>5</v>
      </c>
      <c r="C4" s="44" t="s">
        <v>6</v>
      </c>
      <c r="D4" s="44" t="s">
        <v>7</v>
      </c>
      <c r="E4" s="44" t="s">
        <v>8</v>
      </c>
      <c r="F4" s="44" t="s">
        <v>9</v>
      </c>
      <c r="G4" s="44" t="s">
        <v>10</v>
      </c>
      <c r="H4" s="82" t="s">
        <v>11</v>
      </c>
      <c r="I4" s="88" t="s">
        <v>247</v>
      </c>
      <c r="J4" s="88" t="s">
        <v>12</v>
      </c>
      <c r="K4" s="88" t="s">
        <v>13</v>
      </c>
      <c r="L4" s="88" t="s">
        <v>14</v>
      </c>
    </row>
    <row r="5" spans="1:24" ht="15" customHeight="1" x14ac:dyDescent="0.5">
      <c r="A5" s="14"/>
      <c r="B5" s="15" t="s">
        <v>245</v>
      </c>
      <c r="C5" s="14" t="s">
        <v>17</v>
      </c>
      <c r="D5" s="20">
        <v>6.5</v>
      </c>
      <c r="E5" s="17">
        <f t="shared" ref="E5:E7" si="0">$I$1</f>
        <v>41</v>
      </c>
      <c r="F5" s="18">
        <v>1</v>
      </c>
      <c r="G5" s="17">
        <f t="shared" ref="G5:G7" si="1">E5*D5</f>
        <v>266.5</v>
      </c>
      <c r="H5" s="83">
        <f t="shared" ref="H5:H7" si="2">G5*F5</f>
        <v>266.5</v>
      </c>
      <c r="I5" s="14">
        <f>VLOOKUP(B5,Ordering!$A$1:$J$83,6,FALSE)</f>
        <v>1</v>
      </c>
      <c r="J5" s="95">
        <f>VLOOKUP(B5,Ordering!$A$1:$J$83,10,FALSE)</f>
        <v>40</v>
      </c>
      <c r="K5" s="23">
        <f t="shared" ref="K5:K7" si="3">((H5/(I5))/1000)</f>
        <v>0.26650000000000001</v>
      </c>
      <c r="L5" s="95">
        <f t="shared" ref="L5:L7" si="4">J5*K5</f>
        <v>10.66</v>
      </c>
    </row>
    <row r="6" spans="1:24" ht="15" customHeight="1" x14ac:dyDescent="0.5">
      <c r="A6" s="14"/>
      <c r="B6" s="15" t="s">
        <v>255</v>
      </c>
      <c r="C6" s="14" t="s">
        <v>17</v>
      </c>
      <c r="D6" s="20">
        <v>12.4</v>
      </c>
      <c r="E6" s="17">
        <f t="shared" si="0"/>
        <v>41</v>
      </c>
      <c r="F6" s="18">
        <v>1</v>
      </c>
      <c r="G6" s="17">
        <f t="shared" si="1"/>
        <v>508.40000000000003</v>
      </c>
      <c r="H6" s="114">
        <f t="shared" si="2"/>
        <v>508.40000000000003</v>
      </c>
      <c r="I6" s="109">
        <f>VLOOKUP(B6,Ordering!$A$1:$J$83,6,FALSE)</f>
        <v>1</v>
      </c>
      <c r="J6" s="109">
        <f>VLOOKUP(B6,Ordering!$A$1:$J$83,10,FALSE)</f>
        <v>51</v>
      </c>
      <c r="K6" s="99">
        <f t="shared" si="3"/>
        <v>0.50840000000000007</v>
      </c>
      <c r="L6" s="98">
        <f t="shared" si="4"/>
        <v>25.928400000000003</v>
      </c>
    </row>
    <row r="7" spans="1:24" ht="15" customHeight="1" x14ac:dyDescent="0.5">
      <c r="A7" s="14"/>
      <c r="B7" s="15" t="s">
        <v>244</v>
      </c>
      <c r="C7" s="14" t="s">
        <v>17</v>
      </c>
      <c r="D7" s="20">
        <v>5</v>
      </c>
      <c r="E7" s="17">
        <f t="shared" si="0"/>
        <v>41</v>
      </c>
      <c r="F7" s="18">
        <v>1</v>
      </c>
      <c r="G7" s="17">
        <f t="shared" si="1"/>
        <v>205</v>
      </c>
      <c r="H7" s="114">
        <f t="shared" si="2"/>
        <v>205</v>
      </c>
      <c r="I7" s="109">
        <f>VLOOKUP(B7,Ordering!$A$1:$J$83,6,FALSE)</f>
        <v>1</v>
      </c>
      <c r="J7" s="109">
        <f>VLOOKUP(B7,Ordering!$A$1:$J$83,10,FALSE)</f>
        <v>41</v>
      </c>
      <c r="K7" s="99">
        <f t="shared" si="3"/>
        <v>0.20499999999999999</v>
      </c>
      <c r="L7" s="98">
        <f t="shared" si="4"/>
        <v>8.4049999999999994</v>
      </c>
    </row>
    <row r="8" spans="1:24" ht="15" customHeight="1" x14ac:dyDescent="0.5">
      <c r="U8" s="89" t="s">
        <v>248</v>
      </c>
      <c r="V8" s="90">
        <v>1</v>
      </c>
      <c r="W8" s="89" t="s">
        <v>14</v>
      </c>
      <c r="X8" s="91">
        <f>SUM(L5:L7)/S15</f>
        <v>1.0974000000000002</v>
      </c>
    </row>
    <row r="9" spans="1:24" ht="15" customHeight="1" x14ac:dyDescent="0.5"/>
    <row r="10" spans="1:24" ht="15" customHeight="1" x14ac:dyDescent="0.5">
      <c r="R10" s="119" t="s">
        <v>242</v>
      </c>
      <c r="S10" s="120"/>
    </row>
    <row r="11" spans="1:24" ht="15" customHeight="1" x14ac:dyDescent="0.5">
      <c r="R11" s="119" t="s">
        <v>243</v>
      </c>
      <c r="S11" s="120"/>
    </row>
    <row r="12" spans="1:24" ht="15" customHeight="1" x14ac:dyDescent="0.5">
      <c r="R12" s="5" t="s">
        <v>19</v>
      </c>
      <c r="S12" s="5" t="s">
        <v>20</v>
      </c>
    </row>
    <row r="13" spans="1:24" ht="15" customHeight="1" x14ac:dyDescent="0.5">
      <c r="R13" s="5" t="s">
        <v>21</v>
      </c>
      <c r="S13" s="47">
        <v>36</v>
      </c>
    </row>
    <row r="14" spans="1:24" ht="14.75" customHeight="1" x14ac:dyDescent="0.5">
      <c r="R14" s="5" t="s">
        <v>22</v>
      </c>
      <c r="S14" s="14">
        <v>5</v>
      </c>
    </row>
    <row r="15" spans="1:24" x14ac:dyDescent="0.5">
      <c r="R15" s="5" t="s">
        <v>23</v>
      </c>
      <c r="S15" s="48">
        <f>S13+S14</f>
        <v>41</v>
      </c>
    </row>
    <row r="16" spans="1:24" x14ac:dyDescent="0.5">
      <c r="R16" s="92" t="s">
        <v>14</v>
      </c>
      <c r="S16" s="93">
        <f>SUM(L5:L7)</f>
        <v>44.993400000000008</v>
      </c>
    </row>
  </sheetData>
  <mergeCells count="4">
    <mergeCell ref="B2:H2"/>
    <mergeCell ref="B3:H3"/>
    <mergeCell ref="R10:S10"/>
    <mergeCell ref="R11:S11"/>
  </mergeCells>
  <printOptions horizontalCentered="1"/>
  <pageMargins left="0.4" right="0.4" top="1" bottom="0.5" header="0.3" footer="0.3"/>
  <pageSetup paperSize="9" scale="3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Ordering</vt:lpstr>
      <vt:lpstr>Zatar Pie</vt:lpstr>
      <vt:lpstr>Laham Pie</vt:lpstr>
      <vt:lpstr>Labneh Pie</vt:lpstr>
      <vt:lpstr>Rocky Road</vt:lpstr>
      <vt:lpstr>Basbusa</vt:lpstr>
      <vt:lpstr>Blueberry Cheese Cake</vt:lpstr>
      <vt:lpstr>Mixed Nuts</vt:lpstr>
      <vt:lpstr>Raspberry Chooclate Cheese Cake</vt:lpstr>
      <vt:lpstr>Brownie </vt:lpstr>
      <vt:lpstr>Baboffee Pie</vt:lpstr>
      <vt:lpstr>Sabestien</vt:lpstr>
      <vt:lpstr>Mixed Nuts (2)</vt:lpstr>
      <vt:lpstr>Labneh Pie (2)</vt:lpstr>
      <vt:lpstr>Laham Pie (2)</vt:lpstr>
      <vt:lpstr>Zatar Pie (2)</vt:lpstr>
      <vt:lpstr>Lemon Cake</vt:lpstr>
      <vt:lpstr>Cookies</vt:lpstr>
      <vt:lpstr>Saffron Cake</vt:lpstr>
      <vt:lpstr>Mixed Nuts (3)</vt:lpstr>
      <vt:lpstr>Lotuse Cheese Cake</vt:lpstr>
      <vt:lpstr>Oat Bar</vt:lpstr>
      <vt:lpstr>Almond Chooclate Cake</vt:lpstr>
      <vt:lpstr>Mixed Nuts (4)</vt:lpstr>
      <vt:lpstr>Mango Cheese Cake</vt:lpstr>
      <vt:lpstr>Classic Cheese Cake</vt:lpstr>
      <vt:lpstr>Muffin</vt:lpstr>
      <vt:lpstr>Mixed Nuts (5)</vt:lpstr>
      <vt:lpstr>Orange Cake</vt:lpstr>
      <vt:lpstr>Dukhun Cake</vt:lpstr>
      <vt:lpstr>Saffron Cake (2)</vt:lpstr>
      <vt:lpstr>Mixed Nuts (6)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2026-06-28T20:38:47Z</cp:lastPrinted>
  <dcterms:created xsi:type="dcterms:W3CDTF">2026-01-12T00:14:28Z</dcterms:created>
  <dcterms:modified xsi:type="dcterms:W3CDTF">2026-06-29T11:51:35Z</dcterms:modified>
</cp:coreProperties>
</file>