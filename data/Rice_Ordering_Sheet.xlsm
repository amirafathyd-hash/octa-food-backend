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 W1/"/>
    </mc:Choice>
  </mc:AlternateContent>
  <xr:revisionPtr revIDLastSave="25163" documentId="13_ncr:1_{5EACE55F-C504-4676-BB82-C75ECD41B282}" xr6:coauthVersionLast="47" xr6:coauthVersionMax="47" xr10:uidLastSave="{D3B65F10-6C76-4A7A-B2A2-5BD92CE52903}"/>
  <bookViews>
    <workbookView xWindow="-98" yWindow="-98" windowWidth="21795" windowHeight="12975" tabRatio="882" firstSheet="14" activeTab="16" xr2:uid="{00000000-000D-0000-FFFF-FFFF00000000}"/>
  </bookViews>
  <sheets>
    <sheet name="Ordering" sheetId="1" r:id="rId1"/>
    <sheet name="رز أبيض (2)" sheetId="2" r:id="rId2"/>
    <sheet name=" رز بريانى-رز زعفران (2)" sheetId="3" r:id="rId3"/>
    <sheet name="رز صيادية" sheetId="4" r:id="rId4"/>
    <sheet name="رز كبسه" sheetId="32" r:id="rId5"/>
    <sheet name="رز  المندى" sheetId="5" r:id="rId6"/>
    <sheet name="رز أبيض (3)" sheetId="6" r:id="rId7"/>
    <sheet name=" رز بريانى-رز زعفران (3)" sheetId="7" r:id="rId8"/>
    <sheet name="رز جولوف" sheetId="8" r:id="rId9"/>
    <sheet name="رز الزربيان" sheetId="9" r:id="rId10"/>
    <sheet name="رز أبيض" sheetId="10" r:id="rId11"/>
    <sheet name=" رز بريانى-رز زعفران" sheetId="11" r:id="rId12"/>
    <sheet name="رز بالمكسرات" sheetId="12" r:id="rId13"/>
    <sheet name="رز السليق" sheetId="14" r:id="rId14"/>
    <sheet name="رز  المندى (2)" sheetId="13" r:id="rId15"/>
    <sheet name="رز أبيض (4)" sheetId="15" r:id="rId16"/>
    <sheet name="رز مصرى" sheetId="16" r:id="rId17"/>
    <sheet name=" رز بريانى-رز زعفران (4)" sheetId="17" r:id="rId18"/>
    <sheet name="رز المقلوبة" sheetId="18" r:id="rId19"/>
    <sheet name="رز أبيض (5)" sheetId="19" r:id="rId20"/>
    <sheet name="رز مصرى (2)" sheetId="20" r:id="rId21"/>
    <sheet name=" رز بريانى-رز زعفران (5)" sheetId="21" r:id="rId22"/>
    <sheet name="رز بالخضار الاربعاء" sheetId="22" r:id="rId23"/>
    <sheet name="رز مشكل" sheetId="23" r:id="rId24"/>
    <sheet name="رز  البخارى " sheetId="24" r:id="rId25"/>
    <sheet name="رز أبيض (6)" sheetId="25" r:id="rId26"/>
    <sheet name="رز مكسيكي" sheetId="27" r:id="rId27"/>
    <sheet name="رز بالخضار الخميس" sheetId="26" r:id="rId28"/>
    <sheet name="رز صيادية (2)" sheetId="28" r:id="rId29"/>
    <sheet name="رز السليق (2)" sheetId="30" r:id="rId30"/>
    <sheet name="رز الكابلى" sheetId="29" r:id="rId31"/>
  </sheets>
  <definedNames>
    <definedName name="_xlnm._FilterDatabase" localSheetId="0" hidden="1">Ordering!$A$1:$O$74</definedName>
    <definedName name="_xleta.COUNTIF" localSheetId="4" hidden="1">none</definedName>
    <definedName name="_xleta.COUNTIF" hidden="1">none</definedName>
    <definedName name="_xleta.IF" localSheetId="4" hidden="1">none</definedName>
    <definedName name="_xleta.IF" hidden="1">none</definedName>
    <definedName name="_xleta.MAX" localSheetId="4" hidden="1">none</definedName>
    <definedName name="_xleta.MAX" hidden="1">none</definedName>
    <definedName name="_xleta.MIN" localSheetId="4" hidden="1">none</definedName>
    <definedName name="_xleta.MIN" hidden="1">none</definedName>
    <definedName name="_xleta.N" localSheetId="4" hidden="1">none</definedName>
    <definedName name="_xleta.N" hidden="1">none</definedName>
    <definedName name="_xleta.SUM" hidden="1" xlm="1">#NAME?</definedName>
    <definedName name="_xleta.T" localSheetId="4" hidden="1">none</definedName>
    <definedName name="_xleta.T" hidden="1">none</definedName>
    <definedName name="_xlpm.s" localSheetId="4" hidden="1">none</definedName>
    <definedName name="_xlpm.s" hidden="1">none</definedName>
    <definedName name="_xlnm.Print_Area" localSheetId="11">' رز بريانى-رز زعفران'!$M$10:$N$15</definedName>
    <definedName name="_xlnm.Print_Area" localSheetId="2">' رز بريانى-رز زعفران (2)'!$M$10:$N$15</definedName>
    <definedName name="_xlnm.Print_Area" localSheetId="7">' رز بريانى-رز زعفران (3)'!$M$10:$N$15</definedName>
    <definedName name="_xlnm.Print_Area" localSheetId="17">' رز بريانى-رز زعفران (4)'!$M$10:$N$15</definedName>
    <definedName name="_xlnm.Print_Area" localSheetId="21">' رز بريانى-رز زعفران (5)'!$M$10:$N$15</definedName>
    <definedName name="_xlnm.Print_Area" localSheetId="24">'رز  البخارى '!$M$10:$N$15</definedName>
    <definedName name="SheetList" localSheetId="4">none</definedName>
    <definedName name="SheetList">none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24" l="1"/>
  <c r="X8" i="3" l="1"/>
  <c r="N16" i="3"/>
  <c r="K7" i="32"/>
  <c r="K8" i="32"/>
  <c r="K9" i="32"/>
  <c r="K10" i="32"/>
  <c r="K11" i="32"/>
  <c r="K12" i="32"/>
  <c r="K13" i="32"/>
  <c r="K14" i="32"/>
  <c r="K15" i="32"/>
  <c r="K6" i="32"/>
  <c r="K5" i="32"/>
  <c r="L40" i="1"/>
  <c r="N25" i="32"/>
  <c r="N26" i="32"/>
  <c r="N27" i="32"/>
  <c r="N28" i="32"/>
  <c r="N29" i="32"/>
  <c r="N30" i="32"/>
  <c r="N31" i="32"/>
  <c r="N24" i="32"/>
  <c r="B49" i="32"/>
  <c r="C49" i="32"/>
  <c r="D49" i="32"/>
  <c r="F49" i="32"/>
  <c r="B50" i="32"/>
  <c r="C50" i="32"/>
  <c r="D50" i="32"/>
  <c r="F50" i="32"/>
  <c r="B51" i="32"/>
  <c r="C51" i="32"/>
  <c r="D51" i="32"/>
  <c r="F51" i="32"/>
  <c r="B52" i="32"/>
  <c r="C52" i="32"/>
  <c r="D52" i="32"/>
  <c r="F52" i="32"/>
  <c r="N13" i="32"/>
  <c r="L9" i="1"/>
  <c r="O9" i="1" s="1"/>
  <c r="K9" i="1"/>
  <c r="N9" i="1" s="1"/>
  <c r="J9" i="1"/>
  <c r="L38" i="1"/>
  <c r="L39" i="1"/>
  <c r="L41" i="1"/>
  <c r="L37" i="1"/>
  <c r="AC5" i="1"/>
  <c r="AC9" i="1"/>
  <c r="I10" i="3"/>
  <c r="I10" i="4"/>
  <c r="I11" i="4"/>
  <c r="I12" i="4"/>
  <c r="I13" i="4"/>
  <c r="I14" i="4"/>
  <c r="I15" i="4"/>
  <c r="I16" i="4"/>
  <c r="I17" i="4"/>
  <c r="I10" i="32"/>
  <c r="I11" i="32"/>
  <c r="I12" i="32"/>
  <c r="I13" i="32"/>
  <c r="I14" i="32"/>
  <c r="I15" i="32"/>
  <c r="I10" i="5"/>
  <c r="I10" i="7"/>
  <c r="I10" i="11"/>
  <c r="I10" i="13"/>
  <c r="I10" i="16"/>
  <c r="I10" i="17"/>
  <c r="I10" i="20"/>
  <c r="I10" i="21"/>
  <c r="I10" i="22"/>
  <c r="I11" i="22"/>
  <c r="I12" i="22"/>
  <c r="I13" i="22"/>
  <c r="I14" i="22"/>
  <c r="I15" i="22"/>
  <c r="I16" i="22"/>
  <c r="I17" i="22"/>
  <c r="I18" i="22"/>
  <c r="I10" i="23"/>
  <c r="I11" i="23"/>
  <c r="I10" i="24"/>
  <c r="I10" i="27"/>
  <c r="I10" i="28"/>
  <c r="I11" i="28"/>
  <c r="I12" i="28"/>
  <c r="I13" i="28"/>
  <c r="I14" i="28"/>
  <c r="I15" i="28"/>
  <c r="I16" i="28"/>
  <c r="I17" i="28"/>
  <c r="I10" i="29"/>
  <c r="I6" i="3"/>
  <c r="I7" i="3"/>
  <c r="I8" i="3"/>
  <c r="I9" i="3"/>
  <c r="I6" i="4"/>
  <c r="I7" i="4"/>
  <c r="I8" i="4"/>
  <c r="I9" i="4"/>
  <c r="I6" i="32"/>
  <c r="I7" i="32"/>
  <c r="I8" i="32"/>
  <c r="I9" i="32"/>
  <c r="I6" i="5"/>
  <c r="I7" i="5"/>
  <c r="I8" i="5"/>
  <c r="I9" i="5"/>
  <c r="I6" i="6"/>
  <c r="I7" i="6"/>
  <c r="I8" i="6"/>
  <c r="I9" i="6"/>
  <c r="I6" i="7"/>
  <c r="I7" i="7"/>
  <c r="I8" i="7"/>
  <c r="I9" i="7"/>
  <c r="I6" i="8"/>
  <c r="I7" i="8"/>
  <c r="I8" i="8"/>
  <c r="I9" i="8"/>
  <c r="I6" i="9"/>
  <c r="I7" i="9"/>
  <c r="I8" i="9"/>
  <c r="I9" i="9"/>
  <c r="I6" i="10"/>
  <c r="I7" i="10"/>
  <c r="I8" i="10"/>
  <c r="I9" i="10"/>
  <c r="I6" i="11"/>
  <c r="I7" i="11"/>
  <c r="I8" i="11"/>
  <c r="I9" i="11"/>
  <c r="I6" i="12"/>
  <c r="I7" i="12"/>
  <c r="I8" i="12"/>
  <c r="I9" i="12"/>
  <c r="I6" i="14"/>
  <c r="I7" i="14"/>
  <c r="I8" i="14"/>
  <c r="I9" i="14"/>
  <c r="I6" i="13"/>
  <c r="I7" i="13"/>
  <c r="I8" i="13"/>
  <c r="I9" i="13"/>
  <c r="I6" i="15"/>
  <c r="I7" i="15"/>
  <c r="I8" i="15"/>
  <c r="I9" i="15"/>
  <c r="I6" i="16"/>
  <c r="I7" i="16"/>
  <c r="I8" i="16"/>
  <c r="I9" i="16"/>
  <c r="I6" i="17"/>
  <c r="I7" i="17"/>
  <c r="I8" i="17"/>
  <c r="I9" i="17"/>
  <c r="I6" i="18"/>
  <c r="I7" i="18"/>
  <c r="I8" i="18"/>
  <c r="I9" i="18"/>
  <c r="I6" i="19"/>
  <c r="I7" i="19"/>
  <c r="I8" i="19"/>
  <c r="I9" i="19"/>
  <c r="I6" i="20"/>
  <c r="I7" i="20"/>
  <c r="I8" i="20"/>
  <c r="I9" i="20"/>
  <c r="I6" i="21"/>
  <c r="I7" i="21"/>
  <c r="I8" i="21"/>
  <c r="I9" i="21"/>
  <c r="I6" i="22"/>
  <c r="I7" i="22"/>
  <c r="I8" i="22"/>
  <c r="I9" i="22"/>
  <c r="I6" i="23"/>
  <c r="I7" i="23"/>
  <c r="I8" i="23"/>
  <c r="I9" i="23"/>
  <c r="I6" i="24"/>
  <c r="I7" i="24"/>
  <c r="I8" i="24"/>
  <c r="I9" i="24"/>
  <c r="I6" i="25"/>
  <c r="I7" i="25"/>
  <c r="I8" i="25"/>
  <c r="I9" i="25"/>
  <c r="I6" i="27"/>
  <c r="I7" i="27"/>
  <c r="I8" i="27"/>
  <c r="I9" i="27"/>
  <c r="I6" i="26"/>
  <c r="I7" i="26"/>
  <c r="I8" i="26"/>
  <c r="I9" i="26"/>
  <c r="I6" i="28"/>
  <c r="I7" i="28"/>
  <c r="I8" i="28"/>
  <c r="I9" i="28"/>
  <c r="I6" i="30"/>
  <c r="I7" i="30"/>
  <c r="I8" i="30"/>
  <c r="I9" i="30"/>
  <c r="I6" i="29"/>
  <c r="I7" i="29"/>
  <c r="I8" i="29"/>
  <c r="I9" i="29"/>
  <c r="I6" i="2"/>
  <c r="I7" i="2"/>
  <c r="I8" i="2"/>
  <c r="I9" i="2"/>
  <c r="I5" i="3"/>
  <c r="I5" i="4"/>
  <c r="I5" i="32"/>
  <c r="I5" i="5"/>
  <c r="I5" i="6"/>
  <c r="I5" i="7"/>
  <c r="I5" i="8"/>
  <c r="I5" i="9"/>
  <c r="I5" i="10"/>
  <c r="I5" i="11"/>
  <c r="I5" i="12"/>
  <c r="I5" i="14"/>
  <c r="I5" i="13"/>
  <c r="I5" i="15"/>
  <c r="I5" i="16"/>
  <c r="I5" i="17"/>
  <c r="I5" i="18"/>
  <c r="I5" i="19"/>
  <c r="I5" i="20"/>
  <c r="I5" i="21"/>
  <c r="I5" i="22"/>
  <c r="I5" i="23"/>
  <c r="I5" i="24"/>
  <c r="I5" i="25"/>
  <c r="I5" i="27"/>
  <c r="I5" i="26"/>
  <c r="I5" i="28"/>
  <c r="I5" i="30"/>
  <c r="I5" i="29"/>
  <c r="I5" i="2"/>
  <c r="L23" i="1"/>
  <c r="O23" i="1" s="1"/>
  <c r="K23" i="1"/>
  <c r="N23" i="1" s="1"/>
  <c r="J23" i="1"/>
  <c r="J13" i="32" s="1"/>
  <c r="O41" i="1"/>
  <c r="K41" i="1"/>
  <c r="N41" i="1" s="1"/>
  <c r="J41" i="1"/>
  <c r="J9" i="32" s="1"/>
  <c r="K39" i="1"/>
  <c r="N39" i="1" s="1"/>
  <c r="J39" i="1"/>
  <c r="J8" i="32" s="1"/>
  <c r="K38" i="1"/>
  <c r="N38" i="1" s="1"/>
  <c r="J38" i="1"/>
  <c r="J7" i="32" s="1"/>
  <c r="K20" i="1"/>
  <c r="N20" i="1" s="1"/>
  <c r="L20" i="1"/>
  <c r="O20" i="1" s="1"/>
  <c r="K21" i="1"/>
  <c r="N21" i="1" s="1"/>
  <c r="L21" i="1"/>
  <c r="O21" i="1" s="1"/>
  <c r="K22" i="1"/>
  <c r="N22" i="1" s="1"/>
  <c r="L22" i="1"/>
  <c r="O22" i="1" s="1"/>
  <c r="L10" i="1"/>
  <c r="O10" i="1" s="1"/>
  <c r="K10" i="1"/>
  <c r="N10" i="1" s="1"/>
  <c r="J10" i="1"/>
  <c r="J6" i="14" s="1"/>
  <c r="B43" i="32"/>
  <c r="C43" i="32"/>
  <c r="D43" i="32"/>
  <c r="F43" i="32"/>
  <c r="B44" i="32"/>
  <c r="C44" i="32"/>
  <c r="D44" i="32"/>
  <c r="F44" i="32"/>
  <c r="B45" i="32"/>
  <c r="C45" i="32"/>
  <c r="D45" i="32"/>
  <c r="F45" i="32"/>
  <c r="B46" i="32"/>
  <c r="C46" i="32"/>
  <c r="D46" i="32"/>
  <c r="F46" i="32"/>
  <c r="B47" i="32"/>
  <c r="C47" i="32"/>
  <c r="D47" i="32"/>
  <c r="F47" i="32"/>
  <c r="B48" i="32"/>
  <c r="C48" i="32"/>
  <c r="D48" i="32"/>
  <c r="F48" i="32"/>
  <c r="AC29" i="1"/>
  <c r="AC28" i="1"/>
  <c r="AC26" i="1"/>
  <c r="AC25" i="1"/>
  <c r="AC24" i="1"/>
  <c r="AC23" i="1"/>
  <c r="AC22" i="1"/>
  <c r="AC21" i="1"/>
  <c r="K7" i="1"/>
  <c r="N7" i="1" s="1"/>
  <c r="L7" i="1"/>
  <c r="O7" i="1" s="1"/>
  <c r="K8" i="1"/>
  <c r="N8" i="1" s="1"/>
  <c r="L8" i="1"/>
  <c r="O8" i="1" s="1"/>
  <c r="N11" i="1"/>
  <c r="O11" i="1"/>
  <c r="N14" i="1"/>
  <c r="O14" i="1"/>
  <c r="K15" i="1"/>
  <c r="N15" i="1" s="1"/>
  <c r="L15" i="1"/>
  <c r="O15" i="1" s="1"/>
  <c r="K17" i="1"/>
  <c r="N17" i="1" s="1"/>
  <c r="L17" i="1"/>
  <c r="O17" i="1" s="1"/>
  <c r="K18" i="1"/>
  <c r="N18" i="1" s="1"/>
  <c r="L18" i="1"/>
  <c r="O18" i="1" s="1"/>
  <c r="K19" i="1"/>
  <c r="N19" i="1" s="1"/>
  <c r="L19" i="1"/>
  <c r="O19" i="1" s="1"/>
  <c r="K25" i="1"/>
  <c r="N25" i="1" s="1"/>
  <c r="L25" i="1"/>
  <c r="O25" i="1" s="1"/>
  <c r="K26" i="1"/>
  <c r="N26" i="1" s="1"/>
  <c r="L26" i="1"/>
  <c r="O26" i="1" s="1"/>
  <c r="K28" i="1"/>
  <c r="N28" i="1" s="1"/>
  <c r="L28" i="1"/>
  <c r="O28" i="1" s="1"/>
  <c r="K29" i="1"/>
  <c r="N29" i="1" s="1"/>
  <c r="L29" i="1"/>
  <c r="O29" i="1" s="1"/>
  <c r="K30" i="1"/>
  <c r="N30" i="1" s="1"/>
  <c r="L30" i="1"/>
  <c r="O30" i="1" s="1"/>
  <c r="K31" i="1"/>
  <c r="N31" i="1" s="1"/>
  <c r="L31" i="1"/>
  <c r="O31" i="1" s="1"/>
  <c r="K35" i="1"/>
  <c r="N35" i="1" s="1"/>
  <c r="L35" i="1"/>
  <c r="O35" i="1" s="1"/>
  <c r="K37" i="1"/>
  <c r="N37" i="1" s="1"/>
  <c r="O37" i="1"/>
  <c r="K40" i="1"/>
  <c r="N40" i="1" s="1"/>
  <c r="O40" i="1"/>
  <c r="J6" i="30" l="1"/>
  <c r="K6" i="13"/>
  <c r="AC20" i="1"/>
  <c r="AC19" i="1"/>
  <c r="AC18" i="1"/>
  <c r="AC17" i="1"/>
  <c r="AC13" i="1"/>
  <c r="AC16" i="1"/>
  <c r="AC15" i="1"/>
  <c r="AC14" i="1"/>
  <c r="AC31" i="1"/>
  <c r="AC7" i="1"/>
  <c r="AC6" i="1"/>
  <c r="F42" i="32"/>
  <c r="D42" i="32"/>
  <c r="C42" i="32"/>
  <c r="B42" i="32"/>
  <c r="N14" i="32"/>
  <c r="G3" i="1"/>
  <c r="G4" i="1"/>
  <c r="G5" i="1"/>
  <c r="J29" i="1"/>
  <c r="J9" i="23" s="1"/>
  <c r="J28" i="1"/>
  <c r="J9" i="24" s="1"/>
  <c r="J24" i="1"/>
  <c r="G24" i="1"/>
  <c r="J15" i="32" l="1"/>
  <c r="J11" i="28"/>
  <c r="J14" i="22"/>
  <c r="J11" i="4"/>
  <c r="J3" i="1"/>
  <c r="K3" i="1"/>
  <c r="N3" i="1" s="1"/>
  <c r="L3" i="1"/>
  <c r="O3" i="1" s="1"/>
  <c r="J4" i="1"/>
  <c r="K4" i="1"/>
  <c r="N4" i="1" s="1"/>
  <c r="L4" i="1"/>
  <c r="O4" i="1" s="1"/>
  <c r="J5" i="1"/>
  <c r="K5" i="1"/>
  <c r="N5" i="1" s="1"/>
  <c r="L5" i="1"/>
  <c r="O5" i="1" s="1"/>
  <c r="K24" i="1"/>
  <c r="N24" i="1" s="1"/>
  <c r="L24" i="1"/>
  <c r="O24" i="1" s="1"/>
  <c r="N15" i="32"/>
  <c r="E1" i="32" s="1"/>
  <c r="D19" i="32" s="1"/>
  <c r="G33" i="1"/>
  <c r="J21" i="1"/>
  <c r="J15" i="1"/>
  <c r="J35" i="1"/>
  <c r="J12" i="4" l="1"/>
  <c r="J12" i="28"/>
  <c r="J11" i="22"/>
  <c r="J5" i="14"/>
  <c r="J5" i="30"/>
  <c r="J10" i="24"/>
  <c r="J10" i="29"/>
  <c r="J11" i="32"/>
  <c r="J6" i="10"/>
  <c r="J6" i="16"/>
  <c r="J6" i="23"/>
  <c r="J6" i="7"/>
  <c r="J6" i="18"/>
  <c r="J6" i="25"/>
  <c r="J6" i="2"/>
  <c r="J6" i="5"/>
  <c r="J6" i="11"/>
  <c r="J6" i="17"/>
  <c r="J6" i="8"/>
  <c r="J6" i="13"/>
  <c r="L6" i="13" s="1"/>
  <c r="J6" i="21"/>
  <c r="J6" i="28"/>
  <c r="J6" i="3"/>
  <c r="J6" i="4"/>
  <c r="J6" i="6"/>
  <c r="J6" i="12"/>
  <c r="J6" i="19"/>
  <c r="J6" i="27"/>
  <c r="J6" i="20"/>
  <c r="J6" i="9"/>
  <c r="J6" i="15"/>
  <c r="J6" i="22"/>
  <c r="J6" i="26"/>
  <c r="J5" i="20"/>
  <c r="J5" i="16"/>
  <c r="J5" i="32"/>
  <c r="J5" i="12"/>
  <c r="J5" i="28"/>
  <c r="J5" i="5"/>
  <c r="J5" i="21"/>
  <c r="J5" i="29"/>
  <c r="J5" i="7"/>
  <c r="J5" i="15"/>
  <c r="J5" i="23"/>
  <c r="J5" i="2"/>
  <c r="J5" i="9"/>
  <c r="J5" i="17"/>
  <c r="J5" i="6"/>
  <c r="J5" i="13"/>
  <c r="J5" i="22"/>
  <c r="J5" i="8"/>
  <c r="J5" i="24"/>
  <c r="J5" i="25"/>
  <c r="J5" i="26"/>
  <c r="J5" i="11"/>
  <c r="J5" i="4"/>
  <c r="J5" i="19"/>
  <c r="J5" i="3"/>
  <c r="J5" i="10"/>
  <c r="J5" i="18"/>
  <c r="J5" i="27"/>
  <c r="J33" i="1"/>
  <c r="J17" i="22" s="1"/>
  <c r="L33" i="1"/>
  <c r="O33" i="1" s="1"/>
  <c r="K33" i="1"/>
  <c r="N33" i="1" s="1"/>
  <c r="G1" i="32"/>
  <c r="E6" i="32" l="1"/>
  <c r="E13" i="32"/>
  <c r="E50" i="32" s="1"/>
  <c r="E7" i="32"/>
  <c r="E8" i="32"/>
  <c r="E9" i="32"/>
  <c r="E10" i="32"/>
  <c r="E11" i="32"/>
  <c r="E14" i="32"/>
  <c r="E51" i="32" s="1"/>
  <c r="E12" i="32"/>
  <c r="E49" i="32" s="1"/>
  <c r="E15" i="32"/>
  <c r="E52" i="32" s="1"/>
  <c r="I1" i="32"/>
  <c r="C19" i="32" s="1"/>
  <c r="C20" i="32" s="1"/>
  <c r="E5" i="32"/>
  <c r="E42" i="32" s="1"/>
  <c r="AC32" i="1"/>
  <c r="AC30" i="1"/>
  <c r="AC27" i="1"/>
  <c r="G13" i="1"/>
  <c r="G12" i="1"/>
  <c r="E47" i="32" l="1"/>
  <c r="G10" i="32"/>
  <c r="G14" i="32"/>
  <c r="G51" i="32" s="1"/>
  <c r="E48" i="32"/>
  <c r="G11" i="32"/>
  <c r="E46" i="32"/>
  <c r="G9" i="32"/>
  <c r="G13" i="32"/>
  <c r="G50" i="32" s="1"/>
  <c r="G8" i="32"/>
  <c r="E45" i="32"/>
  <c r="G15" i="32"/>
  <c r="G52" i="32" s="1"/>
  <c r="E44" i="32"/>
  <c r="G7" i="32"/>
  <c r="G12" i="32"/>
  <c r="G49" i="32" s="1"/>
  <c r="E43" i="32"/>
  <c r="G6" i="32"/>
  <c r="J13" i="1"/>
  <c r="K13" i="1"/>
  <c r="N13" i="1" s="1"/>
  <c r="L13" i="1"/>
  <c r="O13" i="1" s="1"/>
  <c r="J12" i="1"/>
  <c r="K12" i="1"/>
  <c r="N12" i="1" s="1"/>
  <c r="L12" i="1"/>
  <c r="O12" i="1" s="1"/>
  <c r="G5" i="32"/>
  <c r="G42" i="32" s="1"/>
  <c r="D20" i="32"/>
  <c r="C21" i="32"/>
  <c r="J30" i="1"/>
  <c r="J31" i="1"/>
  <c r="AC3" i="1"/>
  <c r="AC4" i="1"/>
  <c r="J37" i="1"/>
  <c r="J40" i="1"/>
  <c r="J8" i="1"/>
  <c r="J7" i="1"/>
  <c r="J12" i="32" l="1"/>
  <c r="J10" i="4"/>
  <c r="J10" i="28"/>
  <c r="J10" i="13"/>
  <c r="J7" i="3"/>
  <c r="J7" i="4"/>
  <c r="J7" i="6"/>
  <c r="J7" i="7"/>
  <c r="J7" i="8"/>
  <c r="J7" i="10"/>
  <c r="J7" i="11"/>
  <c r="J7" i="12"/>
  <c r="J7" i="15"/>
  <c r="J7" i="16"/>
  <c r="J7" i="17"/>
  <c r="J7" i="19"/>
  <c r="J7" i="20"/>
  <c r="J7" i="21"/>
  <c r="J7" i="22"/>
  <c r="J7" i="23"/>
  <c r="J7" i="25"/>
  <c r="J7" i="27"/>
  <c r="J7" i="26"/>
  <c r="J7" i="28"/>
  <c r="J7" i="2"/>
  <c r="J9" i="29"/>
  <c r="J10" i="5"/>
  <c r="J8" i="24"/>
  <c r="J9" i="9"/>
  <c r="J9" i="18"/>
  <c r="J14" i="32"/>
  <c r="J6" i="29"/>
  <c r="J16" i="4"/>
  <c r="J16" i="28"/>
  <c r="J7" i="5"/>
  <c r="J7" i="13"/>
  <c r="J7" i="24"/>
  <c r="J6" i="32"/>
  <c r="J16" i="22"/>
  <c r="J10" i="32"/>
  <c r="J17" i="4"/>
  <c r="J17" i="28"/>
  <c r="J11" i="23"/>
  <c r="J9" i="27"/>
  <c r="J9" i="30"/>
  <c r="J9" i="14"/>
  <c r="J10" i="21"/>
  <c r="J10" i="3"/>
  <c r="J10" i="16"/>
  <c r="J10" i="7"/>
  <c r="J10" i="17"/>
  <c r="J15" i="22"/>
  <c r="J9" i="26"/>
  <c r="J10" i="11"/>
  <c r="J10" i="20"/>
  <c r="H6" i="32"/>
  <c r="G43" i="32"/>
  <c r="H15" i="32"/>
  <c r="H52" i="32" s="1"/>
  <c r="G48" i="32"/>
  <c r="H11" i="32"/>
  <c r="H14" i="32"/>
  <c r="H51" i="32" s="1"/>
  <c r="G44" i="32"/>
  <c r="H7" i="32"/>
  <c r="G47" i="32"/>
  <c r="H10" i="32"/>
  <c r="G46" i="32"/>
  <c r="H9" i="32"/>
  <c r="H12" i="32"/>
  <c r="H49" i="32" s="1"/>
  <c r="G45" i="32"/>
  <c r="H8" i="32"/>
  <c r="H13" i="32"/>
  <c r="H50" i="32" s="1"/>
  <c r="H5" i="32"/>
  <c r="H42" i="32" s="1"/>
  <c r="D21" i="32"/>
  <c r="C22" i="32"/>
  <c r="J25" i="1"/>
  <c r="J13" i="22" s="1"/>
  <c r="J22" i="1"/>
  <c r="J12" i="22" s="1"/>
  <c r="J18" i="1"/>
  <c r="J17" i="1"/>
  <c r="J19" i="1"/>
  <c r="J20" i="1"/>
  <c r="J26" i="1"/>
  <c r="AC11" i="1"/>
  <c r="AC10" i="1"/>
  <c r="AC8" i="1"/>
  <c r="J8" i="30" l="1"/>
  <c r="J8" i="28"/>
  <c r="J8" i="26"/>
  <c r="J8" i="2"/>
  <c r="J8" i="3"/>
  <c r="J8" i="4"/>
  <c r="J8" i="6"/>
  <c r="J8" i="7"/>
  <c r="J8" i="8"/>
  <c r="J8" i="9"/>
  <c r="J8" i="10"/>
  <c r="J8" i="11"/>
  <c r="J8" i="12"/>
  <c r="J8" i="14"/>
  <c r="J8" i="15"/>
  <c r="J8" i="16"/>
  <c r="J8" i="17"/>
  <c r="J8" i="18"/>
  <c r="J8" i="19"/>
  <c r="J8" i="20"/>
  <c r="J8" i="21"/>
  <c r="J8" i="22"/>
  <c r="J8" i="23"/>
  <c r="J8" i="25"/>
  <c r="J8" i="27"/>
  <c r="J8" i="29"/>
  <c r="J9" i="5"/>
  <c r="J9" i="13"/>
  <c r="J14" i="4"/>
  <c r="J14" i="28"/>
  <c r="J9" i="22"/>
  <c r="J15" i="28"/>
  <c r="J15" i="4"/>
  <c r="J13" i="4"/>
  <c r="J10" i="22"/>
  <c r="J13" i="28"/>
  <c r="J7" i="9"/>
  <c r="J7" i="14"/>
  <c r="J7" i="18"/>
  <c r="J7" i="30"/>
  <c r="J7" i="29"/>
  <c r="J18" i="22"/>
  <c r="J10" i="27"/>
  <c r="J8" i="5"/>
  <c r="J8" i="13"/>
  <c r="J9" i="2"/>
  <c r="J10" i="23"/>
  <c r="J9" i="3"/>
  <c r="J9" i="4"/>
  <c r="J9" i="6"/>
  <c r="J9" i="7"/>
  <c r="J9" i="8"/>
  <c r="J9" i="10"/>
  <c r="J9" i="11"/>
  <c r="J9" i="12"/>
  <c r="J9" i="15"/>
  <c r="J9" i="16"/>
  <c r="J9" i="17"/>
  <c r="J9" i="19"/>
  <c r="J9" i="20"/>
  <c r="J9" i="21"/>
  <c r="J9" i="25"/>
  <c r="J9" i="28"/>
  <c r="L13" i="32"/>
  <c r="L9" i="32"/>
  <c r="H46" i="32"/>
  <c r="L10" i="32"/>
  <c r="H47" i="32"/>
  <c r="L8" i="32"/>
  <c r="H45" i="32"/>
  <c r="L15" i="32"/>
  <c r="L5" i="32"/>
  <c r="H43" i="32"/>
  <c r="L6" i="32"/>
  <c r="L14" i="32"/>
  <c r="H48" i="32"/>
  <c r="L11" i="32"/>
  <c r="L7" i="32"/>
  <c r="H44" i="32"/>
  <c r="L12" i="32"/>
  <c r="D22" i="32"/>
  <c r="AC12" i="1"/>
  <c r="N14" i="12"/>
  <c r="N10" i="12"/>
  <c r="N14" i="2"/>
  <c r="N14" i="3"/>
  <c r="N14" i="4"/>
  <c r="N14" i="5"/>
  <c r="N14" i="6"/>
  <c r="N14" i="7"/>
  <c r="N14" i="8"/>
  <c r="N14" i="9"/>
  <c r="N14" i="10"/>
  <c r="N14" i="11"/>
  <c r="N14" i="14"/>
  <c r="N14" i="13"/>
  <c r="N14" i="15"/>
  <c r="N14" i="16"/>
  <c r="N14" i="17"/>
  <c r="N14" i="18"/>
  <c r="N14" i="19"/>
  <c r="N14" i="20"/>
  <c r="N14" i="21"/>
  <c r="N14" i="22"/>
  <c r="N14" i="23"/>
  <c r="N14" i="24"/>
  <c r="N14" i="25"/>
  <c r="N14" i="27"/>
  <c r="N14" i="26"/>
  <c r="N14" i="28"/>
  <c r="N14" i="30"/>
  <c r="N14" i="29"/>
  <c r="N13" i="2"/>
  <c r="N13" i="3"/>
  <c r="N13" i="4"/>
  <c r="N13" i="5"/>
  <c r="N13" i="6"/>
  <c r="N13" i="7"/>
  <c r="N13" i="8"/>
  <c r="N13" i="9"/>
  <c r="N13" i="10"/>
  <c r="N13" i="11"/>
  <c r="N13" i="14"/>
  <c r="N13" i="13"/>
  <c r="N13" i="15"/>
  <c r="N13" i="16"/>
  <c r="N13" i="17"/>
  <c r="N13" i="18"/>
  <c r="N13" i="19"/>
  <c r="N13" i="20"/>
  <c r="N13" i="21"/>
  <c r="N13" i="22"/>
  <c r="N13" i="23"/>
  <c r="N13" i="24"/>
  <c r="N13" i="25"/>
  <c r="N13" i="27"/>
  <c r="N13" i="26"/>
  <c r="N13" i="28"/>
  <c r="N13" i="30"/>
  <c r="N13" i="29"/>
  <c r="B55" i="19"/>
  <c r="C55" i="19"/>
  <c r="D55" i="19"/>
  <c r="G55" i="19"/>
  <c r="B56" i="19"/>
  <c r="C56" i="19"/>
  <c r="D56" i="19"/>
  <c r="G56" i="19"/>
  <c r="B57" i="19"/>
  <c r="C57" i="19"/>
  <c r="D57" i="19"/>
  <c r="G57" i="19"/>
  <c r="B58" i="19"/>
  <c r="C58" i="19"/>
  <c r="D58" i="19"/>
  <c r="G58" i="19"/>
  <c r="B59" i="19"/>
  <c r="C59" i="19"/>
  <c r="D59" i="19"/>
  <c r="G59" i="19"/>
  <c r="G68" i="17"/>
  <c r="G69" i="17"/>
  <c r="G70" i="17"/>
  <c r="G71" i="17"/>
  <c r="G72" i="17"/>
  <c r="G67" i="17"/>
  <c r="B68" i="17"/>
  <c r="C68" i="17"/>
  <c r="D68" i="17"/>
  <c r="B69" i="17"/>
  <c r="C69" i="17"/>
  <c r="D69" i="17"/>
  <c r="B70" i="17"/>
  <c r="C70" i="17"/>
  <c r="D70" i="17"/>
  <c r="B71" i="17"/>
  <c r="C71" i="17"/>
  <c r="D71" i="17"/>
  <c r="B72" i="17"/>
  <c r="C72" i="17"/>
  <c r="D72" i="17"/>
  <c r="C67" i="17"/>
  <c r="D67" i="17"/>
  <c r="B67" i="17"/>
  <c r="N16" i="32" l="1"/>
  <c r="Y8" i="32" s="1"/>
  <c r="N15" i="9"/>
  <c r="N15" i="2"/>
  <c r="N13" i="12"/>
  <c r="N15" i="12" s="1"/>
  <c r="N15" i="19"/>
  <c r="E1" i="19" s="1"/>
  <c r="N15" i="17"/>
  <c r="E1" i="17" s="1"/>
  <c r="N15" i="15"/>
  <c r="E1" i="15" s="1"/>
  <c r="N15" i="10"/>
  <c r="E1" i="10" s="1"/>
  <c r="G80" i="6"/>
  <c r="G81" i="6"/>
  <c r="G82" i="6"/>
  <c r="G83" i="6"/>
  <c r="G79" i="6"/>
  <c r="B80" i="6"/>
  <c r="C80" i="6"/>
  <c r="D80" i="6"/>
  <c r="B81" i="6"/>
  <c r="C81" i="6"/>
  <c r="D81" i="6"/>
  <c r="B82" i="6"/>
  <c r="C82" i="6"/>
  <c r="D82" i="6"/>
  <c r="B83" i="6"/>
  <c r="C83" i="6"/>
  <c r="D83" i="6"/>
  <c r="C79" i="6"/>
  <c r="D79" i="6"/>
  <c r="B79" i="6"/>
  <c r="N15" i="6"/>
  <c r="E1" i="6" s="1"/>
  <c r="N15" i="16"/>
  <c r="E1" i="16" s="1"/>
  <c r="N15" i="26"/>
  <c r="E1" i="26" s="1"/>
  <c r="N15" i="25"/>
  <c r="E1" i="25" s="1"/>
  <c r="G71" i="13"/>
  <c r="D71" i="13"/>
  <c r="C71" i="13"/>
  <c r="B71" i="13"/>
  <c r="G70" i="13"/>
  <c r="D70" i="13"/>
  <c r="C70" i="13"/>
  <c r="B70" i="13"/>
  <c r="G69" i="13"/>
  <c r="D69" i="13"/>
  <c r="C69" i="13"/>
  <c r="B69" i="13"/>
  <c r="G68" i="13"/>
  <c r="D68" i="13"/>
  <c r="C68" i="13"/>
  <c r="B68" i="13"/>
  <c r="G67" i="13"/>
  <c r="D67" i="13"/>
  <c r="C67" i="13"/>
  <c r="B67" i="13"/>
  <c r="G59" i="13"/>
  <c r="D59" i="13"/>
  <c r="C59" i="13"/>
  <c r="B59" i="13"/>
  <c r="G58" i="13"/>
  <c r="D58" i="13"/>
  <c r="C58" i="13"/>
  <c r="B58" i="13"/>
  <c r="G57" i="13"/>
  <c r="D57" i="13"/>
  <c r="C57" i="13"/>
  <c r="B57" i="13"/>
  <c r="G56" i="13"/>
  <c r="D56" i="13"/>
  <c r="C56" i="13"/>
  <c r="B56" i="13"/>
  <c r="G55" i="13"/>
  <c r="D55" i="13"/>
  <c r="C55" i="13"/>
  <c r="B55" i="13"/>
  <c r="G47" i="13"/>
  <c r="D47" i="13"/>
  <c r="C47" i="13"/>
  <c r="B47" i="13"/>
  <c r="G46" i="13"/>
  <c r="D46" i="13"/>
  <c r="C46" i="13"/>
  <c r="B46" i="13"/>
  <c r="G45" i="13"/>
  <c r="D45" i="13"/>
  <c r="C45" i="13"/>
  <c r="B45" i="13"/>
  <c r="G44" i="13"/>
  <c r="D44" i="13"/>
  <c r="C44" i="13"/>
  <c r="B44" i="13"/>
  <c r="G43" i="13"/>
  <c r="D43" i="13"/>
  <c r="C43" i="13"/>
  <c r="B43" i="13"/>
  <c r="G74" i="28"/>
  <c r="D74" i="28"/>
  <c r="C74" i="28"/>
  <c r="B74" i="28"/>
  <c r="G73" i="28"/>
  <c r="D73" i="28"/>
  <c r="C73" i="28"/>
  <c r="B73" i="28"/>
  <c r="G72" i="28"/>
  <c r="D72" i="28"/>
  <c r="C72" i="28"/>
  <c r="B72" i="28"/>
  <c r="G71" i="28"/>
  <c r="D71" i="28"/>
  <c r="C71" i="28"/>
  <c r="B71" i="28"/>
  <c r="G70" i="28"/>
  <c r="D70" i="28"/>
  <c r="C70" i="28"/>
  <c r="B70" i="28"/>
  <c r="G69" i="28"/>
  <c r="D69" i="28"/>
  <c r="C69" i="28"/>
  <c r="B69" i="28"/>
  <c r="G68" i="28"/>
  <c r="D68" i="28"/>
  <c r="C68" i="28"/>
  <c r="B68" i="28"/>
  <c r="G67" i="28"/>
  <c r="D67" i="28"/>
  <c r="C67" i="28"/>
  <c r="B67" i="28"/>
  <c r="G66" i="28"/>
  <c r="D66" i="28"/>
  <c r="C66" i="28"/>
  <c r="B66" i="28"/>
  <c r="G65" i="28"/>
  <c r="D65" i="28"/>
  <c r="C65" i="28"/>
  <c r="B65" i="28"/>
  <c r="G64" i="28"/>
  <c r="D64" i="28"/>
  <c r="C64" i="28"/>
  <c r="B64" i="28"/>
  <c r="G63" i="28"/>
  <c r="D63" i="28"/>
  <c r="C63" i="28"/>
  <c r="B63" i="28"/>
  <c r="G62" i="28"/>
  <c r="D62" i="28"/>
  <c r="C62" i="28"/>
  <c r="B62" i="28"/>
  <c r="G55" i="28"/>
  <c r="D55" i="28"/>
  <c r="C55" i="28"/>
  <c r="B55" i="28"/>
  <c r="G54" i="28"/>
  <c r="D54" i="28"/>
  <c r="C54" i="28"/>
  <c r="B54" i="28"/>
  <c r="G53" i="28"/>
  <c r="D53" i="28"/>
  <c r="C53" i="28"/>
  <c r="B53" i="28"/>
  <c r="G52" i="28"/>
  <c r="D52" i="28"/>
  <c r="C52" i="28"/>
  <c r="B52" i="28"/>
  <c r="G51" i="28"/>
  <c r="D51" i="28"/>
  <c r="C51" i="28"/>
  <c r="B51" i="28"/>
  <c r="G50" i="28"/>
  <c r="D50" i="28"/>
  <c r="C50" i="28"/>
  <c r="B50" i="28"/>
  <c r="G49" i="28"/>
  <c r="D49" i="28"/>
  <c r="C49" i="28"/>
  <c r="B49" i="28"/>
  <c r="G48" i="28"/>
  <c r="D48" i="28"/>
  <c r="C48" i="28"/>
  <c r="B48" i="28"/>
  <c r="G47" i="28"/>
  <c r="D47" i="28"/>
  <c r="C47" i="28"/>
  <c r="B47" i="28"/>
  <c r="G46" i="28"/>
  <c r="D46" i="28"/>
  <c r="C46" i="28"/>
  <c r="B46" i="28"/>
  <c r="G45" i="28"/>
  <c r="D45" i="28"/>
  <c r="C45" i="28"/>
  <c r="B45" i="28"/>
  <c r="G44" i="28"/>
  <c r="D44" i="28"/>
  <c r="C44" i="28"/>
  <c r="B44" i="28"/>
  <c r="G43" i="28"/>
  <c r="D43" i="28"/>
  <c r="C43" i="28"/>
  <c r="B43" i="28"/>
  <c r="G60" i="11"/>
  <c r="D60" i="11"/>
  <c r="C60" i="11"/>
  <c r="B60" i="11"/>
  <c r="G59" i="11"/>
  <c r="D59" i="11"/>
  <c r="C59" i="11"/>
  <c r="B59" i="11"/>
  <c r="G58" i="11"/>
  <c r="D58" i="11"/>
  <c r="C58" i="11"/>
  <c r="B58" i="11"/>
  <c r="G57" i="11"/>
  <c r="D57" i="11"/>
  <c r="C57" i="11"/>
  <c r="B57" i="11"/>
  <c r="G56" i="11"/>
  <c r="D56" i="11"/>
  <c r="C56" i="11"/>
  <c r="B56" i="11"/>
  <c r="G55" i="11"/>
  <c r="D55" i="11"/>
  <c r="C55" i="11"/>
  <c r="B55" i="11"/>
  <c r="G48" i="11"/>
  <c r="D48" i="11"/>
  <c r="C48" i="11"/>
  <c r="B48" i="11"/>
  <c r="G47" i="11"/>
  <c r="D47" i="11"/>
  <c r="C47" i="11"/>
  <c r="B47" i="11"/>
  <c r="G46" i="11"/>
  <c r="D46" i="11"/>
  <c r="C46" i="11"/>
  <c r="B46" i="11"/>
  <c r="G45" i="11"/>
  <c r="D45" i="11"/>
  <c r="C45" i="11"/>
  <c r="B45" i="11"/>
  <c r="G44" i="11"/>
  <c r="D44" i="11"/>
  <c r="C44" i="11"/>
  <c r="B44" i="11"/>
  <c r="G43" i="11"/>
  <c r="D43" i="11"/>
  <c r="C43" i="11"/>
  <c r="B43" i="11"/>
  <c r="G71" i="25"/>
  <c r="D71" i="25"/>
  <c r="C71" i="25"/>
  <c r="B71" i="25"/>
  <c r="G70" i="25"/>
  <c r="D70" i="25"/>
  <c r="C70" i="25"/>
  <c r="B70" i="25"/>
  <c r="G69" i="25"/>
  <c r="D69" i="25"/>
  <c r="C69" i="25"/>
  <c r="B69" i="25"/>
  <c r="G68" i="25"/>
  <c r="D68" i="25"/>
  <c r="C68" i="25"/>
  <c r="B68" i="25"/>
  <c r="G67" i="25"/>
  <c r="D67" i="25"/>
  <c r="C67" i="25"/>
  <c r="B67" i="25"/>
  <c r="G59" i="25"/>
  <c r="D59" i="25"/>
  <c r="C59" i="25"/>
  <c r="B59" i="25"/>
  <c r="G58" i="25"/>
  <c r="D58" i="25"/>
  <c r="C58" i="25"/>
  <c r="B58" i="25"/>
  <c r="G57" i="25"/>
  <c r="D57" i="25"/>
  <c r="C57" i="25"/>
  <c r="B57" i="25"/>
  <c r="G56" i="25"/>
  <c r="D56" i="25"/>
  <c r="C56" i="25"/>
  <c r="B56" i="25"/>
  <c r="G55" i="25"/>
  <c r="D55" i="25"/>
  <c r="C55" i="25"/>
  <c r="B55" i="25"/>
  <c r="G47" i="25"/>
  <c r="D47" i="25"/>
  <c r="C47" i="25"/>
  <c r="B47" i="25"/>
  <c r="G46" i="25"/>
  <c r="D46" i="25"/>
  <c r="C46" i="25"/>
  <c r="B46" i="25"/>
  <c r="G45" i="25"/>
  <c r="D45" i="25"/>
  <c r="C45" i="25"/>
  <c r="B45" i="25"/>
  <c r="G44" i="25"/>
  <c r="D44" i="25"/>
  <c r="C44" i="25"/>
  <c r="B44" i="25"/>
  <c r="G43" i="25"/>
  <c r="D43" i="25"/>
  <c r="C43" i="25"/>
  <c r="B43" i="25"/>
  <c r="G71" i="19"/>
  <c r="D71" i="19"/>
  <c r="C71" i="19"/>
  <c r="B71" i="19"/>
  <c r="G70" i="19"/>
  <c r="D70" i="19"/>
  <c r="C70" i="19"/>
  <c r="B70" i="19"/>
  <c r="G69" i="19"/>
  <c r="D69" i="19"/>
  <c r="C69" i="19"/>
  <c r="B69" i="19"/>
  <c r="G68" i="19"/>
  <c r="D68" i="19"/>
  <c r="C68" i="19"/>
  <c r="B68" i="19"/>
  <c r="G67" i="19"/>
  <c r="D67" i="19"/>
  <c r="C67" i="19"/>
  <c r="B67" i="19"/>
  <c r="G47" i="19"/>
  <c r="D47" i="19"/>
  <c r="C47" i="19"/>
  <c r="B47" i="19"/>
  <c r="G46" i="19"/>
  <c r="D46" i="19"/>
  <c r="C46" i="19"/>
  <c r="B46" i="19"/>
  <c r="G45" i="19"/>
  <c r="D45" i="19"/>
  <c r="C45" i="19"/>
  <c r="B45" i="19"/>
  <c r="G44" i="19"/>
  <c r="D44" i="19"/>
  <c r="C44" i="19"/>
  <c r="B44" i="19"/>
  <c r="G43" i="19"/>
  <c r="D43" i="19"/>
  <c r="C43" i="19"/>
  <c r="B43" i="19"/>
  <c r="G71" i="15"/>
  <c r="D71" i="15"/>
  <c r="C71" i="15"/>
  <c r="B71" i="15"/>
  <c r="G70" i="15"/>
  <c r="D70" i="15"/>
  <c r="C70" i="15"/>
  <c r="B70" i="15"/>
  <c r="G69" i="15"/>
  <c r="D69" i="15"/>
  <c r="C69" i="15"/>
  <c r="B69" i="15"/>
  <c r="G68" i="15"/>
  <c r="D68" i="15"/>
  <c r="C68" i="15"/>
  <c r="B68" i="15"/>
  <c r="G67" i="15"/>
  <c r="D67" i="15"/>
  <c r="C67" i="15"/>
  <c r="B67" i="15"/>
  <c r="G59" i="15"/>
  <c r="D59" i="15"/>
  <c r="C59" i="15"/>
  <c r="B59" i="15"/>
  <c r="G58" i="15"/>
  <c r="D58" i="15"/>
  <c r="C58" i="15"/>
  <c r="B58" i="15"/>
  <c r="G57" i="15"/>
  <c r="D57" i="15"/>
  <c r="C57" i="15"/>
  <c r="B57" i="15"/>
  <c r="G56" i="15"/>
  <c r="D56" i="15"/>
  <c r="C56" i="15"/>
  <c r="B56" i="15"/>
  <c r="G55" i="15"/>
  <c r="D55" i="15"/>
  <c r="C55" i="15"/>
  <c r="B55" i="15"/>
  <c r="G47" i="15"/>
  <c r="D47" i="15"/>
  <c r="C47" i="15"/>
  <c r="B47" i="15"/>
  <c r="G46" i="15"/>
  <c r="D46" i="15"/>
  <c r="C46" i="15"/>
  <c r="B46" i="15"/>
  <c r="G45" i="15"/>
  <c r="D45" i="15"/>
  <c r="C45" i="15"/>
  <c r="B45" i="15"/>
  <c r="G44" i="15"/>
  <c r="D44" i="15"/>
  <c r="C44" i="15"/>
  <c r="B44" i="15"/>
  <c r="G43" i="15"/>
  <c r="D43" i="15"/>
  <c r="C43" i="15"/>
  <c r="B43" i="15"/>
  <c r="G71" i="10"/>
  <c r="D71" i="10"/>
  <c r="C71" i="10"/>
  <c r="B71" i="10"/>
  <c r="G70" i="10"/>
  <c r="D70" i="10"/>
  <c r="C70" i="10"/>
  <c r="B70" i="10"/>
  <c r="G69" i="10"/>
  <c r="D69" i="10"/>
  <c r="C69" i="10"/>
  <c r="B69" i="10"/>
  <c r="G68" i="10"/>
  <c r="D68" i="10"/>
  <c r="C68" i="10"/>
  <c r="B68" i="10"/>
  <c r="G67" i="10"/>
  <c r="D67" i="10"/>
  <c r="C67" i="10"/>
  <c r="B67" i="10"/>
  <c r="G59" i="10"/>
  <c r="D59" i="10"/>
  <c r="C59" i="10"/>
  <c r="B59" i="10"/>
  <c r="G58" i="10"/>
  <c r="D58" i="10"/>
  <c r="C58" i="10"/>
  <c r="B58" i="10"/>
  <c r="G57" i="10"/>
  <c r="D57" i="10"/>
  <c r="C57" i="10"/>
  <c r="B57" i="10"/>
  <c r="G56" i="10"/>
  <c r="D56" i="10"/>
  <c r="C56" i="10"/>
  <c r="B56" i="10"/>
  <c r="G55" i="10"/>
  <c r="D55" i="10"/>
  <c r="C55" i="10"/>
  <c r="B55" i="10"/>
  <c r="G47" i="10"/>
  <c r="D47" i="10"/>
  <c r="C47" i="10"/>
  <c r="B47" i="10"/>
  <c r="G46" i="10"/>
  <c r="D46" i="10"/>
  <c r="C46" i="10"/>
  <c r="B46" i="10"/>
  <c r="G45" i="10"/>
  <c r="D45" i="10"/>
  <c r="C45" i="10"/>
  <c r="B45" i="10"/>
  <c r="G44" i="10"/>
  <c r="D44" i="10"/>
  <c r="C44" i="10"/>
  <c r="B44" i="10"/>
  <c r="G43" i="10"/>
  <c r="D43" i="10"/>
  <c r="C43" i="10"/>
  <c r="B43" i="10"/>
  <c r="G71" i="6"/>
  <c r="D71" i="6"/>
  <c r="C71" i="6"/>
  <c r="B71" i="6"/>
  <c r="G70" i="6"/>
  <c r="D70" i="6"/>
  <c r="C70" i="6"/>
  <c r="B70" i="6"/>
  <c r="G69" i="6"/>
  <c r="D69" i="6"/>
  <c r="C69" i="6"/>
  <c r="B69" i="6"/>
  <c r="G68" i="6"/>
  <c r="D68" i="6"/>
  <c r="C68" i="6"/>
  <c r="B68" i="6"/>
  <c r="G67" i="6"/>
  <c r="D67" i="6"/>
  <c r="C67" i="6"/>
  <c r="B67" i="6"/>
  <c r="G59" i="6"/>
  <c r="D59" i="6"/>
  <c r="C59" i="6"/>
  <c r="B59" i="6"/>
  <c r="G58" i="6"/>
  <c r="D58" i="6"/>
  <c r="C58" i="6"/>
  <c r="B58" i="6"/>
  <c r="G57" i="6"/>
  <c r="D57" i="6"/>
  <c r="C57" i="6"/>
  <c r="B57" i="6"/>
  <c r="G56" i="6"/>
  <c r="D56" i="6"/>
  <c r="C56" i="6"/>
  <c r="B56" i="6"/>
  <c r="G55" i="6"/>
  <c r="D55" i="6"/>
  <c r="C55" i="6"/>
  <c r="B55" i="6"/>
  <c r="G47" i="6"/>
  <c r="D47" i="6"/>
  <c r="C47" i="6"/>
  <c r="B47" i="6"/>
  <c r="G46" i="6"/>
  <c r="D46" i="6"/>
  <c r="C46" i="6"/>
  <c r="B46" i="6"/>
  <c r="G45" i="6"/>
  <c r="D45" i="6"/>
  <c r="C45" i="6"/>
  <c r="B45" i="6"/>
  <c r="G44" i="6"/>
  <c r="D44" i="6"/>
  <c r="C44" i="6"/>
  <c r="B44" i="6"/>
  <c r="G43" i="6"/>
  <c r="D43" i="6"/>
  <c r="C43" i="6"/>
  <c r="B43" i="6"/>
  <c r="G71" i="5"/>
  <c r="D71" i="5"/>
  <c r="C71" i="5"/>
  <c r="B71" i="5"/>
  <c r="G70" i="5"/>
  <c r="D70" i="5"/>
  <c r="C70" i="5"/>
  <c r="B70" i="5"/>
  <c r="G69" i="5"/>
  <c r="D69" i="5"/>
  <c r="C69" i="5"/>
  <c r="B69" i="5"/>
  <c r="G68" i="5"/>
  <c r="D68" i="5"/>
  <c r="C68" i="5"/>
  <c r="B68" i="5"/>
  <c r="G67" i="5"/>
  <c r="D67" i="5"/>
  <c r="C67" i="5"/>
  <c r="B67" i="5"/>
  <c r="G59" i="5"/>
  <c r="D59" i="5"/>
  <c r="C59" i="5"/>
  <c r="B59" i="5"/>
  <c r="G58" i="5"/>
  <c r="D58" i="5"/>
  <c r="C58" i="5"/>
  <c r="B58" i="5"/>
  <c r="G57" i="5"/>
  <c r="D57" i="5"/>
  <c r="C57" i="5"/>
  <c r="B57" i="5"/>
  <c r="G56" i="5"/>
  <c r="D56" i="5"/>
  <c r="C56" i="5"/>
  <c r="B56" i="5"/>
  <c r="G55" i="5"/>
  <c r="D55" i="5"/>
  <c r="C55" i="5"/>
  <c r="B55" i="5"/>
  <c r="G47" i="5"/>
  <c r="D47" i="5"/>
  <c r="C47" i="5"/>
  <c r="B47" i="5"/>
  <c r="G46" i="5"/>
  <c r="D46" i="5"/>
  <c r="C46" i="5"/>
  <c r="B46" i="5"/>
  <c r="G45" i="5"/>
  <c r="D45" i="5"/>
  <c r="C45" i="5"/>
  <c r="B45" i="5"/>
  <c r="G44" i="5"/>
  <c r="D44" i="5"/>
  <c r="C44" i="5"/>
  <c r="B44" i="5"/>
  <c r="G43" i="5"/>
  <c r="D43" i="5"/>
  <c r="C43" i="5"/>
  <c r="B43" i="5"/>
  <c r="N15" i="5"/>
  <c r="E1" i="5" s="1"/>
  <c r="G71" i="14"/>
  <c r="D71" i="14"/>
  <c r="C71" i="14"/>
  <c r="B71" i="14"/>
  <c r="G70" i="14"/>
  <c r="D70" i="14"/>
  <c r="C70" i="14"/>
  <c r="B70" i="14"/>
  <c r="G69" i="14"/>
  <c r="D69" i="14"/>
  <c r="C69" i="14"/>
  <c r="B69" i="14"/>
  <c r="G68" i="14"/>
  <c r="D68" i="14"/>
  <c r="C68" i="14"/>
  <c r="B68" i="14"/>
  <c r="G67" i="14"/>
  <c r="D67" i="14"/>
  <c r="C67" i="14"/>
  <c r="B67" i="14"/>
  <c r="G59" i="14"/>
  <c r="D59" i="14"/>
  <c r="C59" i="14"/>
  <c r="B59" i="14"/>
  <c r="G58" i="14"/>
  <c r="D58" i="14"/>
  <c r="C58" i="14"/>
  <c r="B58" i="14"/>
  <c r="G57" i="14"/>
  <c r="D57" i="14"/>
  <c r="C57" i="14"/>
  <c r="B57" i="14"/>
  <c r="G56" i="14"/>
  <c r="D56" i="14"/>
  <c r="C56" i="14"/>
  <c r="B56" i="14"/>
  <c r="G55" i="14"/>
  <c r="D55" i="14"/>
  <c r="C55" i="14"/>
  <c r="B55" i="14"/>
  <c r="G47" i="14"/>
  <c r="D47" i="14"/>
  <c r="C47" i="14"/>
  <c r="B47" i="14"/>
  <c r="G46" i="14"/>
  <c r="D46" i="14"/>
  <c r="C46" i="14"/>
  <c r="B46" i="14"/>
  <c r="G45" i="14"/>
  <c r="D45" i="14"/>
  <c r="C45" i="14"/>
  <c r="B45" i="14"/>
  <c r="G44" i="14"/>
  <c r="D44" i="14"/>
  <c r="C44" i="14"/>
  <c r="B44" i="14"/>
  <c r="G43" i="14"/>
  <c r="D43" i="14"/>
  <c r="C43" i="14"/>
  <c r="B43" i="14"/>
  <c r="N15" i="14"/>
  <c r="E1" i="14" s="1"/>
  <c r="G71" i="2"/>
  <c r="D71" i="2"/>
  <c r="C71" i="2"/>
  <c r="B71" i="2"/>
  <c r="G70" i="2"/>
  <c r="D70" i="2"/>
  <c r="C70" i="2"/>
  <c r="B70" i="2"/>
  <c r="G69" i="2"/>
  <c r="D69" i="2"/>
  <c r="C69" i="2"/>
  <c r="B69" i="2"/>
  <c r="G68" i="2"/>
  <c r="D68" i="2"/>
  <c r="C68" i="2"/>
  <c r="B68" i="2"/>
  <c r="G67" i="2"/>
  <c r="D67" i="2"/>
  <c r="C67" i="2"/>
  <c r="B67" i="2"/>
  <c r="G59" i="2"/>
  <c r="D59" i="2"/>
  <c r="C59" i="2"/>
  <c r="B59" i="2"/>
  <c r="G58" i="2"/>
  <c r="D58" i="2"/>
  <c r="C58" i="2"/>
  <c r="B58" i="2"/>
  <c r="G57" i="2"/>
  <c r="D57" i="2"/>
  <c r="C57" i="2"/>
  <c r="B57" i="2"/>
  <c r="G56" i="2"/>
  <c r="D56" i="2"/>
  <c r="C56" i="2"/>
  <c r="B56" i="2"/>
  <c r="G55" i="2"/>
  <c r="D55" i="2"/>
  <c r="C55" i="2"/>
  <c r="B55" i="2"/>
  <c r="G60" i="16"/>
  <c r="D60" i="16"/>
  <c r="C60" i="16"/>
  <c r="B60" i="16"/>
  <c r="G59" i="16"/>
  <c r="D59" i="16"/>
  <c r="C59" i="16"/>
  <c r="B59" i="16"/>
  <c r="G58" i="16"/>
  <c r="D58" i="16"/>
  <c r="C58" i="16"/>
  <c r="B58" i="16"/>
  <c r="G57" i="16"/>
  <c r="D57" i="16"/>
  <c r="C57" i="16"/>
  <c r="B57" i="16"/>
  <c r="G56" i="16"/>
  <c r="D56" i="16"/>
  <c r="C56" i="16"/>
  <c r="B56" i="16"/>
  <c r="G55" i="16"/>
  <c r="D55" i="16"/>
  <c r="C55" i="16"/>
  <c r="B55" i="16"/>
  <c r="G48" i="16"/>
  <c r="D48" i="16"/>
  <c r="C48" i="16"/>
  <c r="B48" i="16"/>
  <c r="G47" i="16"/>
  <c r="D47" i="16"/>
  <c r="C47" i="16"/>
  <c r="B47" i="16"/>
  <c r="G46" i="16"/>
  <c r="D46" i="16"/>
  <c r="C46" i="16"/>
  <c r="B46" i="16"/>
  <c r="G45" i="16"/>
  <c r="D45" i="16"/>
  <c r="C45" i="16"/>
  <c r="B45" i="16"/>
  <c r="G44" i="16"/>
  <c r="D44" i="16"/>
  <c r="C44" i="16"/>
  <c r="B44" i="16"/>
  <c r="G43" i="16"/>
  <c r="D43" i="16"/>
  <c r="C43" i="16"/>
  <c r="B43" i="16"/>
  <c r="G60" i="3"/>
  <c r="D60" i="3"/>
  <c r="C60" i="3"/>
  <c r="B60" i="3"/>
  <c r="G59" i="3"/>
  <c r="D59" i="3"/>
  <c r="C59" i="3"/>
  <c r="B59" i="3"/>
  <c r="G58" i="3"/>
  <c r="D58" i="3"/>
  <c r="C58" i="3"/>
  <c r="B58" i="3"/>
  <c r="G57" i="3"/>
  <c r="D57" i="3"/>
  <c r="C57" i="3"/>
  <c r="B57" i="3"/>
  <c r="G56" i="3"/>
  <c r="D56" i="3"/>
  <c r="C56" i="3"/>
  <c r="B56" i="3"/>
  <c r="G55" i="3"/>
  <c r="D55" i="3"/>
  <c r="C55" i="3"/>
  <c r="B55" i="3"/>
  <c r="G48" i="3"/>
  <c r="D48" i="3"/>
  <c r="C48" i="3"/>
  <c r="B48" i="3"/>
  <c r="G47" i="3"/>
  <c r="D47" i="3"/>
  <c r="C47" i="3"/>
  <c r="B47" i="3"/>
  <c r="G46" i="3"/>
  <c r="D46" i="3"/>
  <c r="C46" i="3"/>
  <c r="B46" i="3"/>
  <c r="G45" i="3"/>
  <c r="D45" i="3"/>
  <c r="C45" i="3"/>
  <c r="B45" i="3"/>
  <c r="G44" i="3"/>
  <c r="D44" i="3"/>
  <c r="C44" i="3"/>
  <c r="B44" i="3"/>
  <c r="G43" i="3"/>
  <c r="D43" i="3"/>
  <c r="C43" i="3"/>
  <c r="B43" i="3"/>
  <c r="N15" i="3"/>
  <c r="E1" i="3" s="1"/>
  <c r="G60" i="7"/>
  <c r="D60" i="7"/>
  <c r="C60" i="7"/>
  <c r="B60" i="7"/>
  <c r="G59" i="7"/>
  <c r="D59" i="7"/>
  <c r="C59" i="7"/>
  <c r="B59" i="7"/>
  <c r="G58" i="7"/>
  <c r="D58" i="7"/>
  <c r="C58" i="7"/>
  <c r="B58" i="7"/>
  <c r="G57" i="7"/>
  <c r="D57" i="7"/>
  <c r="C57" i="7"/>
  <c r="B57" i="7"/>
  <c r="G56" i="7"/>
  <c r="D56" i="7"/>
  <c r="C56" i="7"/>
  <c r="B56" i="7"/>
  <c r="G55" i="7"/>
  <c r="D55" i="7"/>
  <c r="C55" i="7"/>
  <c r="B55" i="7"/>
  <c r="G48" i="7"/>
  <c r="D48" i="7"/>
  <c r="C48" i="7"/>
  <c r="B48" i="7"/>
  <c r="G47" i="7"/>
  <c r="D47" i="7"/>
  <c r="C47" i="7"/>
  <c r="B47" i="7"/>
  <c r="G46" i="7"/>
  <c r="D46" i="7"/>
  <c r="C46" i="7"/>
  <c r="B46" i="7"/>
  <c r="G45" i="7"/>
  <c r="D45" i="7"/>
  <c r="C45" i="7"/>
  <c r="B45" i="7"/>
  <c r="G44" i="7"/>
  <c r="D44" i="7"/>
  <c r="C44" i="7"/>
  <c r="B44" i="7"/>
  <c r="G43" i="7"/>
  <c r="D43" i="7"/>
  <c r="C43" i="7"/>
  <c r="B43" i="7"/>
  <c r="N15" i="7"/>
  <c r="E1" i="7" s="1"/>
  <c r="G60" i="17"/>
  <c r="D60" i="17"/>
  <c r="C60" i="17"/>
  <c r="B60" i="17"/>
  <c r="G59" i="17"/>
  <c r="D59" i="17"/>
  <c r="C59" i="17"/>
  <c r="B59" i="17"/>
  <c r="G58" i="17"/>
  <c r="D58" i="17"/>
  <c r="C58" i="17"/>
  <c r="B58" i="17"/>
  <c r="G57" i="17"/>
  <c r="D57" i="17"/>
  <c r="C57" i="17"/>
  <c r="B57" i="17"/>
  <c r="G56" i="17"/>
  <c r="D56" i="17"/>
  <c r="C56" i="17"/>
  <c r="B56" i="17"/>
  <c r="G55" i="17"/>
  <c r="D55" i="17"/>
  <c r="C55" i="17"/>
  <c r="B55" i="17"/>
  <c r="G48" i="17"/>
  <c r="D48" i="17"/>
  <c r="C48" i="17"/>
  <c r="B48" i="17"/>
  <c r="G47" i="17"/>
  <c r="D47" i="17"/>
  <c r="C47" i="17"/>
  <c r="B47" i="17"/>
  <c r="G46" i="17"/>
  <c r="D46" i="17"/>
  <c r="C46" i="17"/>
  <c r="B46" i="17"/>
  <c r="G45" i="17"/>
  <c r="D45" i="17"/>
  <c r="C45" i="17"/>
  <c r="B45" i="17"/>
  <c r="G44" i="17"/>
  <c r="D44" i="17"/>
  <c r="C44" i="17"/>
  <c r="B44" i="17"/>
  <c r="G43" i="17"/>
  <c r="D43" i="17"/>
  <c r="C43" i="17"/>
  <c r="B43" i="17"/>
  <c r="N15" i="11"/>
  <c r="E1" i="11" s="1"/>
  <c r="B44" i="22"/>
  <c r="C44" i="22"/>
  <c r="D44" i="22"/>
  <c r="G44" i="22"/>
  <c r="B45" i="22"/>
  <c r="C45" i="22"/>
  <c r="D45" i="22"/>
  <c r="G45" i="22"/>
  <c r="B46" i="22"/>
  <c r="C46" i="22"/>
  <c r="D46" i="22"/>
  <c r="G46" i="22"/>
  <c r="B47" i="22"/>
  <c r="C47" i="22"/>
  <c r="D47" i="22"/>
  <c r="G47" i="22"/>
  <c r="B48" i="22"/>
  <c r="C48" i="22"/>
  <c r="D48" i="22"/>
  <c r="G48" i="22"/>
  <c r="B49" i="22"/>
  <c r="C49" i="22"/>
  <c r="D49" i="22"/>
  <c r="G49" i="22"/>
  <c r="B50" i="22"/>
  <c r="C50" i="22"/>
  <c r="D50" i="22"/>
  <c r="G50" i="22"/>
  <c r="B51" i="22"/>
  <c r="C51" i="22"/>
  <c r="D51" i="22"/>
  <c r="G51" i="22"/>
  <c r="B52" i="22"/>
  <c r="C52" i="22"/>
  <c r="D52" i="22"/>
  <c r="G52" i="22"/>
  <c r="B53" i="22"/>
  <c r="C53" i="22"/>
  <c r="D53" i="22"/>
  <c r="G53" i="22"/>
  <c r="B54" i="22"/>
  <c r="C54" i="22"/>
  <c r="D54" i="22"/>
  <c r="G54" i="22"/>
  <c r="B55" i="22"/>
  <c r="C55" i="22"/>
  <c r="D55" i="22"/>
  <c r="G55" i="22"/>
  <c r="B56" i="22"/>
  <c r="C56" i="22"/>
  <c r="D56" i="22"/>
  <c r="G56" i="22"/>
  <c r="B62" i="23"/>
  <c r="C62" i="23"/>
  <c r="D62" i="23"/>
  <c r="G62" i="23"/>
  <c r="B70" i="24"/>
  <c r="C70" i="24"/>
  <c r="D70" i="24"/>
  <c r="G70" i="24"/>
  <c r="B71" i="24"/>
  <c r="C71" i="24"/>
  <c r="D71" i="24"/>
  <c r="G71" i="24"/>
  <c r="B72" i="24"/>
  <c r="C72" i="24"/>
  <c r="D72" i="24"/>
  <c r="G72" i="24"/>
  <c r="B58" i="24"/>
  <c r="C58" i="24"/>
  <c r="D58" i="24"/>
  <c r="G58" i="24"/>
  <c r="B59" i="24"/>
  <c r="C59" i="24"/>
  <c r="D59" i="24"/>
  <c r="G59" i="24"/>
  <c r="B47" i="24"/>
  <c r="C47" i="24"/>
  <c r="D47" i="24"/>
  <c r="G47" i="24"/>
  <c r="B48" i="24"/>
  <c r="C48" i="24"/>
  <c r="D48" i="24"/>
  <c r="G48" i="24"/>
  <c r="G47" i="2"/>
  <c r="D47" i="2"/>
  <c r="C47" i="2"/>
  <c r="B47" i="2"/>
  <c r="G46" i="2"/>
  <c r="D46" i="2"/>
  <c r="C46" i="2"/>
  <c r="B46" i="2"/>
  <c r="G45" i="2"/>
  <c r="D45" i="2"/>
  <c r="C45" i="2"/>
  <c r="B45" i="2"/>
  <c r="G44" i="2"/>
  <c r="D44" i="2"/>
  <c r="C44" i="2"/>
  <c r="B44" i="2"/>
  <c r="G43" i="2"/>
  <c r="D43" i="2"/>
  <c r="C43" i="2"/>
  <c r="B43" i="2"/>
  <c r="G74" i="4"/>
  <c r="D74" i="4"/>
  <c r="C74" i="4"/>
  <c r="B74" i="4"/>
  <c r="G73" i="4"/>
  <c r="D73" i="4"/>
  <c r="C73" i="4"/>
  <c r="B73" i="4"/>
  <c r="G72" i="4"/>
  <c r="D72" i="4"/>
  <c r="C72" i="4"/>
  <c r="B72" i="4"/>
  <c r="G71" i="4"/>
  <c r="D71" i="4"/>
  <c r="C71" i="4"/>
  <c r="B71" i="4"/>
  <c r="G70" i="4"/>
  <c r="D70" i="4"/>
  <c r="C70" i="4"/>
  <c r="B70" i="4"/>
  <c r="G69" i="4"/>
  <c r="D69" i="4"/>
  <c r="C69" i="4"/>
  <c r="B69" i="4"/>
  <c r="G68" i="4"/>
  <c r="D68" i="4"/>
  <c r="C68" i="4"/>
  <c r="B68" i="4"/>
  <c r="G67" i="4"/>
  <c r="D67" i="4"/>
  <c r="C67" i="4"/>
  <c r="B67" i="4"/>
  <c r="G66" i="4"/>
  <c r="D66" i="4"/>
  <c r="C66" i="4"/>
  <c r="B66" i="4"/>
  <c r="G65" i="4"/>
  <c r="D65" i="4"/>
  <c r="C65" i="4"/>
  <c r="B65" i="4"/>
  <c r="G64" i="4"/>
  <c r="D64" i="4"/>
  <c r="C64" i="4"/>
  <c r="B64" i="4"/>
  <c r="G63" i="4"/>
  <c r="D63" i="4"/>
  <c r="C63" i="4"/>
  <c r="B63" i="4"/>
  <c r="G62" i="4"/>
  <c r="D62" i="4"/>
  <c r="C62" i="4"/>
  <c r="B62" i="4"/>
  <c r="G55" i="4"/>
  <c r="D55" i="4"/>
  <c r="C55" i="4"/>
  <c r="B55" i="4"/>
  <c r="G54" i="4"/>
  <c r="D54" i="4"/>
  <c r="C54" i="4"/>
  <c r="B54" i="4"/>
  <c r="G53" i="4"/>
  <c r="D53" i="4"/>
  <c r="C53" i="4"/>
  <c r="B53" i="4"/>
  <c r="G52" i="4"/>
  <c r="D52" i="4"/>
  <c r="C52" i="4"/>
  <c r="B52" i="4"/>
  <c r="G51" i="4"/>
  <c r="D51" i="4"/>
  <c r="C51" i="4"/>
  <c r="B51" i="4"/>
  <c r="G50" i="4"/>
  <c r="D50" i="4"/>
  <c r="C50" i="4"/>
  <c r="B50" i="4"/>
  <c r="G49" i="4"/>
  <c r="D49" i="4"/>
  <c r="C49" i="4"/>
  <c r="B49" i="4"/>
  <c r="G48" i="4"/>
  <c r="D48" i="4"/>
  <c r="C48" i="4"/>
  <c r="B48" i="4"/>
  <c r="G47" i="4"/>
  <c r="D47" i="4"/>
  <c r="C47" i="4"/>
  <c r="B47" i="4"/>
  <c r="G46" i="4"/>
  <c r="D46" i="4"/>
  <c r="C46" i="4"/>
  <c r="B46" i="4"/>
  <c r="G45" i="4"/>
  <c r="D45" i="4"/>
  <c r="C45" i="4"/>
  <c r="B45" i="4"/>
  <c r="G44" i="4"/>
  <c r="D44" i="4"/>
  <c r="C44" i="4"/>
  <c r="B44" i="4"/>
  <c r="G43" i="4"/>
  <c r="D43" i="4"/>
  <c r="C43" i="4"/>
  <c r="B43" i="4"/>
  <c r="N15" i="4"/>
  <c r="E1" i="4" s="1"/>
  <c r="B72" i="29"/>
  <c r="C72" i="29"/>
  <c r="D72" i="29"/>
  <c r="G72" i="29"/>
  <c r="B60" i="29"/>
  <c r="C60" i="29"/>
  <c r="D60" i="29"/>
  <c r="G60" i="29"/>
  <c r="B48" i="29"/>
  <c r="C48" i="29"/>
  <c r="D48" i="29"/>
  <c r="G48" i="29"/>
  <c r="G71" i="30"/>
  <c r="D71" i="30"/>
  <c r="C71" i="30"/>
  <c r="B71" i="30"/>
  <c r="G70" i="30"/>
  <c r="D70" i="30"/>
  <c r="C70" i="30"/>
  <c r="B70" i="30"/>
  <c r="G69" i="30"/>
  <c r="D69" i="30"/>
  <c r="C69" i="30"/>
  <c r="B69" i="30"/>
  <c r="G68" i="30"/>
  <c r="D68" i="30"/>
  <c r="C68" i="30"/>
  <c r="B68" i="30"/>
  <c r="G67" i="30"/>
  <c r="D67" i="30"/>
  <c r="C67" i="30"/>
  <c r="B67" i="30"/>
  <c r="G59" i="30"/>
  <c r="D59" i="30"/>
  <c r="C59" i="30"/>
  <c r="B59" i="30"/>
  <c r="G58" i="30"/>
  <c r="D58" i="30"/>
  <c r="C58" i="30"/>
  <c r="B58" i="30"/>
  <c r="G57" i="30"/>
  <c r="D57" i="30"/>
  <c r="C57" i="30"/>
  <c r="B57" i="30"/>
  <c r="G56" i="30"/>
  <c r="D56" i="30"/>
  <c r="C56" i="30"/>
  <c r="B56" i="30"/>
  <c r="G55" i="30"/>
  <c r="D55" i="30"/>
  <c r="C55" i="30"/>
  <c r="B55" i="30"/>
  <c r="G47" i="30"/>
  <c r="D47" i="30"/>
  <c r="C47" i="30"/>
  <c r="B47" i="30"/>
  <c r="G46" i="30"/>
  <c r="D46" i="30"/>
  <c r="C46" i="30"/>
  <c r="B46" i="30"/>
  <c r="G45" i="30"/>
  <c r="D45" i="30"/>
  <c r="C45" i="30"/>
  <c r="B45" i="30"/>
  <c r="G44" i="30"/>
  <c r="D44" i="30"/>
  <c r="C44" i="30"/>
  <c r="B44" i="30"/>
  <c r="G43" i="30"/>
  <c r="D43" i="30"/>
  <c r="C43" i="30"/>
  <c r="B43" i="30"/>
  <c r="N15" i="30"/>
  <c r="E1" i="30" s="1"/>
  <c r="G71" i="29"/>
  <c r="D71" i="29"/>
  <c r="C71" i="29"/>
  <c r="B71" i="29"/>
  <c r="G70" i="29"/>
  <c r="D70" i="29"/>
  <c r="C70" i="29"/>
  <c r="B70" i="29"/>
  <c r="G69" i="29"/>
  <c r="D69" i="29"/>
  <c r="C69" i="29"/>
  <c r="B69" i="29"/>
  <c r="G68" i="29"/>
  <c r="D68" i="29"/>
  <c r="C68" i="29"/>
  <c r="B68" i="29"/>
  <c r="G67" i="29"/>
  <c r="D67" i="29"/>
  <c r="C67" i="29"/>
  <c r="B67" i="29"/>
  <c r="G59" i="29"/>
  <c r="D59" i="29"/>
  <c r="C59" i="29"/>
  <c r="B59" i="29"/>
  <c r="G58" i="29"/>
  <c r="D58" i="29"/>
  <c r="C58" i="29"/>
  <c r="B58" i="29"/>
  <c r="G57" i="29"/>
  <c r="D57" i="29"/>
  <c r="C57" i="29"/>
  <c r="B57" i="29"/>
  <c r="G56" i="29"/>
  <c r="D56" i="29"/>
  <c r="C56" i="29"/>
  <c r="B56" i="29"/>
  <c r="G55" i="29"/>
  <c r="D55" i="29"/>
  <c r="C55" i="29"/>
  <c r="B55" i="29"/>
  <c r="G47" i="29"/>
  <c r="D47" i="29"/>
  <c r="C47" i="29"/>
  <c r="B47" i="29"/>
  <c r="G46" i="29"/>
  <c r="D46" i="29"/>
  <c r="C46" i="29"/>
  <c r="B46" i="29"/>
  <c r="G45" i="29"/>
  <c r="D45" i="29"/>
  <c r="C45" i="29"/>
  <c r="B45" i="29"/>
  <c r="G44" i="29"/>
  <c r="D44" i="29"/>
  <c r="C44" i="29"/>
  <c r="B44" i="29"/>
  <c r="G43" i="29"/>
  <c r="D43" i="29"/>
  <c r="C43" i="29"/>
  <c r="B43" i="29"/>
  <c r="N15" i="29"/>
  <c r="E1" i="29" s="1"/>
  <c r="N15" i="28"/>
  <c r="E1" i="28" s="1"/>
  <c r="G62" i="27"/>
  <c r="D62" i="27"/>
  <c r="C62" i="27"/>
  <c r="B62" i="27"/>
  <c r="G61" i="27"/>
  <c r="D61" i="27"/>
  <c r="C61" i="27"/>
  <c r="B61" i="27"/>
  <c r="G60" i="27"/>
  <c r="D60" i="27"/>
  <c r="C60" i="27"/>
  <c r="B60" i="27"/>
  <c r="G59" i="27"/>
  <c r="D59" i="27"/>
  <c r="C59" i="27"/>
  <c r="B59" i="27"/>
  <c r="G58" i="27"/>
  <c r="D58" i="27"/>
  <c r="C58" i="27"/>
  <c r="B58" i="27"/>
  <c r="G57" i="27"/>
  <c r="D57" i="27"/>
  <c r="C57" i="27"/>
  <c r="B57" i="27"/>
  <c r="G56" i="27"/>
  <c r="D56" i="27"/>
  <c r="C56" i="27"/>
  <c r="B56" i="27"/>
  <c r="G49" i="27"/>
  <c r="D49" i="27"/>
  <c r="C49" i="27"/>
  <c r="B49" i="27"/>
  <c r="G48" i="27"/>
  <c r="D48" i="27"/>
  <c r="C48" i="27"/>
  <c r="B48" i="27"/>
  <c r="G47" i="27"/>
  <c r="D47" i="27"/>
  <c r="C47" i="27"/>
  <c r="B47" i="27"/>
  <c r="G46" i="27"/>
  <c r="D46" i="27"/>
  <c r="C46" i="27"/>
  <c r="B46" i="27"/>
  <c r="G45" i="27"/>
  <c r="D45" i="27"/>
  <c r="C45" i="27"/>
  <c r="B45" i="27"/>
  <c r="G44" i="27"/>
  <c r="D44" i="27"/>
  <c r="C44" i="27"/>
  <c r="B44" i="27"/>
  <c r="G43" i="27"/>
  <c r="D43" i="27"/>
  <c r="C43" i="27"/>
  <c r="B43" i="27"/>
  <c r="N15" i="27"/>
  <c r="E1" i="27" s="1"/>
  <c r="G62" i="26"/>
  <c r="D62" i="26"/>
  <c r="C62" i="26"/>
  <c r="B62" i="26"/>
  <c r="G61" i="26"/>
  <c r="D61" i="26"/>
  <c r="C61" i="26"/>
  <c r="B61" i="26"/>
  <c r="G60" i="26"/>
  <c r="D60" i="26"/>
  <c r="C60" i="26"/>
  <c r="B60" i="26"/>
  <c r="G59" i="26"/>
  <c r="D59" i="26"/>
  <c r="C59" i="26"/>
  <c r="B59" i="26"/>
  <c r="G58" i="26"/>
  <c r="D58" i="26"/>
  <c r="C58" i="26"/>
  <c r="B58" i="26"/>
  <c r="G57" i="26"/>
  <c r="D57" i="26"/>
  <c r="C57" i="26"/>
  <c r="B57" i="26"/>
  <c r="G48" i="26"/>
  <c r="D48" i="26"/>
  <c r="C48" i="26"/>
  <c r="B48" i="26"/>
  <c r="G47" i="26"/>
  <c r="D47" i="26"/>
  <c r="C47" i="26"/>
  <c r="B47" i="26"/>
  <c r="G46" i="26"/>
  <c r="D46" i="26"/>
  <c r="C46" i="26"/>
  <c r="B46" i="26"/>
  <c r="G45" i="26"/>
  <c r="D45" i="26"/>
  <c r="C45" i="26"/>
  <c r="B45" i="26"/>
  <c r="G44" i="26"/>
  <c r="D44" i="26"/>
  <c r="C44" i="26"/>
  <c r="B44" i="26"/>
  <c r="G43" i="26"/>
  <c r="D43" i="26"/>
  <c r="C43" i="26"/>
  <c r="B43" i="26"/>
  <c r="G69" i="24"/>
  <c r="D69" i="24"/>
  <c r="C69" i="24"/>
  <c r="B69" i="24"/>
  <c r="G68" i="24"/>
  <c r="D68" i="24"/>
  <c r="C68" i="24"/>
  <c r="B68" i="24"/>
  <c r="G67" i="24"/>
  <c r="D67" i="24"/>
  <c r="C67" i="24"/>
  <c r="B67" i="24"/>
  <c r="G66" i="24"/>
  <c r="D66" i="24"/>
  <c r="C66" i="24"/>
  <c r="B66" i="24"/>
  <c r="G57" i="24"/>
  <c r="D57" i="24"/>
  <c r="C57" i="24"/>
  <c r="B57" i="24"/>
  <c r="G56" i="24"/>
  <c r="D56" i="24"/>
  <c r="C56" i="24"/>
  <c r="B56" i="24"/>
  <c r="G55" i="24"/>
  <c r="D55" i="24"/>
  <c r="C55" i="24"/>
  <c r="B55" i="24"/>
  <c r="G54" i="24"/>
  <c r="D54" i="24"/>
  <c r="C54" i="24"/>
  <c r="B54" i="24"/>
  <c r="G46" i="24"/>
  <c r="D46" i="24"/>
  <c r="C46" i="24"/>
  <c r="B46" i="24"/>
  <c r="G45" i="24"/>
  <c r="D45" i="24"/>
  <c r="C45" i="24"/>
  <c r="B45" i="24"/>
  <c r="G44" i="24"/>
  <c r="D44" i="24"/>
  <c r="C44" i="24"/>
  <c r="B44" i="24"/>
  <c r="G43" i="24"/>
  <c r="D43" i="24"/>
  <c r="C43" i="24"/>
  <c r="B43" i="24"/>
  <c r="N15" i="24"/>
  <c r="E1" i="24" s="1"/>
  <c r="G61" i="23"/>
  <c r="D61" i="23"/>
  <c r="C61" i="23"/>
  <c r="B61" i="23"/>
  <c r="G60" i="23"/>
  <c r="D60" i="23"/>
  <c r="C60" i="23"/>
  <c r="B60" i="23"/>
  <c r="G59" i="23"/>
  <c r="D59" i="23"/>
  <c r="C59" i="23"/>
  <c r="B59" i="23"/>
  <c r="G58" i="23"/>
  <c r="D58" i="23"/>
  <c r="C58" i="23"/>
  <c r="B58" i="23"/>
  <c r="G57" i="23"/>
  <c r="D57" i="23"/>
  <c r="C57" i="23"/>
  <c r="B57" i="23"/>
  <c r="G56" i="23"/>
  <c r="D56" i="23"/>
  <c r="C56" i="23"/>
  <c r="B56" i="23"/>
  <c r="G49" i="23"/>
  <c r="D49" i="23"/>
  <c r="C49" i="23"/>
  <c r="B49" i="23"/>
  <c r="G48" i="23"/>
  <c r="D48" i="23"/>
  <c r="C48" i="23"/>
  <c r="B48" i="23"/>
  <c r="G47" i="23"/>
  <c r="D47" i="23"/>
  <c r="C47" i="23"/>
  <c r="B47" i="23"/>
  <c r="G46" i="23"/>
  <c r="D46" i="23"/>
  <c r="C46" i="23"/>
  <c r="B46" i="23"/>
  <c r="G45" i="23"/>
  <c r="D45" i="23"/>
  <c r="C45" i="23"/>
  <c r="B45" i="23"/>
  <c r="G44" i="23"/>
  <c r="D44" i="23"/>
  <c r="C44" i="23"/>
  <c r="B44" i="23"/>
  <c r="G43" i="23"/>
  <c r="D43" i="23"/>
  <c r="C43" i="23"/>
  <c r="B43" i="23"/>
  <c r="N15" i="23"/>
  <c r="E1" i="23" s="1"/>
  <c r="G78" i="22"/>
  <c r="D78" i="22"/>
  <c r="C78" i="22"/>
  <c r="B78" i="22"/>
  <c r="G77" i="22"/>
  <c r="D77" i="22"/>
  <c r="C77" i="22"/>
  <c r="B77" i="22"/>
  <c r="G76" i="22"/>
  <c r="D76" i="22"/>
  <c r="C76" i="22"/>
  <c r="B76" i="22"/>
  <c r="G75" i="22"/>
  <c r="D75" i="22"/>
  <c r="C75" i="22"/>
  <c r="B75" i="22"/>
  <c r="G74" i="22"/>
  <c r="D74" i="22"/>
  <c r="C74" i="22"/>
  <c r="B74" i="22"/>
  <c r="G73" i="22"/>
  <c r="D73" i="22"/>
  <c r="C73" i="22"/>
  <c r="B73" i="22"/>
  <c r="G72" i="22"/>
  <c r="D72" i="22"/>
  <c r="C72" i="22"/>
  <c r="B72" i="22"/>
  <c r="G71" i="22"/>
  <c r="D71" i="22"/>
  <c r="C71" i="22"/>
  <c r="B71" i="22"/>
  <c r="G70" i="22"/>
  <c r="D70" i="22"/>
  <c r="C70" i="22"/>
  <c r="B70" i="22"/>
  <c r="G69" i="22"/>
  <c r="D69" i="22"/>
  <c r="C69" i="22"/>
  <c r="B69" i="22"/>
  <c r="G68" i="22"/>
  <c r="D68" i="22"/>
  <c r="C68" i="22"/>
  <c r="B68" i="22"/>
  <c r="G67" i="22"/>
  <c r="D67" i="22"/>
  <c r="C67" i="22"/>
  <c r="B67" i="22"/>
  <c r="G66" i="22"/>
  <c r="D66" i="22"/>
  <c r="C66" i="22"/>
  <c r="B66" i="22"/>
  <c r="G65" i="22"/>
  <c r="D65" i="22"/>
  <c r="C65" i="22"/>
  <c r="B65" i="22"/>
  <c r="G43" i="22"/>
  <c r="D43" i="22"/>
  <c r="C43" i="22"/>
  <c r="B43" i="22"/>
  <c r="N15" i="22"/>
  <c r="E1" i="22" s="1"/>
  <c r="G60" i="21"/>
  <c r="D60" i="21"/>
  <c r="C60" i="21"/>
  <c r="B60" i="21"/>
  <c r="G59" i="21"/>
  <c r="D59" i="21"/>
  <c r="C59" i="21"/>
  <c r="B59" i="21"/>
  <c r="G58" i="21"/>
  <c r="D58" i="21"/>
  <c r="C58" i="21"/>
  <c r="B58" i="21"/>
  <c r="G57" i="21"/>
  <c r="D57" i="21"/>
  <c r="C57" i="21"/>
  <c r="B57" i="21"/>
  <c r="G56" i="21"/>
  <c r="D56" i="21"/>
  <c r="C56" i="21"/>
  <c r="B56" i="21"/>
  <c r="G55" i="21"/>
  <c r="D55" i="21"/>
  <c r="C55" i="21"/>
  <c r="B55" i="21"/>
  <c r="G48" i="21"/>
  <c r="D48" i="21"/>
  <c r="C48" i="21"/>
  <c r="B48" i="21"/>
  <c r="G47" i="21"/>
  <c r="D47" i="21"/>
  <c r="C47" i="21"/>
  <c r="B47" i="21"/>
  <c r="G46" i="21"/>
  <c r="D46" i="21"/>
  <c r="C46" i="21"/>
  <c r="B46" i="21"/>
  <c r="G45" i="21"/>
  <c r="D45" i="21"/>
  <c r="C45" i="21"/>
  <c r="B45" i="21"/>
  <c r="G44" i="21"/>
  <c r="D44" i="21"/>
  <c r="C44" i="21"/>
  <c r="B44" i="21"/>
  <c r="G43" i="21"/>
  <c r="D43" i="21"/>
  <c r="C43" i="21"/>
  <c r="B43" i="21"/>
  <c r="N15" i="21"/>
  <c r="E1" i="21" s="1"/>
  <c r="G60" i="20"/>
  <c r="D60" i="20"/>
  <c r="C60" i="20"/>
  <c r="B60" i="20"/>
  <c r="G59" i="20"/>
  <c r="D59" i="20"/>
  <c r="C59" i="20"/>
  <c r="B59" i="20"/>
  <c r="G58" i="20"/>
  <c r="D58" i="20"/>
  <c r="C58" i="20"/>
  <c r="B58" i="20"/>
  <c r="G57" i="20"/>
  <c r="D57" i="20"/>
  <c r="C57" i="20"/>
  <c r="B57" i="20"/>
  <c r="G56" i="20"/>
  <c r="D56" i="20"/>
  <c r="C56" i="20"/>
  <c r="B56" i="20"/>
  <c r="G55" i="20"/>
  <c r="D55" i="20"/>
  <c r="C55" i="20"/>
  <c r="B55" i="20"/>
  <c r="G48" i="20"/>
  <c r="D48" i="20"/>
  <c r="C48" i="20"/>
  <c r="B48" i="20"/>
  <c r="G47" i="20"/>
  <c r="D47" i="20"/>
  <c r="C47" i="20"/>
  <c r="B47" i="20"/>
  <c r="G46" i="20"/>
  <c r="D46" i="20"/>
  <c r="C46" i="20"/>
  <c r="B46" i="20"/>
  <c r="G45" i="20"/>
  <c r="D45" i="20"/>
  <c r="C45" i="20"/>
  <c r="B45" i="20"/>
  <c r="G44" i="20"/>
  <c r="D44" i="20"/>
  <c r="C44" i="20"/>
  <c r="B44" i="20"/>
  <c r="G43" i="20"/>
  <c r="D43" i="20"/>
  <c r="C43" i="20"/>
  <c r="B43" i="20"/>
  <c r="N15" i="20"/>
  <c r="E1" i="20" s="1"/>
  <c r="G71" i="18"/>
  <c r="D71" i="18"/>
  <c r="C71" i="18"/>
  <c r="B71" i="18"/>
  <c r="G70" i="18"/>
  <c r="D70" i="18"/>
  <c r="C70" i="18"/>
  <c r="B70" i="18"/>
  <c r="G69" i="18"/>
  <c r="D69" i="18"/>
  <c r="C69" i="18"/>
  <c r="B69" i="18"/>
  <c r="G68" i="18"/>
  <c r="D68" i="18"/>
  <c r="C68" i="18"/>
  <c r="B68" i="18"/>
  <c r="G67" i="18"/>
  <c r="D67" i="18"/>
  <c r="C67" i="18"/>
  <c r="B67" i="18"/>
  <c r="G59" i="18"/>
  <c r="D59" i="18"/>
  <c r="C59" i="18"/>
  <c r="B59" i="18"/>
  <c r="G58" i="18"/>
  <c r="D58" i="18"/>
  <c r="C58" i="18"/>
  <c r="B58" i="18"/>
  <c r="G57" i="18"/>
  <c r="D57" i="18"/>
  <c r="C57" i="18"/>
  <c r="B57" i="18"/>
  <c r="G56" i="18"/>
  <c r="D56" i="18"/>
  <c r="C56" i="18"/>
  <c r="B56" i="18"/>
  <c r="G55" i="18"/>
  <c r="D55" i="18"/>
  <c r="C55" i="18"/>
  <c r="B55" i="18"/>
  <c r="G47" i="18"/>
  <c r="D47" i="18"/>
  <c r="C47" i="18"/>
  <c r="B47" i="18"/>
  <c r="G46" i="18"/>
  <c r="D46" i="18"/>
  <c r="C46" i="18"/>
  <c r="B46" i="18"/>
  <c r="G45" i="18"/>
  <c r="D45" i="18"/>
  <c r="C45" i="18"/>
  <c r="B45" i="18"/>
  <c r="G44" i="18"/>
  <c r="D44" i="18"/>
  <c r="C44" i="18"/>
  <c r="B44" i="18"/>
  <c r="G43" i="18"/>
  <c r="D43" i="18"/>
  <c r="C43" i="18"/>
  <c r="B43" i="18"/>
  <c r="N15" i="18"/>
  <c r="E1" i="18" s="1"/>
  <c r="N15" i="13"/>
  <c r="E1" i="13" s="1"/>
  <c r="G58" i="12"/>
  <c r="D58" i="12"/>
  <c r="C58" i="12"/>
  <c r="B58" i="12"/>
  <c r="G57" i="12"/>
  <c r="D57" i="12"/>
  <c r="C57" i="12"/>
  <c r="B57" i="12"/>
  <c r="G56" i="12"/>
  <c r="D56" i="12"/>
  <c r="C56" i="12"/>
  <c r="B56" i="12"/>
  <c r="G55" i="12"/>
  <c r="D55" i="12"/>
  <c r="C55" i="12"/>
  <c r="B55" i="12"/>
  <c r="G54" i="12"/>
  <c r="D54" i="12"/>
  <c r="C54" i="12"/>
  <c r="B54" i="12"/>
  <c r="G47" i="12"/>
  <c r="D47" i="12"/>
  <c r="C47" i="12"/>
  <c r="B47" i="12"/>
  <c r="G46" i="12"/>
  <c r="D46" i="12"/>
  <c r="C46" i="12"/>
  <c r="B46" i="12"/>
  <c r="G45" i="12"/>
  <c r="D45" i="12"/>
  <c r="C45" i="12"/>
  <c r="B45" i="12"/>
  <c r="G44" i="12"/>
  <c r="D44" i="12"/>
  <c r="C44" i="12"/>
  <c r="B44" i="12"/>
  <c r="G43" i="12"/>
  <c r="D43" i="12"/>
  <c r="C43" i="12"/>
  <c r="B43" i="12"/>
  <c r="G71" i="9"/>
  <c r="D71" i="9"/>
  <c r="C71" i="9"/>
  <c r="B71" i="9"/>
  <c r="G70" i="9"/>
  <c r="D70" i="9"/>
  <c r="C70" i="9"/>
  <c r="B70" i="9"/>
  <c r="G69" i="9"/>
  <c r="D69" i="9"/>
  <c r="C69" i="9"/>
  <c r="B69" i="9"/>
  <c r="G68" i="9"/>
  <c r="D68" i="9"/>
  <c r="C68" i="9"/>
  <c r="B68" i="9"/>
  <c r="G67" i="9"/>
  <c r="D67" i="9"/>
  <c r="C67" i="9"/>
  <c r="B67" i="9"/>
  <c r="G59" i="9"/>
  <c r="D59" i="9"/>
  <c r="C59" i="9"/>
  <c r="B59" i="9"/>
  <c r="G58" i="9"/>
  <c r="D58" i="9"/>
  <c r="C58" i="9"/>
  <c r="B58" i="9"/>
  <c r="G57" i="9"/>
  <c r="D57" i="9"/>
  <c r="C57" i="9"/>
  <c r="B57" i="9"/>
  <c r="G56" i="9"/>
  <c r="D56" i="9"/>
  <c r="C56" i="9"/>
  <c r="B56" i="9"/>
  <c r="G55" i="9"/>
  <c r="D55" i="9"/>
  <c r="C55" i="9"/>
  <c r="B55" i="9"/>
  <c r="G47" i="9"/>
  <c r="D47" i="9"/>
  <c r="C47" i="9"/>
  <c r="B47" i="9"/>
  <c r="G46" i="9"/>
  <c r="D46" i="9"/>
  <c r="C46" i="9"/>
  <c r="B46" i="9"/>
  <c r="G45" i="9"/>
  <c r="D45" i="9"/>
  <c r="C45" i="9"/>
  <c r="B45" i="9"/>
  <c r="G44" i="9"/>
  <c r="D44" i="9"/>
  <c r="C44" i="9"/>
  <c r="B44" i="9"/>
  <c r="G43" i="9"/>
  <c r="D43" i="9"/>
  <c r="C43" i="9"/>
  <c r="B43" i="9"/>
  <c r="G60" i="8"/>
  <c r="D60" i="8"/>
  <c r="C60" i="8"/>
  <c r="B60" i="8"/>
  <c r="G59" i="8"/>
  <c r="D59" i="8"/>
  <c r="C59" i="8"/>
  <c r="B59" i="8"/>
  <c r="G58" i="8"/>
  <c r="D58" i="8"/>
  <c r="C58" i="8"/>
  <c r="B58" i="8"/>
  <c r="G57" i="8"/>
  <c r="D57" i="8"/>
  <c r="C57" i="8"/>
  <c r="B57" i="8"/>
  <c r="G56" i="8"/>
  <c r="D56" i="8"/>
  <c r="C56" i="8"/>
  <c r="B56" i="8"/>
  <c r="G55" i="8"/>
  <c r="D55" i="8"/>
  <c r="C55" i="8"/>
  <c r="B55" i="8"/>
  <c r="G48" i="8"/>
  <c r="D48" i="8"/>
  <c r="C48" i="8"/>
  <c r="B48" i="8"/>
  <c r="G47" i="8"/>
  <c r="D47" i="8"/>
  <c r="C47" i="8"/>
  <c r="B47" i="8"/>
  <c r="G46" i="8"/>
  <c r="D46" i="8"/>
  <c r="C46" i="8"/>
  <c r="B46" i="8"/>
  <c r="G45" i="8"/>
  <c r="D45" i="8"/>
  <c r="C45" i="8"/>
  <c r="B45" i="8"/>
  <c r="G44" i="8"/>
  <c r="D44" i="8"/>
  <c r="C44" i="8"/>
  <c r="B44" i="8"/>
  <c r="G43" i="8"/>
  <c r="D43" i="8"/>
  <c r="C43" i="8"/>
  <c r="B43" i="8"/>
  <c r="N15" i="8"/>
  <c r="E1" i="8" s="1"/>
  <c r="E1" i="9" l="1"/>
  <c r="E1" i="2"/>
  <c r="E1" i="12"/>
  <c r="D13" i="5"/>
  <c r="G1" i="5"/>
  <c r="G1" i="14"/>
  <c r="D12" i="14"/>
  <c r="D13" i="16"/>
  <c r="G1" i="16"/>
  <c r="D13" i="3"/>
  <c r="G1" i="3"/>
  <c r="G1" i="7"/>
  <c r="D13" i="7"/>
  <c r="G1" i="17"/>
  <c r="D13" i="17"/>
  <c r="G1" i="11"/>
  <c r="D13" i="11"/>
  <c r="G1" i="6"/>
  <c r="D12" i="6"/>
  <c r="G1" i="10"/>
  <c r="D12" i="10"/>
  <c r="G1" i="15"/>
  <c r="D12" i="15"/>
  <c r="D12" i="19"/>
  <c r="G1" i="19"/>
  <c r="G1" i="4"/>
  <c r="D20" i="4"/>
  <c r="D12" i="30"/>
  <c r="G1" i="30"/>
  <c r="G1" i="29"/>
  <c r="E10" i="29" s="1"/>
  <c r="G10" i="29" s="1"/>
  <c r="H10" i="29" s="1"/>
  <c r="K10" i="29" s="1"/>
  <c r="L10" i="29" s="1"/>
  <c r="D13" i="29"/>
  <c r="D20" i="28"/>
  <c r="G1" i="28"/>
  <c r="G1" i="27"/>
  <c r="D14" i="27"/>
  <c r="D13" i="26"/>
  <c r="G1" i="26"/>
  <c r="E5" i="26" s="1"/>
  <c r="G1" i="25"/>
  <c r="D12" i="25"/>
  <c r="G1" i="24"/>
  <c r="D13" i="24"/>
  <c r="D14" i="23"/>
  <c r="G1" i="23"/>
  <c r="D21" i="22"/>
  <c r="G1" i="22"/>
  <c r="D13" i="21"/>
  <c r="G1" i="21"/>
  <c r="G1" i="20"/>
  <c r="D13" i="20"/>
  <c r="G1" i="18"/>
  <c r="D12" i="18"/>
  <c r="G1" i="13"/>
  <c r="D13" i="13"/>
  <c r="D13" i="8"/>
  <c r="G1" i="8"/>
  <c r="G1" i="9" l="1"/>
  <c r="D12" i="9"/>
  <c r="G1" i="2"/>
  <c r="D12" i="2"/>
  <c r="D13" i="12"/>
  <c r="G1" i="12"/>
  <c r="E9" i="24"/>
  <c r="G9" i="24" s="1"/>
  <c r="H9" i="24" s="1"/>
  <c r="K9" i="24" s="1"/>
  <c r="L9" i="24" s="1"/>
  <c r="E10" i="24"/>
  <c r="G10" i="24" s="1"/>
  <c r="H10" i="24" s="1"/>
  <c r="K10" i="24" s="1"/>
  <c r="L10" i="24" s="1"/>
  <c r="E10" i="5"/>
  <c r="G10" i="5" s="1"/>
  <c r="H10" i="5" s="1"/>
  <c r="K10" i="5" s="1"/>
  <c r="L10" i="5" s="1"/>
  <c r="E8" i="5"/>
  <c r="G8" i="5" s="1"/>
  <c r="H8" i="5" s="1"/>
  <c r="K8" i="5" s="1"/>
  <c r="L8" i="5" s="1"/>
  <c r="E5" i="5"/>
  <c r="G5" i="5" s="1"/>
  <c r="H5" i="5" s="1"/>
  <c r="K5" i="5" s="1"/>
  <c r="L5" i="5" s="1"/>
  <c r="E7" i="5"/>
  <c r="G7" i="5" s="1"/>
  <c r="H7" i="5" s="1"/>
  <c r="K7" i="5" s="1"/>
  <c r="L7" i="5" s="1"/>
  <c r="I1" i="5"/>
  <c r="C13" i="5" s="1"/>
  <c r="E6" i="5"/>
  <c r="G6" i="5" s="1"/>
  <c r="H6" i="5" s="1"/>
  <c r="K6" i="5" s="1"/>
  <c r="L6" i="5" s="1"/>
  <c r="E9" i="5"/>
  <c r="G9" i="5" s="1"/>
  <c r="H9" i="5" s="1"/>
  <c r="K9" i="5" s="1"/>
  <c r="L9" i="5" s="1"/>
  <c r="E8" i="14"/>
  <c r="G8" i="14" s="1"/>
  <c r="H8" i="14" s="1"/>
  <c r="K8" i="14" s="1"/>
  <c r="L8" i="14" s="1"/>
  <c r="E7" i="14"/>
  <c r="G7" i="14" s="1"/>
  <c r="H7" i="14" s="1"/>
  <c r="K7" i="14" s="1"/>
  <c r="L7" i="14" s="1"/>
  <c r="E5" i="14"/>
  <c r="G5" i="14" s="1"/>
  <c r="H5" i="14" s="1"/>
  <c r="K5" i="14" s="1"/>
  <c r="L5" i="14" s="1"/>
  <c r="E6" i="14"/>
  <c r="G6" i="14" s="1"/>
  <c r="H6" i="14" s="1"/>
  <c r="K6" i="14" s="1"/>
  <c r="L6" i="14" s="1"/>
  <c r="I1" i="14"/>
  <c r="C12" i="14" s="1"/>
  <c r="E9" i="14"/>
  <c r="G9" i="14" s="1"/>
  <c r="H9" i="14" s="1"/>
  <c r="K9" i="14" s="1"/>
  <c r="L9" i="14" s="1"/>
  <c r="E8" i="16"/>
  <c r="G8" i="16" s="1"/>
  <c r="H8" i="16" s="1"/>
  <c r="K8" i="16" s="1"/>
  <c r="L8" i="16" s="1"/>
  <c r="I1" i="16"/>
  <c r="C13" i="16" s="1"/>
  <c r="E7" i="16"/>
  <c r="G7" i="16" s="1"/>
  <c r="H7" i="16" s="1"/>
  <c r="K7" i="16" s="1"/>
  <c r="L7" i="16" s="1"/>
  <c r="E9" i="16"/>
  <c r="G9" i="16" s="1"/>
  <c r="H9" i="16" s="1"/>
  <c r="K9" i="16" s="1"/>
  <c r="L9" i="16" s="1"/>
  <c r="E10" i="16"/>
  <c r="G10" i="16" s="1"/>
  <c r="H10" i="16" s="1"/>
  <c r="K10" i="16" s="1"/>
  <c r="L10" i="16" s="1"/>
  <c r="E6" i="16"/>
  <c r="G6" i="16" s="1"/>
  <c r="H6" i="16" s="1"/>
  <c r="K6" i="16" s="1"/>
  <c r="L6" i="16" s="1"/>
  <c r="E5" i="16"/>
  <c r="G5" i="16" s="1"/>
  <c r="H5" i="16" s="1"/>
  <c r="K5" i="16" s="1"/>
  <c r="L5" i="16" s="1"/>
  <c r="E10" i="3"/>
  <c r="G10" i="3" s="1"/>
  <c r="H10" i="3" s="1"/>
  <c r="K10" i="3" s="1"/>
  <c r="L10" i="3" s="1"/>
  <c r="E5" i="3"/>
  <c r="G5" i="3" s="1"/>
  <c r="H5" i="3" s="1"/>
  <c r="K5" i="3" s="1"/>
  <c r="L5" i="3" s="1"/>
  <c r="E6" i="3"/>
  <c r="G6" i="3" s="1"/>
  <c r="H6" i="3" s="1"/>
  <c r="K6" i="3" s="1"/>
  <c r="L6" i="3" s="1"/>
  <c r="E7" i="3"/>
  <c r="G7" i="3" s="1"/>
  <c r="H7" i="3" s="1"/>
  <c r="K7" i="3" s="1"/>
  <c r="L7" i="3" s="1"/>
  <c r="E9" i="3"/>
  <c r="G9" i="3" s="1"/>
  <c r="H9" i="3" s="1"/>
  <c r="K9" i="3" s="1"/>
  <c r="L9" i="3" s="1"/>
  <c r="E8" i="3"/>
  <c r="G8" i="3" s="1"/>
  <c r="H8" i="3" s="1"/>
  <c r="K8" i="3" s="1"/>
  <c r="L8" i="3" s="1"/>
  <c r="I1" i="3"/>
  <c r="C13" i="3" s="1"/>
  <c r="I1" i="7"/>
  <c r="C13" i="7" s="1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G8" i="7" s="1"/>
  <c r="H8" i="7" s="1"/>
  <c r="K8" i="7" s="1"/>
  <c r="L8" i="7" s="1"/>
  <c r="E9" i="7"/>
  <c r="G9" i="7" s="1"/>
  <c r="H9" i="7" s="1"/>
  <c r="K9" i="7" s="1"/>
  <c r="L9" i="7" s="1"/>
  <c r="E10" i="7"/>
  <c r="G10" i="7" s="1"/>
  <c r="H10" i="7" s="1"/>
  <c r="K10" i="7" s="1"/>
  <c r="L10" i="7" s="1"/>
  <c r="I1" i="17"/>
  <c r="C13" i="17" s="1"/>
  <c r="E5" i="17"/>
  <c r="G5" i="17" s="1"/>
  <c r="H5" i="17" s="1"/>
  <c r="K5" i="17" s="1"/>
  <c r="L5" i="17" s="1"/>
  <c r="E6" i="17"/>
  <c r="G6" i="17" s="1"/>
  <c r="H6" i="17" s="1"/>
  <c r="K6" i="17" s="1"/>
  <c r="L6" i="17" s="1"/>
  <c r="E7" i="17"/>
  <c r="G7" i="17" s="1"/>
  <c r="H7" i="17" s="1"/>
  <c r="K7" i="17" s="1"/>
  <c r="L7" i="17" s="1"/>
  <c r="E8" i="17"/>
  <c r="G8" i="17" s="1"/>
  <c r="H8" i="17" s="1"/>
  <c r="K8" i="17" s="1"/>
  <c r="L8" i="17" s="1"/>
  <c r="E9" i="17"/>
  <c r="G9" i="17" s="1"/>
  <c r="H9" i="17" s="1"/>
  <c r="K9" i="17" s="1"/>
  <c r="L9" i="17" s="1"/>
  <c r="E10" i="17"/>
  <c r="G10" i="17" s="1"/>
  <c r="H10" i="17" s="1"/>
  <c r="K10" i="17" s="1"/>
  <c r="L10" i="17" s="1"/>
  <c r="E6" i="11"/>
  <c r="G6" i="11" s="1"/>
  <c r="H6" i="11" s="1"/>
  <c r="K6" i="11" s="1"/>
  <c r="L6" i="11" s="1"/>
  <c r="E5" i="11"/>
  <c r="G5" i="11" s="1"/>
  <c r="H5" i="11" s="1"/>
  <c r="K5" i="11" s="1"/>
  <c r="L5" i="11" s="1"/>
  <c r="E8" i="11"/>
  <c r="G8" i="11" s="1"/>
  <c r="H8" i="11" s="1"/>
  <c r="K8" i="11" s="1"/>
  <c r="L8" i="11" s="1"/>
  <c r="I1" i="11"/>
  <c r="C13" i="11" s="1"/>
  <c r="E10" i="11"/>
  <c r="G10" i="11" s="1"/>
  <c r="H10" i="11" s="1"/>
  <c r="K10" i="11" s="1"/>
  <c r="L10" i="11" s="1"/>
  <c r="E7" i="11"/>
  <c r="G7" i="11" s="1"/>
  <c r="H7" i="11" s="1"/>
  <c r="K7" i="11" s="1"/>
  <c r="L7" i="11" s="1"/>
  <c r="E9" i="11"/>
  <c r="G9" i="11" s="1"/>
  <c r="H9" i="11" s="1"/>
  <c r="K9" i="11" s="1"/>
  <c r="L9" i="11" s="1"/>
  <c r="E5" i="6"/>
  <c r="G5" i="6" s="1"/>
  <c r="H5" i="6" s="1"/>
  <c r="K5" i="6" s="1"/>
  <c r="L5" i="6" s="1"/>
  <c r="E9" i="6"/>
  <c r="G9" i="6" s="1"/>
  <c r="H9" i="6" s="1"/>
  <c r="K9" i="6" s="1"/>
  <c r="L9" i="6" s="1"/>
  <c r="E6" i="6"/>
  <c r="G6" i="6" s="1"/>
  <c r="H6" i="6" s="1"/>
  <c r="K6" i="6" s="1"/>
  <c r="L6" i="6" s="1"/>
  <c r="E8" i="6"/>
  <c r="G8" i="6" s="1"/>
  <c r="H8" i="6" s="1"/>
  <c r="K8" i="6" s="1"/>
  <c r="L8" i="6" s="1"/>
  <c r="I1" i="6"/>
  <c r="C12" i="6" s="1"/>
  <c r="E7" i="6"/>
  <c r="G7" i="6" s="1"/>
  <c r="H7" i="6" s="1"/>
  <c r="K7" i="6" s="1"/>
  <c r="L7" i="6" s="1"/>
  <c r="E8" i="10"/>
  <c r="G8" i="10" s="1"/>
  <c r="H8" i="10" s="1"/>
  <c r="K8" i="10" s="1"/>
  <c r="L8" i="10" s="1"/>
  <c r="E7" i="10"/>
  <c r="G7" i="10" s="1"/>
  <c r="H7" i="10" s="1"/>
  <c r="K7" i="10" s="1"/>
  <c r="L7" i="10" s="1"/>
  <c r="E5" i="10"/>
  <c r="G5" i="10" s="1"/>
  <c r="H5" i="10" s="1"/>
  <c r="K5" i="10" s="1"/>
  <c r="L5" i="10" s="1"/>
  <c r="I1" i="10"/>
  <c r="C12" i="10" s="1"/>
  <c r="E9" i="10"/>
  <c r="G9" i="10" s="1"/>
  <c r="H9" i="10" s="1"/>
  <c r="K9" i="10" s="1"/>
  <c r="L9" i="10" s="1"/>
  <c r="E6" i="10"/>
  <c r="G6" i="10" s="1"/>
  <c r="H6" i="10" s="1"/>
  <c r="K6" i="10" s="1"/>
  <c r="L6" i="10" s="1"/>
  <c r="E8" i="15"/>
  <c r="G8" i="15" s="1"/>
  <c r="H8" i="15" s="1"/>
  <c r="K8" i="15" s="1"/>
  <c r="L8" i="15" s="1"/>
  <c r="I1" i="15"/>
  <c r="C12" i="15" s="1"/>
  <c r="E7" i="15"/>
  <c r="G7" i="15" s="1"/>
  <c r="H7" i="15" s="1"/>
  <c r="K7" i="15" s="1"/>
  <c r="L7" i="15" s="1"/>
  <c r="E5" i="15"/>
  <c r="G5" i="15" s="1"/>
  <c r="H5" i="15" s="1"/>
  <c r="K5" i="15" s="1"/>
  <c r="L5" i="15" s="1"/>
  <c r="E9" i="15"/>
  <c r="G9" i="15" s="1"/>
  <c r="H9" i="15" s="1"/>
  <c r="K9" i="15" s="1"/>
  <c r="L9" i="15" s="1"/>
  <c r="E6" i="15"/>
  <c r="G6" i="15" s="1"/>
  <c r="H6" i="15" s="1"/>
  <c r="K6" i="15" s="1"/>
  <c r="L6" i="15" s="1"/>
  <c r="E7" i="19"/>
  <c r="G7" i="19" s="1"/>
  <c r="H7" i="19" s="1"/>
  <c r="K7" i="19" s="1"/>
  <c r="L7" i="19" s="1"/>
  <c r="E5" i="19"/>
  <c r="G5" i="19" s="1"/>
  <c r="H5" i="19" s="1"/>
  <c r="K5" i="19" s="1"/>
  <c r="L5" i="19" s="1"/>
  <c r="E9" i="19"/>
  <c r="G9" i="19" s="1"/>
  <c r="H9" i="19" s="1"/>
  <c r="K9" i="19" s="1"/>
  <c r="L9" i="19" s="1"/>
  <c r="E6" i="19"/>
  <c r="G6" i="19" s="1"/>
  <c r="H6" i="19" s="1"/>
  <c r="K6" i="19" s="1"/>
  <c r="L6" i="19" s="1"/>
  <c r="I1" i="19"/>
  <c r="C12" i="19" s="1"/>
  <c r="E8" i="19"/>
  <c r="G8" i="19" s="1"/>
  <c r="H8" i="19" s="1"/>
  <c r="K8" i="19" s="1"/>
  <c r="L8" i="19" s="1"/>
  <c r="E15" i="4"/>
  <c r="G15" i="4" s="1"/>
  <c r="H15" i="4" s="1"/>
  <c r="K15" i="4" s="1"/>
  <c r="L15" i="4" s="1"/>
  <c r="E5" i="4"/>
  <c r="G5" i="4" s="1"/>
  <c r="H5" i="4" s="1"/>
  <c r="K5" i="4" s="1"/>
  <c r="L5" i="4" s="1"/>
  <c r="E11" i="4"/>
  <c r="G11" i="4" s="1"/>
  <c r="H11" i="4" s="1"/>
  <c r="K11" i="4" s="1"/>
  <c r="L11" i="4" s="1"/>
  <c r="E9" i="4"/>
  <c r="G9" i="4" s="1"/>
  <c r="H9" i="4" s="1"/>
  <c r="K9" i="4" s="1"/>
  <c r="L9" i="4" s="1"/>
  <c r="E10" i="4"/>
  <c r="G10" i="4" s="1"/>
  <c r="H10" i="4" s="1"/>
  <c r="K10" i="4" s="1"/>
  <c r="L10" i="4" s="1"/>
  <c r="E6" i="4"/>
  <c r="G6" i="4" s="1"/>
  <c r="H6" i="4" s="1"/>
  <c r="K6" i="4" s="1"/>
  <c r="L6" i="4" s="1"/>
  <c r="I1" i="4"/>
  <c r="C20" i="4" s="1"/>
  <c r="E7" i="4"/>
  <c r="G7" i="4" s="1"/>
  <c r="H7" i="4" s="1"/>
  <c r="K7" i="4" s="1"/>
  <c r="L7" i="4" s="1"/>
  <c r="E14" i="4"/>
  <c r="G14" i="4" s="1"/>
  <c r="H14" i="4" s="1"/>
  <c r="K14" i="4" s="1"/>
  <c r="L14" i="4" s="1"/>
  <c r="E17" i="4"/>
  <c r="G17" i="4" s="1"/>
  <c r="H17" i="4" s="1"/>
  <c r="K17" i="4" s="1"/>
  <c r="L17" i="4" s="1"/>
  <c r="E8" i="4"/>
  <c r="G8" i="4" s="1"/>
  <c r="H8" i="4" s="1"/>
  <c r="K8" i="4" s="1"/>
  <c r="L8" i="4" s="1"/>
  <c r="E12" i="4"/>
  <c r="G12" i="4" s="1"/>
  <c r="H12" i="4" s="1"/>
  <c r="K12" i="4" s="1"/>
  <c r="L12" i="4" s="1"/>
  <c r="E13" i="4"/>
  <c r="G13" i="4" s="1"/>
  <c r="H13" i="4" s="1"/>
  <c r="K13" i="4" s="1"/>
  <c r="L13" i="4" s="1"/>
  <c r="E16" i="4"/>
  <c r="G16" i="4" s="1"/>
  <c r="H16" i="4" s="1"/>
  <c r="K16" i="4" s="1"/>
  <c r="L16" i="4" s="1"/>
  <c r="I1" i="30"/>
  <c r="C12" i="30" s="1"/>
  <c r="E6" i="30"/>
  <c r="G6" i="30" s="1"/>
  <c r="H6" i="30" s="1"/>
  <c r="K6" i="30" s="1"/>
  <c r="L6" i="30" s="1"/>
  <c r="E9" i="30"/>
  <c r="G9" i="30" s="1"/>
  <c r="H9" i="30" s="1"/>
  <c r="K9" i="30" s="1"/>
  <c r="L9" i="30" s="1"/>
  <c r="E7" i="30"/>
  <c r="G7" i="30" s="1"/>
  <c r="H7" i="30" s="1"/>
  <c r="K7" i="30" s="1"/>
  <c r="L7" i="30" s="1"/>
  <c r="E8" i="30"/>
  <c r="G8" i="30" s="1"/>
  <c r="H8" i="30" s="1"/>
  <c r="K8" i="30" s="1"/>
  <c r="L8" i="30" s="1"/>
  <c r="E5" i="30"/>
  <c r="G5" i="30" s="1"/>
  <c r="H5" i="30" s="1"/>
  <c r="K5" i="30" s="1"/>
  <c r="L5" i="30" s="1"/>
  <c r="I1" i="29"/>
  <c r="C13" i="29" s="1"/>
  <c r="E5" i="29"/>
  <c r="G5" i="29" s="1"/>
  <c r="H5" i="29" s="1"/>
  <c r="K5" i="29" s="1"/>
  <c r="L5" i="29" s="1"/>
  <c r="E6" i="29"/>
  <c r="G6" i="29" s="1"/>
  <c r="H6" i="29" s="1"/>
  <c r="K6" i="29" s="1"/>
  <c r="L6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9" i="29"/>
  <c r="G9" i="29" s="1"/>
  <c r="H9" i="29" s="1"/>
  <c r="K9" i="29" s="1"/>
  <c r="L9" i="29" s="1"/>
  <c r="E13" i="28"/>
  <c r="G13" i="28" s="1"/>
  <c r="H13" i="28" s="1"/>
  <c r="K13" i="28" s="1"/>
  <c r="L13" i="28" s="1"/>
  <c r="E7" i="28"/>
  <c r="G7" i="28" s="1"/>
  <c r="H7" i="28" s="1"/>
  <c r="K7" i="28" s="1"/>
  <c r="L7" i="28" s="1"/>
  <c r="E14" i="28"/>
  <c r="G14" i="28" s="1"/>
  <c r="H14" i="28" s="1"/>
  <c r="K14" i="28" s="1"/>
  <c r="L14" i="28" s="1"/>
  <c r="E8" i="28"/>
  <c r="G8" i="28" s="1"/>
  <c r="H8" i="28" s="1"/>
  <c r="K8" i="28" s="1"/>
  <c r="L8" i="28" s="1"/>
  <c r="E10" i="28"/>
  <c r="G10" i="28" s="1"/>
  <c r="H10" i="28" s="1"/>
  <c r="K10" i="28" s="1"/>
  <c r="L10" i="28" s="1"/>
  <c r="E16" i="28"/>
  <c r="G16" i="28" s="1"/>
  <c r="H16" i="28" s="1"/>
  <c r="K16" i="28" s="1"/>
  <c r="L16" i="28" s="1"/>
  <c r="E15" i="28"/>
  <c r="G15" i="28" s="1"/>
  <c r="H15" i="28" s="1"/>
  <c r="K15" i="28" s="1"/>
  <c r="L15" i="28" s="1"/>
  <c r="E17" i="28"/>
  <c r="G17" i="28" s="1"/>
  <c r="H17" i="28" s="1"/>
  <c r="K17" i="28" s="1"/>
  <c r="L17" i="28" s="1"/>
  <c r="E9" i="28"/>
  <c r="G9" i="28" s="1"/>
  <c r="H9" i="28" s="1"/>
  <c r="K9" i="28" s="1"/>
  <c r="L9" i="28" s="1"/>
  <c r="E12" i="28"/>
  <c r="G12" i="28" s="1"/>
  <c r="H12" i="28" s="1"/>
  <c r="K12" i="28" s="1"/>
  <c r="L12" i="28" s="1"/>
  <c r="E6" i="28"/>
  <c r="G6" i="28" s="1"/>
  <c r="H6" i="28" s="1"/>
  <c r="K6" i="28" s="1"/>
  <c r="L6" i="28" s="1"/>
  <c r="E11" i="28"/>
  <c r="G11" i="28" s="1"/>
  <c r="H11" i="28" s="1"/>
  <c r="K11" i="28" s="1"/>
  <c r="L11" i="28" s="1"/>
  <c r="I1" i="28"/>
  <c r="C20" i="28" s="1"/>
  <c r="E5" i="28"/>
  <c r="G5" i="28" s="1"/>
  <c r="H5" i="28" s="1"/>
  <c r="K5" i="28" s="1"/>
  <c r="L5" i="28" s="1"/>
  <c r="E6" i="27"/>
  <c r="G6" i="27" s="1"/>
  <c r="H6" i="27" s="1"/>
  <c r="K6" i="27" s="1"/>
  <c r="L6" i="27" s="1"/>
  <c r="E11" i="27"/>
  <c r="G11" i="27" s="1"/>
  <c r="H11" i="27" s="1"/>
  <c r="E8" i="27"/>
  <c r="G8" i="27" s="1"/>
  <c r="H8" i="27" s="1"/>
  <c r="K8" i="27" s="1"/>
  <c r="L8" i="27" s="1"/>
  <c r="E10" i="27"/>
  <c r="G10" i="27" s="1"/>
  <c r="H10" i="27" s="1"/>
  <c r="K10" i="27" s="1"/>
  <c r="L10" i="27" s="1"/>
  <c r="I1" i="27"/>
  <c r="C14" i="27" s="1"/>
  <c r="E7" i="27"/>
  <c r="G7" i="27" s="1"/>
  <c r="H7" i="27" s="1"/>
  <c r="K7" i="27" s="1"/>
  <c r="L7" i="27" s="1"/>
  <c r="E9" i="27"/>
  <c r="G9" i="27" s="1"/>
  <c r="H9" i="27" s="1"/>
  <c r="K9" i="27" s="1"/>
  <c r="L9" i="27" s="1"/>
  <c r="E5" i="27"/>
  <c r="G5" i="27" s="1"/>
  <c r="H5" i="27" s="1"/>
  <c r="K5" i="27" s="1"/>
  <c r="L5" i="27" s="1"/>
  <c r="I1" i="26"/>
  <c r="C13" i="26" s="1"/>
  <c r="G5" i="26"/>
  <c r="H5" i="26" s="1"/>
  <c r="K5" i="26" s="1"/>
  <c r="L5" i="26" s="1"/>
  <c r="E6" i="26"/>
  <c r="G6" i="26" s="1"/>
  <c r="H6" i="26" s="1"/>
  <c r="K6" i="26" s="1"/>
  <c r="L6" i="26" s="1"/>
  <c r="E7" i="26"/>
  <c r="G7" i="26" s="1"/>
  <c r="H7" i="26" s="1"/>
  <c r="K7" i="26" s="1"/>
  <c r="L7" i="26" s="1"/>
  <c r="E8" i="26"/>
  <c r="G8" i="26" s="1"/>
  <c r="H8" i="26" s="1"/>
  <c r="K8" i="26" s="1"/>
  <c r="L8" i="26" s="1"/>
  <c r="E9" i="26"/>
  <c r="G9" i="26" s="1"/>
  <c r="H9" i="26" s="1"/>
  <c r="K9" i="26" s="1"/>
  <c r="L9" i="26" s="1"/>
  <c r="E10" i="26"/>
  <c r="G10" i="26" s="1"/>
  <c r="H10" i="26" s="1"/>
  <c r="E6" i="25"/>
  <c r="G6" i="25" s="1"/>
  <c r="H6" i="25" s="1"/>
  <c r="K6" i="25" s="1"/>
  <c r="L6" i="25" s="1"/>
  <c r="E7" i="25"/>
  <c r="G7" i="25" s="1"/>
  <c r="H7" i="25" s="1"/>
  <c r="K7" i="25" s="1"/>
  <c r="L7" i="25" s="1"/>
  <c r="E8" i="25"/>
  <c r="G8" i="25" s="1"/>
  <c r="H8" i="25" s="1"/>
  <c r="K8" i="25" s="1"/>
  <c r="L8" i="25" s="1"/>
  <c r="I1" i="25"/>
  <c r="C12" i="25" s="1"/>
  <c r="E9" i="25"/>
  <c r="G9" i="25" s="1"/>
  <c r="H9" i="25" s="1"/>
  <c r="K9" i="25" s="1"/>
  <c r="L9" i="25" s="1"/>
  <c r="E5" i="25"/>
  <c r="G5" i="25" s="1"/>
  <c r="H5" i="25" s="1"/>
  <c r="K5" i="25" s="1"/>
  <c r="L5" i="25" s="1"/>
  <c r="I1" i="24"/>
  <c r="C13" i="24" s="1"/>
  <c r="E5" i="24"/>
  <c r="G5" i="24" s="1"/>
  <c r="H5" i="24" s="1"/>
  <c r="K5" i="24" s="1"/>
  <c r="L5" i="24" s="1"/>
  <c r="E6" i="24"/>
  <c r="G6" i="24" s="1"/>
  <c r="H6" i="24" s="1"/>
  <c r="K6" i="24" s="1"/>
  <c r="L6" i="24" s="1"/>
  <c r="E8" i="24"/>
  <c r="G8" i="24" s="1"/>
  <c r="H8" i="24" s="1"/>
  <c r="K8" i="24" s="1"/>
  <c r="L8" i="24" s="1"/>
  <c r="E7" i="24"/>
  <c r="G7" i="24" s="1"/>
  <c r="H7" i="24" s="1"/>
  <c r="K7" i="24" s="1"/>
  <c r="L7" i="24" s="1"/>
  <c r="I1" i="23"/>
  <c r="C14" i="23" s="1"/>
  <c r="E11" i="23"/>
  <c r="G11" i="23" s="1"/>
  <c r="H11" i="23" s="1"/>
  <c r="K11" i="23" s="1"/>
  <c r="L11" i="23" s="1"/>
  <c r="E8" i="23"/>
  <c r="G8" i="23" s="1"/>
  <c r="H8" i="23" s="1"/>
  <c r="K8" i="23" s="1"/>
  <c r="L8" i="23" s="1"/>
  <c r="E10" i="23"/>
  <c r="G10" i="23" s="1"/>
  <c r="H10" i="23" s="1"/>
  <c r="K10" i="23" s="1"/>
  <c r="L10" i="23" s="1"/>
  <c r="E6" i="23"/>
  <c r="G6" i="23" s="1"/>
  <c r="H6" i="23" s="1"/>
  <c r="K6" i="23" s="1"/>
  <c r="L6" i="23" s="1"/>
  <c r="E5" i="23"/>
  <c r="G5" i="23" s="1"/>
  <c r="H5" i="23" s="1"/>
  <c r="K5" i="23" s="1"/>
  <c r="L5" i="23" s="1"/>
  <c r="E9" i="23"/>
  <c r="G9" i="23" s="1"/>
  <c r="H9" i="23" s="1"/>
  <c r="K9" i="23" s="1"/>
  <c r="L9" i="23" s="1"/>
  <c r="E7" i="23"/>
  <c r="G7" i="23" s="1"/>
  <c r="H7" i="23" s="1"/>
  <c r="K7" i="23" s="1"/>
  <c r="L7" i="23" s="1"/>
  <c r="E8" i="22"/>
  <c r="G8" i="22" s="1"/>
  <c r="H8" i="22" s="1"/>
  <c r="K8" i="22" s="1"/>
  <c r="L8" i="22" s="1"/>
  <c r="E12" i="22"/>
  <c r="G12" i="22" s="1"/>
  <c r="H12" i="22" s="1"/>
  <c r="K12" i="22" s="1"/>
  <c r="L12" i="22" s="1"/>
  <c r="E14" i="22"/>
  <c r="G14" i="22" s="1"/>
  <c r="H14" i="22" s="1"/>
  <c r="K14" i="22" s="1"/>
  <c r="L14" i="22" s="1"/>
  <c r="E9" i="22"/>
  <c r="G9" i="22" s="1"/>
  <c r="H9" i="22" s="1"/>
  <c r="K9" i="22" s="1"/>
  <c r="L9" i="22" s="1"/>
  <c r="I1" i="22"/>
  <c r="C21" i="22" s="1"/>
  <c r="E6" i="22"/>
  <c r="G6" i="22" s="1"/>
  <c r="H6" i="22" s="1"/>
  <c r="K6" i="22" s="1"/>
  <c r="L6" i="22" s="1"/>
  <c r="E15" i="22"/>
  <c r="G15" i="22" s="1"/>
  <c r="H15" i="22" s="1"/>
  <c r="K15" i="22" s="1"/>
  <c r="L15" i="22" s="1"/>
  <c r="E17" i="22"/>
  <c r="G17" i="22" s="1"/>
  <c r="H17" i="22" s="1"/>
  <c r="K17" i="22" s="1"/>
  <c r="L17" i="22" s="1"/>
  <c r="E16" i="22"/>
  <c r="G16" i="22" s="1"/>
  <c r="H16" i="22" s="1"/>
  <c r="K16" i="22" s="1"/>
  <c r="L16" i="22" s="1"/>
  <c r="E18" i="22"/>
  <c r="G18" i="22" s="1"/>
  <c r="H18" i="22" s="1"/>
  <c r="K18" i="22" s="1"/>
  <c r="L18" i="22" s="1"/>
  <c r="E5" i="22"/>
  <c r="G5" i="22" s="1"/>
  <c r="H5" i="22" s="1"/>
  <c r="K5" i="22" s="1"/>
  <c r="L5" i="22" s="1"/>
  <c r="E11" i="22"/>
  <c r="G11" i="22" s="1"/>
  <c r="H11" i="22" s="1"/>
  <c r="K11" i="22" s="1"/>
  <c r="L11" i="22" s="1"/>
  <c r="E7" i="22"/>
  <c r="G7" i="22" s="1"/>
  <c r="H7" i="22" s="1"/>
  <c r="K7" i="22" s="1"/>
  <c r="L7" i="22" s="1"/>
  <c r="E10" i="22"/>
  <c r="G10" i="22" s="1"/>
  <c r="H10" i="22" s="1"/>
  <c r="K10" i="22" s="1"/>
  <c r="L10" i="22" s="1"/>
  <c r="E13" i="22"/>
  <c r="G13" i="22" s="1"/>
  <c r="H13" i="22" s="1"/>
  <c r="K13" i="22" s="1"/>
  <c r="L13" i="22" s="1"/>
  <c r="I1" i="21"/>
  <c r="C13" i="21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7" i="20"/>
  <c r="G7" i="20" s="1"/>
  <c r="H7" i="20" s="1"/>
  <c r="K7" i="20" s="1"/>
  <c r="L7" i="20" s="1"/>
  <c r="E6" i="20"/>
  <c r="G6" i="20" s="1"/>
  <c r="H6" i="20" s="1"/>
  <c r="K6" i="20" s="1"/>
  <c r="L6" i="20" s="1"/>
  <c r="E5" i="20"/>
  <c r="G5" i="20" s="1"/>
  <c r="H5" i="20" s="1"/>
  <c r="K5" i="20" s="1"/>
  <c r="L5" i="20" s="1"/>
  <c r="E9" i="20"/>
  <c r="G9" i="20" s="1"/>
  <c r="H9" i="20" s="1"/>
  <c r="K9" i="20" s="1"/>
  <c r="L9" i="20" s="1"/>
  <c r="E10" i="20"/>
  <c r="G10" i="20" s="1"/>
  <c r="H10" i="20" s="1"/>
  <c r="K10" i="20" s="1"/>
  <c r="L10" i="20" s="1"/>
  <c r="I1" i="20"/>
  <c r="C13" i="20" s="1"/>
  <c r="E8" i="20"/>
  <c r="G8" i="20" s="1"/>
  <c r="H8" i="20" s="1"/>
  <c r="K8" i="20" s="1"/>
  <c r="L8" i="20" s="1"/>
  <c r="I1" i="18"/>
  <c r="C12" i="18" s="1"/>
  <c r="E5" i="18"/>
  <c r="G5" i="18" s="1"/>
  <c r="H5" i="18" s="1"/>
  <c r="K5" i="18" s="1"/>
  <c r="L5" i="18" s="1"/>
  <c r="E6" i="18"/>
  <c r="G6" i="18" s="1"/>
  <c r="H6" i="18" s="1"/>
  <c r="K6" i="18" s="1"/>
  <c r="L6" i="18" s="1"/>
  <c r="E7" i="18"/>
  <c r="G7" i="18" s="1"/>
  <c r="H7" i="18" s="1"/>
  <c r="K7" i="18" s="1"/>
  <c r="L7" i="18" s="1"/>
  <c r="E8" i="18"/>
  <c r="G8" i="18" s="1"/>
  <c r="H8" i="18" s="1"/>
  <c r="K8" i="18" s="1"/>
  <c r="L8" i="18" s="1"/>
  <c r="E9" i="18"/>
  <c r="G9" i="18" s="1"/>
  <c r="H9" i="18" s="1"/>
  <c r="K9" i="18" s="1"/>
  <c r="L9" i="18" s="1"/>
  <c r="I1" i="13"/>
  <c r="C13" i="13" s="1"/>
  <c r="E5" i="13"/>
  <c r="G5" i="13" s="1"/>
  <c r="H5" i="13" s="1"/>
  <c r="K5" i="13" s="1"/>
  <c r="L5" i="13" s="1"/>
  <c r="E6" i="13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I1" i="8"/>
  <c r="C13" i="8" s="1"/>
  <c r="E5" i="8"/>
  <c r="G5" i="8" s="1"/>
  <c r="H5" i="8" s="1"/>
  <c r="K5" i="8" s="1"/>
  <c r="L5" i="8" s="1"/>
  <c r="E6" i="8"/>
  <c r="G6" i="8" s="1"/>
  <c r="H6" i="8" s="1"/>
  <c r="K6" i="8" s="1"/>
  <c r="L6" i="8" s="1"/>
  <c r="E7" i="8"/>
  <c r="G7" i="8" s="1"/>
  <c r="H7" i="8" s="1"/>
  <c r="K7" i="8" s="1"/>
  <c r="L7" i="8" s="1"/>
  <c r="E8" i="8"/>
  <c r="G8" i="8" s="1"/>
  <c r="H8" i="8" s="1"/>
  <c r="K8" i="8" s="1"/>
  <c r="L8" i="8" s="1"/>
  <c r="E9" i="8"/>
  <c r="G9" i="8" s="1"/>
  <c r="H9" i="8" s="1"/>
  <c r="K9" i="8" s="1"/>
  <c r="L9" i="8" s="1"/>
  <c r="E10" i="8"/>
  <c r="G10" i="8" s="1"/>
  <c r="H10" i="8" s="1"/>
  <c r="N16" i="29" l="1"/>
  <c r="Y8" i="29" s="1"/>
  <c r="N16" i="26"/>
  <c r="Y8" i="26" s="1"/>
  <c r="N16" i="27"/>
  <c r="Y8" i="27" s="1"/>
  <c r="N16" i="24"/>
  <c r="Y8" i="24" s="1"/>
  <c r="N16" i="23"/>
  <c r="Y8" i="23" s="1"/>
  <c r="N16" i="22"/>
  <c r="Y8" i="22" s="1"/>
  <c r="N16" i="18"/>
  <c r="X8" i="18" s="1"/>
  <c r="N16" i="16"/>
  <c r="Y8" i="16" s="1"/>
  <c r="N16" i="14"/>
  <c r="Y8" i="14" s="1"/>
  <c r="N16" i="11"/>
  <c r="Y8" i="11" s="1"/>
  <c r="N16" i="10"/>
  <c r="Y8" i="10" s="1"/>
  <c r="N16" i="8"/>
  <c r="Y8" i="8" s="1"/>
  <c r="N16" i="5"/>
  <c r="Y8" i="5" s="1"/>
  <c r="N16" i="4"/>
  <c r="Y8" i="4" s="1"/>
  <c r="E6" i="9"/>
  <c r="G6" i="9" s="1"/>
  <c r="H6" i="9" s="1"/>
  <c r="K6" i="9" s="1"/>
  <c r="L6" i="9" s="1"/>
  <c r="E9" i="9"/>
  <c r="G9" i="9" s="1"/>
  <c r="H9" i="9" s="1"/>
  <c r="K9" i="9" s="1"/>
  <c r="L9" i="9" s="1"/>
  <c r="E5" i="9"/>
  <c r="G5" i="9" s="1"/>
  <c r="H5" i="9" s="1"/>
  <c r="K5" i="9" s="1"/>
  <c r="L5" i="9" s="1"/>
  <c r="E8" i="9"/>
  <c r="G8" i="9" s="1"/>
  <c r="H8" i="9" s="1"/>
  <c r="K8" i="9" s="1"/>
  <c r="L8" i="9" s="1"/>
  <c r="E7" i="9"/>
  <c r="G7" i="9" s="1"/>
  <c r="H7" i="9" s="1"/>
  <c r="K7" i="9" s="1"/>
  <c r="L7" i="9" s="1"/>
  <c r="I1" i="9"/>
  <c r="C12" i="9" s="1"/>
  <c r="E8" i="2"/>
  <c r="G8" i="2" s="1"/>
  <c r="H8" i="2" s="1"/>
  <c r="K8" i="2" s="1"/>
  <c r="L8" i="2" s="1"/>
  <c r="E7" i="2"/>
  <c r="G7" i="2" s="1"/>
  <c r="H7" i="2" s="1"/>
  <c r="K7" i="2" s="1"/>
  <c r="L7" i="2" s="1"/>
  <c r="E9" i="2"/>
  <c r="G9" i="2" s="1"/>
  <c r="H9" i="2" s="1"/>
  <c r="K9" i="2" s="1"/>
  <c r="L9" i="2" s="1"/>
  <c r="I1" i="2"/>
  <c r="C12" i="2" s="1"/>
  <c r="E5" i="2"/>
  <c r="G5" i="2" s="1"/>
  <c r="H5" i="2" s="1"/>
  <c r="K5" i="2" s="1"/>
  <c r="L5" i="2" s="1"/>
  <c r="E6" i="2"/>
  <c r="G6" i="2" s="1"/>
  <c r="H6" i="2" s="1"/>
  <c r="K6" i="2" s="1"/>
  <c r="L6" i="2" s="1"/>
  <c r="C14" i="17"/>
  <c r="E5" i="12"/>
  <c r="G5" i="12" s="1"/>
  <c r="H5" i="12" s="1"/>
  <c r="K5" i="12" s="1"/>
  <c r="L5" i="12" s="1"/>
  <c r="I1" i="12"/>
  <c r="C13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8" i="12"/>
  <c r="G8" i="12" s="1"/>
  <c r="H8" i="12" s="1"/>
  <c r="K8" i="12" s="1"/>
  <c r="L8" i="12" s="1"/>
  <c r="E9" i="12"/>
  <c r="G9" i="12" s="1"/>
  <c r="H9" i="12" s="1"/>
  <c r="K9" i="12" s="1"/>
  <c r="L9" i="12" s="1"/>
  <c r="C14" i="5"/>
  <c r="C13" i="14"/>
  <c r="C14" i="14" s="1"/>
  <c r="C15" i="14" s="1"/>
  <c r="C14" i="16"/>
  <c r="C14" i="3"/>
  <c r="C14" i="7"/>
  <c r="C15" i="7" s="1"/>
  <c r="C16" i="7" s="1"/>
  <c r="D16" i="7" s="1"/>
  <c r="C14" i="11"/>
  <c r="C13" i="6"/>
  <c r="C13" i="10"/>
  <c r="C13" i="15"/>
  <c r="C13" i="19"/>
  <c r="C21" i="4"/>
  <c r="C13" i="30"/>
  <c r="C14" i="29"/>
  <c r="C21" i="28"/>
  <c r="C15" i="27"/>
  <c r="C14" i="26"/>
  <c r="C13" i="25"/>
  <c r="C14" i="24"/>
  <c r="C15" i="23"/>
  <c r="C22" i="22"/>
  <c r="C14" i="21"/>
  <c r="C14" i="20"/>
  <c r="C13" i="18"/>
  <c r="C14" i="13"/>
  <c r="C14" i="8"/>
  <c r="N16" i="2" l="1"/>
  <c r="Y8" i="2" s="1"/>
  <c r="N16" i="12"/>
  <c r="Y8" i="12" s="1"/>
  <c r="N16" i="9"/>
  <c r="Y8" i="9" s="1"/>
  <c r="C13" i="9"/>
  <c r="C14" i="12"/>
  <c r="C13" i="2"/>
  <c r="C15" i="17"/>
  <c r="E44" i="6"/>
  <c r="H44" i="6" s="1"/>
  <c r="I44" i="6" s="1"/>
  <c r="E46" i="6"/>
  <c r="H46" i="6" s="1"/>
  <c r="I46" i="6" s="1"/>
  <c r="E45" i="6"/>
  <c r="H45" i="6" s="1"/>
  <c r="I45" i="6" s="1"/>
  <c r="E43" i="6"/>
  <c r="H43" i="6" s="1"/>
  <c r="I43" i="6" s="1"/>
  <c r="E47" i="6"/>
  <c r="H47" i="6" s="1"/>
  <c r="I47" i="6" s="1"/>
  <c r="E48" i="29"/>
  <c r="H48" i="29" s="1"/>
  <c r="I48" i="29" s="1"/>
  <c r="E55" i="28"/>
  <c r="H55" i="28" s="1"/>
  <c r="I55" i="28" s="1"/>
  <c r="E51" i="28"/>
  <c r="H51" i="28" s="1"/>
  <c r="I51" i="28" s="1"/>
  <c r="E50" i="28"/>
  <c r="H50" i="28" s="1"/>
  <c r="I50" i="28" s="1"/>
  <c r="E49" i="28"/>
  <c r="H49" i="28" s="1"/>
  <c r="I49" i="28" s="1"/>
  <c r="E45" i="28"/>
  <c r="H45" i="28" s="1"/>
  <c r="I45" i="28" s="1"/>
  <c r="E43" i="28"/>
  <c r="H43" i="28" s="1"/>
  <c r="I43" i="28" s="1"/>
  <c r="E54" i="28"/>
  <c r="H54" i="28" s="1"/>
  <c r="I54" i="28" s="1"/>
  <c r="E53" i="28"/>
  <c r="H53" i="28" s="1"/>
  <c r="I53" i="28" s="1"/>
  <c r="E48" i="28"/>
  <c r="H48" i="28" s="1"/>
  <c r="I48" i="28" s="1"/>
  <c r="E47" i="28"/>
  <c r="H47" i="28" s="1"/>
  <c r="I47" i="28" s="1"/>
  <c r="E46" i="28"/>
  <c r="H46" i="28" s="1"/>
  <c r="I46" i="28" s="1"/>
  <c r="E52" i="28"/>
  <c r="H52" i="28" s="1"/>
  <c r="I52" i="28" s="1"/>
  <c r="E44" i="28"/>
  <c r="H44" i="28" s="1"/>
  <c r="I44" i="28" s="1"/>
  <c r="C14" i="25"/>
  <c r="D14" i="25" s="1"/>
  <c r="E47" i="25"/>
  <c r="H47" i="25" s="1"/>
  <c r="I47" i="25" s="1"/>
  <c r="E46" i="25"/>
  <c r="H46" i="25" s="1"/>
  <c r="I46" i="25" s="1"/>
  <c r="E45" i="25"/>
  <c r="H45" i="25" s="1"/>
  <c r="I45" i="25" s="1"/>
  <c r="E44" i="25"/>
  <c r="H44" i="25" s="1"/>
  <c r="I44" i="25" s="1"/>
  <c r="E43" i="25"/>
  <c r="H43" i="25" s="1"/>
  <c r="I43" i="25" s="1"/>
  <c r="C15" i="24"/>
  <c r="E54" i="24" s="1"/>
  <c r="H54" i="24" s="1"/>
  <c r="I54" i="24" s="1"/>
  <c r="E47" i="24"/>
  <c r="H47" i="24" s="1"/>
  <c r="I47" i="24" s="1"/>
  <c r="E48" i="24"/>
  <c r="H48" i="24" s="1"/>
  <c r="I48" i="24" s="1"/>
  <c r="C23" i="22"/>
  <c r="E55" i="22"/>
  <c r="H55" i="22" s="1"/>
  <c r="I55" i="22" s="1"/>
  <c r="E56" i="22"/>
  <c r="H56" i="22" s="1"/>
  <c r="I56" i="22" s="1"/>
  <c r="E50" i="22"/>
  <c r="H50" i="22" s="1"/>
  <c r="I50" i="22" s="1"/>
  <c r="E51" i="22"/>
  <c r="H51" i="22" s="1"/>
  <c r="I51" i="22" s="1"/>
  <c r="E54" i="22"/>
  <c r="H54" i="22" s="1"/>
  <c r="I54" i="22" s="1"/>
  <c r="E45" i="22"/>
  <c r="H45" i="22" s="1"/>
  <c r="I45" i="22" s="1"/>
  <c r="E46" i="22"/>
  <c r="H46" i="22" s="1"/>
  <c r="I46" i="22" s="1"/>
  <c r="E47" i="22"/>
  <c r="H47" i="22" s="1"/>
  <c r="I47" i="22" s="1"/>
  <c r="E48" i="22"/>
  <c r="H48" i="22" s="1"/>
  <c r="I48" i="22" s="1"/>
  <c r="E52" i="22"/>
  <c r="H52" i="22" s="1"/>
  <c r="I52" i="22" s="1"/>
  <c r="E44" i="22"/>
  <c r="H44" i="22" s="1"/>
  <c r="I44" i="22" s="1"/>
  <c r="E49" i="22"/>
  <c r="H49" i="22" s="1"/>
  <c r="I49" i="22" s="1"/>
  <c r="E53" i="22"/>
  <c r="H53" i="22" s="1"/>
  <c r="I53" i="22" s="1"/>
  <c r="E46" i="19"/>
  <c r="H46" i="19" s="1"/>
  <c r="I46" i="19" s="1"/>
  <c r="E43" i="19"/>
  <c r="H43" i="19" s="1"/>
  <c r="I43" i="19" s="1"/>
  <c r="E47" i="19"/>
  <c r="H47" i="19" s="1"/>
  <c r="I47" i="19" s="1"/>
  <c r="E45" i="19"/>
  <c r="H45" i="19" s="1"/>
  <c r="I45" i="19" s="1"/>
  <c r="E44" i="19"/>
  <c r="H44" i="19" s="1"/>
  <c r="I44" i="19" s="1"/>
  <c r="C14" i="15"/>
  <c r="D14" i="15" s="1"/>
  <c r="E45" i="15"/>
  <c r="H45" i="15" s="1"/>
  <c r="I45" i="15" s="1"/>
  <c r="E43" i="15"/>
  <c r="H43" i="15" s="1"/>
  <c r="I43" i="15" s="1"/>
  <c r="E46" i="15"/>
  <c r="H46" i="15" s="1"/>
  <c r="I46" i="15" s="1"/>
  <c r="E44" i="15"/>
  <c r="H44" i="15" s="1"/>
  <c r="I44" i="15" s="1"/>
  <c r="E47" i="15"/>
  <c r="H47" i="15" s="1"/>
  <c r="I47" i="15" s="1"/>
  <c r="C15" i="13"/>
  <c r="D15" i="13" s="1"/>
  <c r="E47" i="13"/>
  <c r="H47" i="13" s="1"/>
  <c r="I47" i="13" s="1"/>
  <c r="E46" i="13"/>
  <c r="H46" i="13" s="1"/>
  <c r="I46" i="13" s="1"/>
  <c r="E45" i="13"/>
  <c r="H45" i="13" s="1"/>
  <c r="I45" i="13" s="1"/>
  <c r="E44" i="13"/>
  <c r="H44" i="13" s="1"/>
  <c r="I44" i="13" s="1"/>
  <c r="E43" i="13"/>
  <c r="H43" i="13" s="1"/>
  <c r="I43" i="13" s="1"/>
  <c r="E47" i="11"/>
  <c r="H47" i="11" s="1"/>
  <c r="I47" i="11" s="1"/>
  <c r="E45" i="11"/>
  <c r="H45" i="11" s="1"/>
  <c r="I45" i="11" s="1"/>
  <c r="E44" i="11"/>
  <c r="H44" i="11" s="1"/>
  <c r="I44" i="11" s="1"/>
  <c r="E48" i="11"/>
  <c r="H48" i="11" s="1"/>
  <c r="I48" i="11" s="1"/>
  <c r="E46" i="11"/>
  <c r="H46" i="11" s="1"/>
  <c r="I46" i="11" s="1"/>
  <c r="E43" i="11"/>
  <c r="H43" i="11" s="1"/>
  <c r="I43" i="11" s="1"/>
  <c r="E45" i="10"/>
  <c r="H45" i="10" s="1"/>
  <c r="I45" i="10" s="1"/>
  <c r="E44" i="10"/>
  <c r="H44" i="10" s="1"/>
  <c r="I44" i="10" s="1"/>
  <c r="E47" i="10"/>
  <c r="H47" i="10" s="1"/>
  <c r="I47" i="10" s="1"/>
  <c r="E46" i="10"/>
  <c r="H46" i="10" s="1"/>
  <c r="I46" i="10" s="1"/>
  <c r="E43" i="10"/>
  <c r="H43" i="10" s="1"/>
  <c r="I43" i="10" s="1"/>
  <c r="C15" i="8"/>
  <c r="C15" i="3"/>
  <c r="C14" i="6"/>
  <c r="E47" i="5"/>
  <c r="H47" i="5" s="1"/>
  <c r="I47" i="5" s="1"/>
  <c r="E45" i="5"/>
  <c r="H45" i="5" s="1"/>
  <c r="I45" i="5" s="1"/>
  <c r="E46" i="5"/>
  <c r="H46" i="5" s="1"/>
  <c r="I46" i="5" s="1"/>
  <c r="E43" i="5"/>
  <c r="H43" i="5" s="1"/>
  <c r="I43" i="5" s="1"/>
  <c r="E44" i="5"/>
  <c r="H44" i="5" s="1"/>
  <c r="I44" i="5" s="1"/>
  <c r="D14" i="5"/>
  <c r="C15" i="5"/>
  <c r="C16" i="5" s="1"/>
  <c r="B41" i="5" s="1"/>
  <c r="B41" i="14"/>
  <c r="E43" i="14"/>
  <c r="H43" i="14" s="1"/>
  <c r="I43" i="14" s="1"/>
  <c r="B53" i="14"/>
  <c r="D13" i="14"/>
  <c r="E46" i="14"/>
  <c r="H46" i="14" s="1"/>
  <c r="I46" i="14" s="1"/>
  <c r="E47" i="14"/>
  <c r="H47" i="14" s="1"/>
  <c r="I47" i="14" s="1"/>
  <c r="B40" i="14"/>
  <c r="B65" i="14"/>
  <c r="B52" i="14"/>
  <c r="E44" i="14"/>
  <c r="H44" i="14" s="1"/>
  <c r="I44" i="14" s="1"/>
  <c r="E45" i="14"/>
  <c r="H45" i="14" s="1"/>
  <c r="I45" i="14" s="1"/>
  <c r="B64" i="14"/>
  <c r="E69" i="14"/>
  <c r="H69" i="14" s="1"/>
  <c r="I69" i="14" s="1"/>
  <c r="E71" i="14"/>
  <c r="H71" i="14" s="1"/>
  <c r="I71" i="14" s="1"/>
  <c r="E70" i="14"/>
  <c r="H70" i="14" s="1"/>
  <c r="I70" i="14" s="1"/>
  <c r="D15" i="14"/>
  <c r="E68" i="14"/>
  <c r="H68" i="14" s="1"/>
  <c r="I68" i="14" s="1"/>
  <c r="E67" i="14"/>
  <c r="H67" i="14" s="1"/>
  <c r="I67" i="14" s="1"/>
  <c r="E56" i="14"/>
  <c r="H56" i="14" s="1"/>
  <c r="I56" i="14" s="1"/>
  <c r="E57" i="14"/>
  <c r="H57" i="14" s="1"/>
  <c r="I57" i="14" s="1"/>
  <c r="E58" i="14"/>
  <c r="H58" i="14" s="1"/>
  <c r="I58" i="14" s="1"/>
  <c r="E55" i="14"/>
  <c r="H55" i="14" s="1"/>
  <c r="I55" i="14" s="1"/>
  <c r="E59" i="14"/>
  <c r="H59" i="14" s="1"/>
  <c r="I59" i="14" s="1"/>
  <c r="D14" i="14"/>
  <c r="D14" i="16"/>
  <c r="E43" i="16"/>
  <c r="H43" i="16" s="1"/>
  <c r="I43" i="16" s="1"/>
  <c r="E45" i="16"/>
  <c r="H45" i="16" s="1"/>
  <c r="I45" i="16" s="1"/>
  <c r="E48" i="16"/>
  <c r="H48" i="16" s="1"/>
  <c r="I48" i="16" s="1"/>
  <c r="E44" i="16"/>
  <c r="H44" i="16" s="1"/>
  <c r="I44" i="16" s="1"/>
  <c r="E47" i="16"/>
  <c r="H47" i="16" s="1"/>
  <c r="I47" i="16" s="1"/>
  <c r="E46" i="16"/>
  <c r="H46" i="16" s="1"/>
  <c r="I46" i="16" s="1"/>
  <c r="C15" i="16"/>
  <c r="E48" i="3"/>
  <c r="H48" i="3" s="1"/>
  <c r="I48" i="3" s="1"/>
  <c r="D14" i="3"/>
  <c r="E44" i="3"/>
  <c r="H44" i="3" s="1"/>
  <c r="I44" i="3" s="1"/>
  <c r="E43" i="3"/>
  <c r="H43" i="3" s="1"/>
  <c r="I43" i="3" s="1"/>
  <c r="E45" i="3"/>
  <c r="H45" i="3" s="1"/>
  <c r="I45" i="3" s="1"/>
  <c r="E46" i="3"/>
  <c r="H46" i="3" s="1"/>
  <c r="I46" i="3" s="1"/>
  <c r="E47" i="3"/>
  <c r="H47" i="3" s="1"/>
  <c r="I47" i="3" s="1"/>
  <c r="E43" i="7"/>
  <c r="H43" i="7" s="1"/>
  <c r="I43" i="7" s="1"/>
  <c r="E47" i="7"/>
  <c r="H47" i="7" s="1"/>
  <c r="I47" i="7" s="1"/>
  <c r="E48" i="7"/>
  <c r="H48" i="7" s="1"/>
  <c r="I48" i="7" s="1"/>
  <c r="D14" i="7"/>
  <c r="B41" i="7"/>
  <c r="E46" i="7"/>
  <c r="H46" i="7" s="1"/>
  <c r="I46" i="7" s="1"/>
  <c r="B52" i="7"/>
  <c r="E45" i="7"/>
  <c r="H45" i="7" s="1"/>
  <c r="I45" i="7" s="1"/>
  <c r="B53" i="7"/>
  <c r="B40" i="7"/>
  <c r="E44" i="7"/>
  <c r="H44" i="7" s="1"/>
  <c r="I44" i="7" s="1"/>
  <c r="D15" i="7"/>
  <c r="E55" i="7"/>
  <c r="H55" i="7" s="1"/>
  <c r="I55" i="7" s="1"/>
  <c r="E56" i="7"/>
  <c r="H56" i="7" s="1"/>
  <c r="I56" i="7" s="1"/>
  <c r="E58" i="7"/>
  <c r="H58" i="7" s="1"/>
  <c r="I58" i="7" s="1"/>
  <c r="E60" i="7"/>
  <c r="H60" i="7" s="1"/>
  <c r="I60" i="7" s="1"/>
  <c r="E59" i="7"/>
  <c r="H59" i="7" s="1"/>
  <c r="I59" i="7" s="1"/>
  <c r="E57" i="7"/>
  <c r="H57" i="7" s="1"/>
  <c r="I57" i="7" s="1"/>
  <c r="E46" i="17"/>
  <c r="H46" i="17" s="1"/>
  <c r="I46" i="17" s="1"/>
  <c r="E47" i="17"/>
  <c r="H47" i="17" s="1"/>
  <c r="I47" i="17" s="1"/>
  <c r="E44" i="17"/>
  <c r="H44" i="17" s="1"/>
  <c r="I44" i="17" s="1"/>
  <c r="E45" i="17"/>
  <c r="H45" i="17" s="1"/>
  <c r="I45" i="17" s="1"/>
  <c r="D14" i="17"/>
  <c r="E43" i="17"/>
  <c r="H43" i="17" s="1"/>
  <c r="I43" i="17" s="1"/>
  <c r="E48" i="17"/>
  <c r="H48" i="17" s="1"/>
  <c r="I48" i="17" s="1"/>
  <c r="D14" i="11"/>
  <c r="C15" i="11"/>
  <c r="C15" i="26"/>
  <c r="C16" i="23"/>
  <c r="E60" i="23" s="1"/>
  <c r="H60" i="23" s="1"/>
  <c r="I60" i="23" s="1"/>
  <c r="C15" i="21"/>
  <c r="D13" i="6"/>
  <c r="D13" i="10"/>
  <c r="C14" i="10"/>
  <c r="D13" i="15"/>
  <c r="D13" i="19"/>
  <c r="C14" i="19"/>
  <c r="E55" i="4"/>
  <c r="H55" i="4" s="1"/>
  <c r="I55" i="4" s="1"/>
  <c r="E45" i="4"/>
  <c r="H45" i="4" s="1"/>
  <c r="I45" i="4" s="1"/>
  <c r="E46" i="4"/>
  <c r="H46" i="4" s="1"/>
  <c r="I46" i="4" s="1"/>
  <c r="E47" i="4"/>
  <c r="H47" i="4" s="1"/>
  <c r="I47" i="4" s="1"/>
  <c r="E48" i="4"/>
  <c r="H48" i="4" s="1"/>
  <c r="I48" i="4" s="1"/>
  <c r="E49" i="4"/>
  <c r="H49" i="4" s="1"/>
  <c r="I49" i="4" s="1"/>
  <c r="E52" i="4"/>
  <c r="H52" i="4" s="1"/>
  <c r="I52" i="4" s="1"/>
  <c r="E50" i="4"/>
  <c r="H50" i="4" s="1"/>
  <c r="I50" i="4" s="1"/>
  <c r="D21" i="4"/>
  <c r="E51" i="4"/>
  <c r="H51" i="4" s="1"/>
  <c r="I51" i="4" s="1"/>
  <c r="E54" i="4"/>
  <c r="H54" i="4" s="1"/>
  <c r="I54" i="4" s="1"/>
  <c r="E53" i="4"/>
  <c r="H53" i="4" s="1"/>
  <c r="I53" i="4" s="1"/>
  <c r="E43" i="4"/>
  <c r="H43" i="4" s="1"/>
  <c r="I43" i="4" s="1"/>
  <c r="E44" i="4"/>
  <c r="H44" i="4" s="1"/>
  <c r="I44" i="4" s="1"/>
  <c r="C22" i="4"/>
  <c r="C15" i="29"/>
  <c r="C14" i="30"/>
  <c r="E56" i="30" s="1"/>
  <c r="H56" i="30" s="1"/>
  <c r="I56" i="30" s="1"/>
  <c r="E43" i="30"/>
  <c r="H43" i="30" s="1"/>
  <c r="I43" i="30" s="1"/>
  <c r="E47" i="30"/>
  <c r="H47" i="30" s="1"/>
  <c r="I47" i="30" s="1"/>
  <c r="E46" i="30"/>
  <c r="H46" i="30" s="1"/>
  <c r="I46" i="30" s="1"/>
  <c r="E44" i="30"/>
  <c r="H44" i="30" s="1"/>
  <c r="I44" i="30" s="1"/>
  <c r="E45" i="30"/>
  <c r="H45" i="30" s="1"/>
  <c r="I45" i="30" s="1"/>
  <c r="D13" i="30"/>
  <c r="D14" i="29"/>
  <c r="F48" i="29" s="1"/>
  <c r="E43" i="29"/>
  <c r="H43" i="29" s="1"/>
  <c r="I43" i="29" s="1"/>
  <c r="E44" i="29"/>
  <c r="H44" i="29" s="1"/>
  <c r="I44" i="29" s="1"/>
  <c r="E46" i="29"/>
  <c r="H46" i="29" s="1"/>
  <c r="I46" i="29" s="1"/>
  <c r="E47" i="29"/>
  <c r="H47" i="29" s="1"/>
  <c r="I47" i="29" s="1"/>
  <c r="E45" i="29"/>
  <c r="H45" i="29" s="1"/>
  <c r="I45" i="29" s="1"/>
  <c r="D21" i="28"/>
  <c r="E44" i="27"/>
  <c r="H44" i="27" s="1"/>
  <c r="I44" i="27" s="1"/>
  <c r="E46" i="27"/>
  <c r="H46" i="27" s="1"/>
  <c r="I46" i="27" s="1"/>
  <c r="E47" i="27"/>
  <c r="H47" i="27" s="1"/>
  <c r="I47" i="27" s="1"/>
  <c r="E49" i="27"/>
  <c r="H49" i="27" s="1"/>
  <c r="I49" i="27" s="1"/>
  <c r="E48" i="27"/>
  <c r="H48" i="27" s="1"/>
  <c r="I48" i="27" s="1"/>
  <c r="E43" i="27"/>
  <c r="H43" i="27" s="1"/>
  <c r="I43" i="27" s="1"/>
  <c r="D15" i="27"/>
  <c r="E45" i="27"/>
  <c r="H45" i="27" s="1"/>
  <c r="I45" i="27" s="1"/>
  <c r="D14" i="26"/>
  <c r="E43" i="26"/>
  <c r="H43" i="26" s="1"/>
  <c r="I43" i="26" s="1"/>
  <c r="E44" i="26"/>
  <c r="H44" i="26" s="1"/>
  <c r="I44" i="26" s="1"/>
  <c r="E45" i="26"/>
  <c r="H45" i="26" s="1"/>
  <c r="I45" i="26" s="1"/>
  <c r="E46" i="26"/>
  <c r="H46" i="26" s="1"/>
  <c r="I46" i="26" s="1"/>
  <c r="E47" i="26"/>
  <c r="H47" i="26" s="1"/>
  <c r="I47" i="26" s="1"/>
  <c r="E48" i="26"/>
  <c r="H48" i="26" s="1"/>
  <c r="I48" i="26" s="1"/>
  <c r="D13" i="25"/>
  <c r="E44" i="24"/>
  <c r="H44" i="24" s="1"/>
  <c r="I44" i="24" s="1"/>
  <c r="E45" i="24"/>
  <c r="H45" i="24" s="1"/>
  <c r="I45" i="24" s="1"/>
  <c r="D14" i="24"/>
  <c r="E43" i="24"/>
  <c r="H43" i="24" s="1"/>
  <c r="I43" i="24" s="1"/>
  <c r="E46" i="24"/>
  <c r="H46" i="24" s="1"/>
  <c r="I46" i="24" s="1"/>
  <c r="E48" i="23"/>
  <c r="H48" i="23" s="1"/>
  <c r="I48" i="23" s="1"/>
  <c r="E49" i="23"/>
  <c r="H49" i="23" s="1"/>
  <c r="I49" i="23" s="1"/>
  <c r="D15" i="23"/>
  <c r="E43" i="23"/>
  <c r="H43" i="23" s="1"/>
  <c r="I43" i="23" s="1"/>
  <c r="E44" i="23"/>
  <c r="H44" i="23" s="1"/>
  <c r="I44" i="23" s="1"/>
  <c r="E45" i="23"/>
  <c r="H45" i="23" s="1"/>
  <c r="I45" i="23" s="1"/>
  <c r="E47" i="23"/>
  <c r="H47" i="23" s="1"/>
  <c r="I47" i="23" s="1"/>
  <c r="E46" i="23"/>
  <c r="H46" i="23" s="1"/>
  <c r="I46" i="23" s="1"/>
  <c r="E43" i="22"/>
  <c r="H43" i="22" s="1"/>
  <c r="I43" i="22" s="1"/>
  <c r="D22" i="22"/>
  <c r="D14" i="21"/>
  <c r="E43" i="21"/>
  <c r="H43" i="21" s="1"/>
  <c r="I43" i="21" s="1"/>
  <c r="E44" i="21"/>
  <c r="H44" i="21" s="1"/>
  <c r="I44" i="21" s="1"/>
  <c r="E45" i="21"/>
  <c r="H45" i="21" s="1"/>
  <c r="I45" i="21" s="1"/>
  <c r="E46" i="21"/>
  <c r="H46" i="21" s="1"/>
  <c r="I46" i="21" s="1"/>
  <c r="E47" i="21"/>
  <c r="H47" i="21" s="1"/>
  <c r="I47" i="21" s="1"/>
  <c r="E48" i="21"/>
  <c r="H48" i="21" s="1"/>
  <c r="I48" i="21" s="1"/>
  <c r="E44" i="20"/>
  <c r="H44" i="20" s="1"/>
  <c r="I44" i="20" s="1"/>
  <c r="E45" i="20"/>
  <c r="H45" i="20" s="1"/>
  <c r="I45" i="20" s="1"/>
  <c r="E43" i="20"/>
  <c r="H43" i="20" s="1"/>
  <c r="I43" i="20" s="1"/>
  <c r="E46" i="20"/>
  <c r="H46" i="20" s="1"/>
  <c r="I46" i="20" s="1"/>
  <c r="D14" i="20"/>
  <c r="E48" i="20"/>
  <c r="H48" i="20" s="1"/>
  <c r="I48" i="20" s="1"/>
  <c r="E47" i="20"/>
  <c r="H47" i="20" s="1"/>
  <c r="I47" i="20" s="1"/>
  <c r="D13" i="18"/>
  <c r="E43" i="18"/>
  <c r="H43" i="18" s="1"/>
  <c r="I43" i="18" s="1"/>
  <c r="E44" i="18"/>
  <c r="H44" i="18" s="1"/>
  <c r="I44" i="18" s="1"/>
  <c r="E45" i="18"/>
  <c r="H45" i="18" s="1"/>
  <c r="I45" i="18" s="1"/>
  <c r="E46" i="18"/>
  <c r="H46" i="18" s="1"/>
  <c r="I46" i="18" s="1"/>
  <c r="E47" i="18"/>
  <c r="H47" i="18" s="1"/>
  <c r="I47" i="18" s="1"/>
  <c r="D14" i="13"/>
  <c r="D14" i="8"/>
  <c r="E43" i="8"/>
  <c r="H43" i="8" s="1"/>
  <c r="I43" i="8" s="1"/>
  <c r="E44" i="8"/>
  <c r="H44" i="8" s="1"/>
  <c r="I44" i="8" s="1"/>
  <c r="E45" i="8"/>
  <c r="H45" i="8" s="1"/>
  <c r="I45" i="8" s="1"/>
  <c r="E46" i="8"/>
  <c r="H46" i="8" s="1"/>
  <c r="I46" i="8" s="1"/>
  <c r="E47" i="8"/>
  <c r="H47" i="8" s="1"/>
  <c r="I47" i="8" s="1"/>
  <c r="E48" i="8"/>
  <c r="H48" i="8" s="1"/>
  <c r="I48" i="8" s="1"/>
  <c r="C22" i="28"/>
  <c r="C16" i="27"/>
  <c r="C15" i="20"/>
  <c r="C14" i="18"/>
  <c r="E46" i="9" l="1"/>
  <c r="H46" i="9" s="1"/>
  <c r="I46" i="9" s="1"/>
  <c r="E44" i="9"/>
  <c r="H44" i="9" s="1"/>
  <c r="I44" i="9" s="1"/>
  <c r="C14" i="9"/>
  <c r="C15" i="9" s="1"/>
  <c r="D13" i="9"/>
  <c r="E45" i="9"/>
  <c r="H45" i="9" s="1"/>
  <c r="I45" i="9" s="1"/>
  <c r="E47" i="9"/>
  <c r="H47" i="9" s="1"/>
  <c r="I47" i="9" s="1"/>
  <c r="E43" i="9"/>
  <c r="H43" i="9" s="1"/>
  <c r="I43" i="9" s="1"/>
  <c r="D14" i="12"/>
  <c r="E43" i="12"/>
  <c r="H43" i="12" s="1"/>
  <c r="I43" i="12" s="1"/>
  <c r="E44" i="12"/>
  <c r="H44" i="12" s="1"/>
  <c r="I44" i="12" s="1"/>
  <c r="E45" i="12"/>
  <c r="H45" i="12" s="1"/>
  <c r="I45" i="12" s="1"/>
  <c r="E46" i="12"/>
  <c r="H46" i="12" s="1"/>
  <c r="I46" i="12" s="1"/>
  <c r="E47" i="12"/>
  <c r="H47" i="12" s="1"/>
  <c r="I47" i="12" s="1"/>
  <c r="C15" i="12"/>
  <c r="C16" i="12" s="1"/>
  <c r="D13" i="2"/>
  <c r="E46" i="2"/>
  <c r="H46" i="2" s="1"/>
  <c r="I46" i="2" s="1"/>
  <c r="E47" i="2"/>
  <c r="H47" i="2" s="1"/>
  <c r="I47" i="2" s="1"/>
  <c r="E43" i="2"/>
  <c r="H43" i="2" s="1"/>
  <c r="I43" i="2" s="1"/>
  <c r="E45" i="2"/>
  <c r="H45" i="2" s="1"/>
  <c r="I45" i="2" s="1"/>
  <c r="C14" i="2"/>
  <c r="E44" i="2"/>
  <c r="H44" i="2" s="1"/>
  <c r="I44" i="2" s="1"/>
  <c r="E58" i="19"/>
  <c r="H58" i="19" s="1"/>
  <c r="I58" i="19" s="1"/>
  <c r="E59" i="19"/>
  <c r="H59" i="19" s="1"/>
  <c r="I59" i="19" s="1"/>
  <c r="E57" i="19"/>
  <c r="H57" i="19" s="1"/>
  <c r="I57" i="19" s="1"/>
  <c r="E55" i="19"/>
  <c r="H55" i="19" s="1"/>
  <c r="I55" i="19" s="1"/>
  <c r="E56" i="19"/>
  <c r="H56" i="19" s="1"/>
  <c r="I56" i="19" s="1"/>
  <c r="E58" i="30"/>
  <c r="H58" i="30" s="1"/>
  <c r="I58" i="30" s="1"/>
  <c r="D14" i="30"/>
  <c r="E55" i="30"/>
  <c r="H55" i="30" s="1"/>
  <c r="I55" i="30" s="1"/>
  <c r="E59" i="30"/>
  <c r="H59" i="30" s="1"/>
  <c r="I59" i="30" s="1"/>
  <c r="E57" i="30"/>
  <c r="H57" i="30" s="1"/>
  <c r="I57" i="30" s="1"/>
  <c r="E62" i="26"/>
  <c r="H62" i="26" s="1"/>
  <c r="I62" i="26" s="1"/>
  <c r="D15" i="26"/>
  <c r="E59" i="26"/>
  <c r="H59" i="26" s="1"/>
  <c r="I59" i="26" s="1"/>
  <c r="E58" i="26"/>
  <c r="H58" i="26" s="1"/>
  <c r="I58" i="26" s="1"/>
  <c r="E60" i="26"/>
  <c r="H60" i="26" s="1"/>
  <c r="I60" i="26" s="1"/>
  <c r="E57" i="26"/>
  <c r="H57" i="26" s="1"/>
  <c r="I57" i="26" s="1"/>
  <c r="C16" i="17"/>
  <c r="B40" i="17" s="1"/>
  <c r="C15" i="18"/>
  <c r="B65" i="18" s="1"/>
  <c r="C16" i="20"/>
  <c r="E60" i="29"/>
  <c r="H60" i="29" s="1"/>
  <c r="I60" i="29" s="1"/>
  <c r="C16" i="29"/>
  <c r="B53" i="29" s="1"/>
  <c r="E56" i="21"/>
  <c r="H56" i="21" s="1"/>
  <c r="I56" i="21" s="1"/>
  <c r="E57" i="21"/>
  <c r="H57" i="21" s="1"/>
  <c r="I57" i="21" s="1"/>
  <c r="E58" i="21"/>
  <c r="H58" i="21" s="1"/>
  <c r="I58" i="21" s="1"/>
  <c r="E59" i="21"/>
  <c r="H59" i="21" s="1"/>
  <c r="I59" i="21" s="1"/>
  <c r="E60" i="21"/>
  <c r="H60" i="21" s="1"/>
  <c r="I60" i="21" s="1"/>
  <c r="E59" i="6"/>
  <c r="H59" i="6" s="1"/>
  <c r="I59" i="6" s="1"/>
  <c r="E58" i="6"/>
  <c r="H58" i="6" s="1"/>
  <c r="I58" i="6" s="1"/>
  <c r="E57" i="6"/>
  <c r="H57" i="6" s="1"/>
  <c r="I57" i="6" s="1"/>
  <c r="E56" i="6"/>
  <c r="H56" i="6" s="1"/>
  <c r="I56" i="6" s="1"/>
  <c r="E55" i="6"/>
  <c r="H55" i="6" s="1"/>
  <c r="I55" i="6" s="1"/>
  <c r="F46" i="6"/>
  <c r="F44" i="6"/>
  <c r="F43" i="6"/>
  <c r="F47" i="6"/>
  <c r="F45" i="6"/>
  <c r="C16" i="3"/>
  <c r="D16" i="3" s="1"/>
  <c r="E55" i="3"/>
  <c r="H55" i="3" s="1"/>
  <c r="I55" i="3" s="1"/>
  <c r="E60" i="3"/>
  <c r="H60" i="3" s="1"/>
  <c r="I60" i="3" s="1"/>
  <c r="E58" i="3"/>
  <c r="H58" i="3" s="1"/>
  <c r="I58" i="3" s="1"/>
  <c r="D15" i="3"/>
  <c r="E57" i="3"/>
  <c r="H57" i="3" s="1"/>
  <c r="I57" i="3" s="1"/>
  <c r="E59" i="3"/>
  <c r="H59" i="3" s="1"/>
  <c r="I59" i="3" s="1"/>
  <c r="E56" i="3"/>
  <c r="H56" i="3" s="1"/>
  <c r="I56" i="3" s="1"/>
  <c r="C15" i="30"/>
  <c r="B65" i="30" s="1"/>
  <c r="F52" i="28"/>
  <c r="F50" i="28"/>
  <c r="F48" i="28"/>
  <c r="F47" i="28"/>
  <c r="F46" i="28"/>
  <c r="F55" i="28"/>
  <c r="F54" i="28"/>
  <c r="F44" i="28"/>
  <c r="F43" i="28"/>
  <c r="F53" i="28"/>
  <c r="F51" i="28"/>
  <c r="F49" i="28"/>
  <c r="F45" i="28"/>
  <c r="E73" i="28"/>
  <c r="H73" i="28" s="1"/>
  <c r="I73" i="28" s="1"/>
  <c r="E74" i="28"/>
  <c r="H74" i="28" s="1"/>
  <c r="I74" i="28" s="1"/>
  <c r="E70" i="28"/>
  <c r="H70" i="28" s="1"/>
  <c r="I70" i="28" s="1"/>
  <c r="E68" i="28"/>
  <c r="H68" i="28" s="1"/>
  <c r="I68" i="28" s="1"/>
  <c r="E62" i="28"/>
  <c r="H62" i="28" s="1"/>
  <c r="I62" i="28" s="1"/>
  <c r="E72" i="28"/>
  <c r="H72" i="28" s="1"/>
  <c r="I72" i="28" s="1"/>
  <c r="E71" i="28"/>
  <c r="H71" i="28" s="1"/>
  <c r="I71" i="28" s="1"/>
  <c r="E69" i="28"/>
  <c r="H69" i="28" s="1"/>
  <c r="I69" i="28" s="1"/>
  <c r="E66" i="28"/>
  <c r="H66" i="28" s="1"/>
  <c r="I66" i="28" s="1"/>
  <c r="E65" i="28"/>
  <c r="H65" i="28" s="1"/>
  <c r="I65" i="28" s="1"/>
  <c r="E64" i="28"/>
  <c r="H64" i="28" s="1"/>
  <c r="I64" i="28" s="1"/>
  <c r="E63" i="28"/>
  <c r="H63" i="28" s="1"/>
  <c r="I63" i="28" s="1"/>
  <c r="E67" i="28"/>
  <c r="H67" i="28" s="1"/>
  <c r="I67" i="28" s="1"/>
  <c r="C16" i="26"/>
  <c r="E61" i="26"/>
  <c r="H61" i="26" s="1"/>
  <c r="I61" i="26" s="1"/>
  <c r="E56" i="25"/>
  <c r="H56" i="25" s="1"/>
  <c r="I56" i="25" s="1"/>
  <c r="E57" i="25"/>
  <c r="H57" i="25" s="1"/>
  <c r="I57" i="25" s="1"/>
  <c r="E58" i="25"/>
  <c r="H58" i="25" s="1"/>
  <c r="I58" i="25" s="1"/>
  <c r="E59" i="25"/>
  <c r="H59" i="25" s="1"/>
  <c r="I59" i="25" s="1"/>
  <c r="E55" i="25"/>
  <c r="H55" i="25" s="1"/>
  <c r="I55" i="25" s="1"/>
  <c r="C15" i="25"/>
  <c r="F55" i="25"/>
  <c r="F57" i="25"/>
  <c r="F58" i="25"/>
  <c r="F56" i="25"/>
  <c r="F59" i="25"/>
  <c r="F43" i="25"/>
  <c r="F47" i="25"/>
  <c r="F44" i="25"/>
  <c r="F45" i="25"/>
  <c r="F46" i="25"/>
  <c r="E56" i="24"/>
  <c r="H56" i="24" s="1"/>
  <c r="I56" i="24" s="1"/>
  <c r="E57" i="24"/>
  <c r="H57" i="24" s="1"/>
  <c r="I57" i="24" s="1"/>
  <c r="E55" i="24"/>
  <c r="H55" i="24" s="1"/>
  <c r="I55" i="24" s="1"/>
  <c r="D15" i="24"/>
  <c r="E59" i="24"/>
  <c r="H59" i="24" s="1"/>
  <c r="I59" i="24" s="1"/>
  <c r="E58" i="24"/>
  <c r="H58" i="24" s="1"/>
  <c r="I58" i="24" s="1"/>
  <c r="C16" i="24"/>
  <c r="F48" i="24"/>
  <c r="F47" i="24"/>
  <c r="C24" i="22"/>
  <c r="E78" i="22"/>
  <c r="H78" i="22" s="1"/>
  <c r="I78" i="22" s="1"/>
  <c r="E66" i="22"/>
  <c r="H66" i="22" s="1"/>
  <c r="I66" i="22" s="1"/>
  <c r="E67" i="22"/>
  <c r="H67" i="22" s="1"/>
  <c r="I67" i="22" s="1"/>
  <c r="E68" i="22"/>
  <c r="H68" i="22" s="1"/>
  <c r="I68" i="22" s="1"/>
  <c r="E74" i="22"/>
  <c r="H74" i="22" s="1"/>
  <c r="I74" i="22" s="1"/>
  <c r="E71" i="22"/>
  <c r="H71" i="22" s="1"/>
  <c r="I71" i="22" s="1"/>
  <c r="D23" i="22"/>
  <c r="E77" i="22"/>
  <c r="H77" i="22" s="1"/>
  <c r="I77" i="22" s="1"/>
  <c r="E65" i="22"/>
  <c r="H65" i="22" s="1"/>
  <c r="I65" i="22" s="1"/>
  <c r="E69" i="22"/>
  <c r="H69" i="22" s="1"/>
  <c r="I69" i="22" s="1"/>
  <c r="E70" i="22"/>
  <c r="H70" i="22" s="1"/>
  <c r="I70" i="22" s="1"/>
  <c r="E73" i="22"/>
  <c r="H73" i="22" s="1"/>
  <c r="I73" i="22" s="1"/>
  <c r="E76" i="22"/>
  <c r="H76" i="22" s="1"/>
  <c r="I76" i="22" s="1"/>
  <c r="E72" i="22"/>
  <c r="H72" i="22" s="1"/>
  <c r="I72" i="22" s="1"/>
  <c r="E75" i="22"/>
  <c r="H75" i="22" s="1"/>
  <c r="I75" i="22" s="1"/>
  <c r="F54" i="22"/>
  <c r="F55" i="22"/>
  <c r="F56" i="22"/>
  <c r="F52" i="22"/>
  <c r="F53" i="22"/>
  <c r="F44" i="22"/>
  <c r="F45" i="22"/>
  <c r="F48" i="22"/>
  <c r="F49" i="22"/>
  <c r="F50" i="22"/>
  <c r="F51" i="22"/>
  <c r="F46" i="22"/>
  <c r="F47" i="22"/>
  <c r="C16" i="21"/>
  <c r="E55" i="21"/>
  <c r="H55" i="21" s="1"/>
  <c r="I55" i="21" s="1"/>
  <c r="D15" i="21"/>
  <c r="F47" i="19"/>
  <c r="F45" i="19"/>
  <c r="F44" i="19"/>
  <c r="F46" i="19"/>
  <c r="F43" i="19"/>
  <c r="E57" i="15"/>
  <c r="H57" i="15" s="1"/>
  <c r="I57" i="15" s="1"/>
  <c r="E58" i="15"/>
  <c r="H58" i="15" s="1"/>
  <c r="I58" i="15" s="1"/>
  <c r="E59" i="15"/>
  <c r="H59" i="15" s="1"/>
  <c r="I59" i="15" s="1"/>
  <c r="E56" i="15"/>
  <c r="H56" i="15" s="1"/>
  <c r="I56" i="15" s="1"/>
  <c r="E55" i="15"/>
  <c r="H55" i="15" s="1"/>
  <c r="I55" i="15" s="1"/>
  <c r="C15" i="15"/>
  <c r="F59" i="15"/>
  <c r="F56" i="15"/>
  <c r="F55" i="15"/>
  <c r="F57" i="15"/>
  <c r="F58" i="15"/>
  <c r="F45" i="15"/>
  <c r="F44" i="15"/>
  <c r="F46" i="15"/>
  <c r="F43" i="15"/>
  <c r="F47" i="15"/>
  <c r="E56" i="13"/>
  <c r="H56" i="13" s="1"/>
  <c r="I56" i="13" s="1"/>
  <c r="E57" i="13"/>
  <c r="H57" i="13" s="1"/>
  <c r="I57" i="13" s="1"/>
  <c r="E58" i="13"/>
  <c r="H58" i="13" s="1"/>
  <c r="I58" i="13" s="1"/>
  <c r="E55" i="13"/>
  <c r="H55" i="13" s="1"/>
  <c r="I55" i="13" s="1"/>
  <c r="E59" i="13"/>
  <c r="H59" i="13" s="1"/>
  <c r="I59" i="13" s="1"/>
  <c r="C16" i="13"/>
  <c r="F47" i="13"/>
  <c r="F46" i="13"/>
  <c r="F45" i="13"/>
  <c r="F43" i="13"/>
  <c r="F44" i="13"/>
  <c r="F56" i="13"/>
  <c r="F55" i="13"/>
  <c r="F59" i="13"/>
  <c r="F58" i="13"/>
  <c r="F57" i="13"/>
  <c r="F43" i="11"/>
  <c r="F48" i="11"/>
  <c r="F46" i="11"/>
  <c r="F44" i="11"/>
  <c r="F47" i="11"/>
  <c r="F45" i="11"/>
  <c r="E55" i="11"/>
  <c r="H55" i="11" s="1"/>
  <c r="I55" i="11" s="1"/>
  <c r="E58" i="11"/>
  <c r="H58" i="11" s="1"/>
  <c r="I58" i="11" s="1"/>
  <c r="E60" i="11"/>
  <c r="H60" i="11" s="1"/>
  <c r="I60" i="11" s="1"/>
  <c r="E59" i="11"/>
  <c r="H59" i="11" s="1"/>
  <c r="I59" i="11" s="1"/>
  <c r="E57" i="11"/>
  <c r="H57" i="11" s="1"/>
  <c r="I57" i="11" s="1"/>
  <c r="E56" i="11"/>
  <c r="H56" i="11" s="1"/>
  <c r="I56" i="11" s="1"/>
  <c r="F47" i="10"/>
  <c r="F46" i="10"/>
  <c r="F45" i="10"/>
  <c r="F44" i="10"/>
  <c r="F43" i="10"/>
  <c r="E58" i="10"/>
  <c r="H58" i="10" s="1"/>
  <c r="I58" i="10" s="1"/>
  <c r="E55" i="10"/>
  <c r="H55" i="10" s="1"/>
  <c r="I55" i="10" s="1"/>
  <c r="E59" i="10"/>
  <c r="H59" i="10" s="1"/>
  <c r="I59" i="10" s="1"/>
  <c r="E56" i="10"/>
  <c r="H56" i="10" s="1"/>
  <c r="I56" i="10" s="1"/>
  <c r="E57" i="10"/>
  <c r="H57" i="10" s="1"/>
  <c r="I57" i="10" s="1"/>
  <c r="E60" i="8"/>
  <c r="H60" i="8" s="1"/>
  <c r="I60" i="8" s="1"/>
  <c r="E58" i="8"/>
  <c r="H58" i="8" s="1"/>
  <c r="I58" i="8" s="1"/>
  <c r="E55" i="8"/>
  <c r="H55" i="8" s="1"/>
  <c r="I55" i="8" s="1"/>
  <c r="E59" i="8"/>
  <c r="H59" i="8" s="1"/>
  <c r="I59" i="8" s="1"/>
  <c r="E57" i="8"/>
  <c r="H57" i="8" s="1"/>
  <c r="I57" i="8" s="1"/>
  <c r="C16" i="8"/>
  <c r="E56" i="8"/>
  <c r="H56" i="8" s="1"/>
  <c r="I56" i="8" s="1"/>
  <c r="D15" i="8"/>
  <c r="D14" i="6"/>
  <c r="C15" i="6"/>
  <c r="E71" i="6" s="1"/>
  <c r="F44" i="5"/>
  <c r="F45" i="5"/>
  <c r="F46" i="5"/>
  <c r="F47" i="5"/>
  <c r="F43" i="5"/>
  <c r="E57" i="5"/>
  <c r="H57" i="5" s="1"/>
  <c r="I57" i="5" s="1"/>
  <c r="E58" i="5"/>
  <c r="H58" i="5" s="1"/>
  <c r="I58" i="5" s="1"/>
  <c r="E56" i="5"/>
  <c r="H56" i="5" s="1"/>
  <c r="I56" i="5" s="1"/>
  <c r="E55" i="5"/>
  <c r="H55" i="5" s="1"/>
  <c r="I55" i="5" s="1"/>
  <c r="D15" i="5"/>
  <c r="E59" i="5"/>
  <c r="H59" i="5" s="1"/>
  <c r="I59" i="5" s="1"/>
  <c r="E69" i="5"/>
  <c r="H69" i="5" s="1"/>
  <c r="I69" i="5" s="1"/>
  <c r="E70" i="5"/>
  <c r="H70" i="5" s="1"/>
  <c r="I70" i="5" s="1"/>
  <c r="D16" i="5"/>
  <c r="E71" i="5"/>
  <c r="H71" i="5" s="1"/>
  <c r="I71" i="5" s="1"/>
  <c r="E68" i="5"/>
  <c r="H68" i="5" s="1"/>
  <c r="I68" i="5" s="1"/>
  <c r="E67" i="5"/>
  <c r="H67" i="5" s="1"/>
  <c r="I67" i="5" s="1"/>
  <c r="B52" i="5"/>
  <c r="B64" i="5"/>
  <c r="B65" i="5"/>
  <c r="B40" i="5"/>
  <c r="B53" i="5"/>
  <c r="F45" i="14"/>
  <c r="F46" i="14"/>
  <c r="F43" i="14"/>
  <c r="F44" i="14"/>
  <c r="F47" i="14"/>
  <c r="F69" i="14"/>
  <c r="F70" i="14"/>
  <c r="F68" i="14"/>
  <c r="F67" i="14"/>
  <c r="F71" i="14"/>
  <c r="F55" i="14"/>
  <c r="F58" i="14"/>
  <c r="F57" i="14"/>
  <c r="F56" i="14"/>
  <c r="F59" i="14"/>
  <c r="F46" i="16"/>
  <c r="F43" i="16"/>
  <c r="F45" i="16"/>
  <c r="F44" i="16"/>
  <c r="F47" i="16"/>
  <c r="F48" i="16"/>
  <c r="E60" i="16"/>
  <c r="H60" i="16" s="1"/>
  <c r="I60" i="16" s="1"/>
  <c r="E59" i="16"/>
  <c r="H59" i="16" s="1"/>
  <c r="I59" i="16" s="1"/>
  <c r="D15" i="16"/>
  <c r="E58" i="16"/>
  <c r="H58" i="16" s="1"/>
  <c r="I58" i="16" s="1"/>
  <c r="E57" i="16"/>
  <c r="H57" i="16" s="1"/>
  <c r="I57" i="16" s="1"/>
  <c r="E56" i="16"/>
  <c r="H56" i="16" s="1"/>
  <c r="I56" i="16" s="1"/>
  <c r="E55" i="16"/>
  <c r="H55" i="16" s="1"/>
  <c r="I55" i="16" s="1"/>
  <c r="C16" i="16"/>
  <c r="F47" i="3"/>
  <c r="F48" i="3"/>
  <c r="F44" i="3"/>
  <c r="F43" i="3"/>
  <c r="F45" i="3"/>
  <c r="F46" i="3"/>
  <c r="F43" i="7"/>
  <c r="F45" i="7"/>
  <c r="F47" i="7"/>
  <c r="F48" i="7"/>
  <c r="F46" i="7"/>
  <c r="F44" i="7"/>
  <c r="F57" i="7"/>
  <c r="F59" i="7"/>
  <c r="F60" i="7"/>
  <c r="F56" i="7"/>
  <c r="F55" i="7"/>
  <c r="F58" i="7"/>
  <c r="F45" i="17"/>
  <c r="F44" i="17"/>
  <c r="F46" i="17"/>
  <c r="F47" i="17"/>
  <c r="F48" i="17"/>
  <c r="F43" i="17"/>
  <c r="E56" i="17"/>
  <c r="H56" i="17" s="1"/>
  <c r="I56" i="17" s="1"/>
  <c r="E57" i="17"/>
  <c r="H57" i="17" s="1"/>
  <c r="I57" i="17" s="1"/>
  <c r="E58" i="17"/>
  <c r="H58" i="17" s="1"/>
  <c r="I58" i="17" s="1"/>
  <c r="E55" i="17"/>
  <c r="H55" i="17" s="1"/>
  <c r="I55" i="17" s="1"/>
  <c r="E60" i="17"/>
  <c r="H60" i="17" s="1"/>
  <c r="I60" i="17" s="1"/>
  <c r="E59" i="17"/>
  <c r="H59" i="17" s="1"/>
  <c r="I59" i="17" s="1"/>
  <c r="D15" i="17"/>
  <c r="D15" i="11"/>
  <c r="C16" i="11"/>
  <c r="C23" i="28"/>
  <c r="C17" i="27"/>
  <c r="E62" i="23"/>
  <c r="H62" i="23" s="1"/>
  <c r="I62" i="23" s="1"/>
  <c r="C17" i="23"/>
  <c r="E61" i="23"/>
  <c r="H61" i="23" s="1"/>
  <c r="I61" i="23" s="1"/>
  <c r="E57" i="23"/>
  <c r="H57" i="23" s="1"/>
  <c r="I57" i="23" s="1"/>
  <c r="E56" i="23"/>
  <c r="H56" i="23" s="1"/>
  <c r="I56" i="23" s="1"/>
  <c r="E59" i="23"/>
  <c r="H59" i="23" s="1"/>
  <c r="I59" i="23" s="1"/>
  <c r="D16" i="23"/>
  <c r="E58" i="23"/>
  <c r="H58" i="23" s="1"/>
  <c r="I58" i="23" s="1"/>
  <c r="D14" i="10"/>
  <c r="C15" i="10"/>
  <c r="D14" i="19"/>
  <c r="C15" i="19"/>
  <c r="F50" i="4"/>
  <c r="F55" i="4"/>
  <c r="F52" i="4"/>
  <c r="F43" i="4"/>
  <c r="F51" i="4"/>
  <c r="F53" i="4"/>
  <c r="F45" i="4"/>
  <c r="F46" i="4"/>
  <c r="F47" i="4"/>
  <c r="F48" i="4"/>
  <c r="F49" i="4"/>
  <c r="F44" i="4"/>
  <c r="F54" i="4"/>
  <c r="E65" i="4"/>
  <c r="H65" i="4" s="1"/>
  <c r="I65" i="4" s="1"/>
  <c r="E67" i="4"/>
  <c r="H67" i="4" s="1"/>
  <c r="I67" i="4" s="1"/>
  <c r="E74" i="4"/>
  <c r="H74" i="4" s="1"/>
  <c r="I74" i="4" s="1"/>
  <c r="E73" i="4"/>
  <c r="H73" i="4" s="1"/>
  <c r="I73" i="4" s="1"/>
  <c r="E71" i="4"/>
  <c r="H71" i="4" s="1"/>
  <c r="I71" i="4" s="1"/>
  <c r="E66" i="4"/>
  <c r="H66" i="4" s="1"/>
  <c r="I66" i="4" s="1"/>
  <c r="E70" i="4"/>
  <c r="H70" i="4" s="1"/>
  <c r="I70" i="4" s="1"/>
  <c r="D22" i="4"/>
  <c r="E62" i="4"/>
  <c r="H62" i="4" s="1"/>
  <c r="I62" i="4" s="1"/>
  <c r="E72" i="4"/>
  <c r="H72" i="4" s="1"/>
  <c r="I72" i="4" s="1"/>
  <c r="E69" i="4"/>
  <c r="H69" i="4" s="1"/>
  <c r="I69" i="4" s="1"/>
  <c r="E68" i="4"/>
  <c r="H68" i="4" s="1"/>
  <c r="I68" i="4" s="1"/>
  <c r="E64" i="4"/>
  <c r="H64" i="4" s="1"/>
  <c r="I64" i="4" s="1"/>
  <c r="E63" i="4"/>
  <c r="H63" i="4" s="1"/>
  <c r="I63" i="4" s="1"/>
  <c r="C23" i="4"/>
  <c r="E55" i="29"/>
  <c r="H55" i="29" s="1"/>
  <c r="I55" i="29" s="1"/>
  <c r="E56" i="29"/>
  <c r="H56" i="29" s="1"/>
  <c r="I56" i="29" s="1"/>
  <c r="D15" i="29"/>
  <c r="F60" i="29" s="1"/>
  <c r="E57" i="29"/>
  <c r="H57" i="29" s="1"/>
  <c r="I57" i="29" s="1"/>
  <c r="E58" i="29"/>
  <c r="H58" i="29" s="1"/>
  <c r="I58" i="29" s="1"/>
  <c r="E59" i="29"/>
  <c r="H59" i="29" s="1"/>
  <c r="I59" i="29" s="1"/>
  <c r="F47" i="30"/>
  <c r="F43" i="30"/>
  <c r="F44" i="30"/>
  <c r="F45" i="30"/>
  <c r="F46" i="30"/>
  <c r="F43" i="29"/>
  <c r="F47" i="29"/>
  <c r="F45" i="29"/>
  <c r="F44" i="29"/>
  <c r="F46" i="29"/>
  <c r="F45" i="27"/>
  <c r="F48" i="27"/>
  <c r="F44" i="27"/>
  <c r="F49" i="27"/>
  <c r="F43" i="27"/>
  <c r="F46" i="27"/>
  <c r="F47" i="27"/>
  <c r="F43" i="26"/>
  <c r="F44" i="26"/>
  <c r="F45" i="26"/>
  <c r="F46" i="26"/>
  <c r="F47" i="26"/>
  <c r="F48" i="26"/>
  <c r="F44" i="24"/>
  <c r="F43" i="24"/>
  <c r="F46" i="24"/>
  <c r="F45" i="24"/>
  <c r="F44" i="23"/>
  <c r="F45" i="23"/>
  <c r="F46" i="23"/>
  <c r="F49" i="23"/>
  <c r="F48" i="23"/>
  <c r="F43" i="23"/>
  <c r="F47" i="23"/>
  <c r="F43" i="22"/>
  <c r="F43" i="21"/>
  <c r="F44" i="21"/>
  <c r="F45" i="21"/>
  <c r="F46" i="21"/>
  <c r="F47" i="21"/>
  <c r="F48" i="21"/>
  <c r="F45" i="20"/>
  <c r="F48" i="20"/>
  <c r="F44" i="20"/>
  <c r="F47" i="20"/>
  <c r="F43" i="20"/>
  <c r="F46" i="20"/>
  <c r="F43" i="18"/>
  <c r="F44" i="18"/>
  <c r="F45" i="18"/>
  <c r="F46" i="18"/>
  <c r="F47" i="18"/>
  <c r="F43" i="8"/>
  <c r="F44" i="8"/>
  <c r="F45" i="8"/>
  <c r="F46" i="8"/>
  <c r="F47" i="8"/>
  <c r="F48" i="8"/>
  <c r="D22" i="28"/>
  <c r="E59" i="27"/>
  <c r="H59" i="27" s="1"/>
  <c r="I59" i="27" s="1"/>
  <c r="E60" i="27"/>
  <c r="H60" i="27" s="1"/>
  <c r="I60" i="27" s="1"/>
  <c r="E58" i="27"/>
  <c r="H58" i="27" s="1"/>
  <c r="I58" i="27" s="1"/>
  <c r="D16" i="27"/>
  <c r="E62" i="27"/>
  <c r="H62" i="27" s="1"/>
  <c r="I62" i="27" s="1"/>
  <c r="E56" i="27"/>
  <c r="H56" i="27" s="1"/>
  <c r="I56" i="27" s="1"/>
  <c r="E57" i="27"/>
  <c r="H57" i="27" s="1"/>
  <c r="I57" i="27" s="1"/>
  <c r="E61" i="27"/>
  <c r="H61" i="27" s="1"/>
  <c r="I61" i="27" s="1"/>
  <c r="E60" i="20"/>
  <c r="H60" i="20" s="1"/>
  <c r="I60" i="20" s="1"/>
  <c r="E59" i="20"/>
  <c r="H59" i="20" s="1"/>
  <c r="I59" i="20" s="1"/>
  <c r="E58" i="20"/>
  <c r="H58" i="20" s="1"/>
  <c r="I58" i="20" s="1"/>
  <c r="E57" i="20"/>
  <c r="H57" i="20" s="1"/>
  <c r="I57" i="20" s="1"/>
  <c r="E56" i="20"/>
  <c r="H56" i="20" s="1"/>
  <c r="I56" i="20" s="1"/>
  <c r="E55" i="20"/>
  <c r="H55" i="20" s="1"/>
  <c r="I55" i="20" s="1"/>
  <c r="D15" i="20"/>
  <c r="E59" i="18"/>
  <c r="H59" i="18" s="1"/>
  <c r="I59" i="18" s="1"/>
  <c r="E58" i="18"/>
  <c r="H58" i="18" s="1"/>
  <c r="I58" i="18" s="1"/>
  <c r="E57" i="18"/>
  <c r="H57" i="18" s="1"/>
  <c r="I57" i="18" s="1"/>
  <c r="E56" i="18"/>
  <c r="H56" i="18" s="1"/>
  <c r="I56" i="18" s="1"/>
  <c r="E55" i="18"/>
  <c r="H55" i="18" s="1"/>
  <c r="I55" i="18" s="1"/>
  <c r="D14" i="18"/>
  <c r="B64" i="18" l="1"/>
  <c r="B64" i="9"/>
  <c r="B52" i="9"/>
  <c r="B41" i="9"/>
  <c r="B65" i="9"/>
  <c r="B53" i="9"/>
  <c r="B52" i="3"/>
  <c r="B52" i="20"/>
  <c r="B40" i="9"/>
  <c r="B53" i="3"/>
  <c r="B40" i="3"/>
  <c r="F44" i="2"/>
  <c r="F44" i="9"/>
  <c r="F43" i="9"/>
  <c r="F45" i="9"/>
  <c r="E55" i="9"/>
  <c r="H55" i="9" s="1"/>
  <c r="I55" i="9" s="1"/>
  <c r="E59" i="9"/>
  <c r="H59" i="9" s="1"/>
  <c r="I59" i="9" s="1"/>
  <c r="E58" i="9"/>
  <c r="H58" i="9" s="1"/>
  <c r="I58" i="9" s="1"/>
  <c r="E56" i="9"/>
  <c r="H56" i="9" s="1"/>
  <c r="I56" i="9" s="1"/>
  <c r="E57" i="9"/>
  <c r="H57" i="9" s="1"/>
  <c r="I57" i="9" s="1"/>
  <c r="D15" i="9"/>
  <c r="E70" i="9"/>
  <c r="H70" i="9" s="1"/>
  <c r="I70" i="9" s="1"/>
  <c r="E69" i="9"/>
  <c r="H69" i="9" s="1"/>
  <c r="I69" i="9" s="1"/>
  <c r="E67" i="9"/>
  <c r="H67" i="9" s="1"/>
  <c r="I67" i="9" s="1"/>
  <c r="E71" i="9"/>
  <c r="H71" i="9" s="1"/>
  <c r="I71" i="9" s="1"/>
  <c r="E68" i="9"/>
  <c r="H68" i="9" s="1"/>
  <c r="I68" i="9" s="1"/>
  <c r="F47" i="9"/>
  <c r="F46" i="9"/>
  <c r="D14" i="9"/>
  <c r="F46" i="2"/>
  <c r="B40" i="12"/>
  <c r="F45" i="2"/>
  <c r="F43" i="2"/>
  <c r="B52" i="18"/>
  <c r="B52" i="12"/>
  <c r="F47" i="2"/>
  <c r="B41" i="12"/>
  <c r="D16" i="12"/>
  <c r="B51" i="12"/>
  <c r="F44" i="12"/>
  <c r="E54" i="12"/>
  <c r="H54" i="12" s="1"/>
  <c r="I54" i="12" s="1"/>
  <c r="F43" i="12"/>
  <c r="F45" i="12"/>
  <c r="F46" i="12"/>
  <c r="F47" i="12"/>
  <c r="E58" i="12"/>
  <c r="H58" i="12" s="1"/>
  <c r="I58" i="12" s="1"/>
  <c r="E57" i="12"/>
  <c r="H57" i="12" s="1"/>
  <c r="I57" i="12" s="1"/>
  <c r="E56" i="12"/>
  <c r="H56" i="12" s="1"/>
  <c r="I56" i="12" s="1"/>
  <c r="E55" i="12"/>
  <c r="H55" i="12" s="1"/>
  <c r="I55" i="12" s="1"/>
  <c r="D15" i="12"/>
  <c r="E56" i="2"/>
  <c r="H56" i="2" s="1"/>
  <c r="I56" i="2" s="1"/>
  <c r="E58" i="2"/>
  <c r="H58" i="2" s="1"/>
  <c r="I58" i="2" s="1"/>
  <c r="E55" i="2"/>
  <c r="H55" i="2" s="1"/>
  <c r="I55" i="2" s="1"/>
  <c r="E59" i="2"/>
  <c r="H59" i="2" s="1"/>
  <c r="I59" i="2" s="1"/>
  <c r="D14" i="2"/>
  <c r="C15" i="2"/>
  <c r="B40" i="18"/>
  <c r="B41" i="18"/>
  <c r="B53" i="18"/>
  <c r="B41" i="3"/>
  <c r="B40" i="30"/>
  <c r="B64" i="17"/>
  <c r="B53" i="30"/>
  <c r="B60" i="4"/>
  <c r="B52" i="19"/>
  <c r="B53" i="19"/>
  <c r="F55" i="30"/>
  <c r="F56" i="30"/>
  <c r="F59" i="30"/>
  <c r="F57" i="30"/>
  <c r="F58" i="30"/>
  <c r="E57" i="2"/>
  <c r="H57" i="2" s="1"/>
  <c r="I57" i="2" s="1"/>
  <c r="F56" i="19"/>
  <c r="F57" i="19"/>
  <c r="F58" i="19"/>
  <c r="F59" i="19"/>
  <c r="F55" i="19"/>
  <c r="B41" i="29"/>
  <c r="B65" i="17"/>
  <c r="F60" i="26"/>
  <c r="F57" i="26"/>
  <c r="F59" i="26"/>
  <c r="F62" i="26"/>
  <c r="F61" i="26"/>
  <c r="F58" i="26"/>
  <c r="E71" i="18"/>
  <c r="H71" i="18" s="1"/>
  <c r="I71" i="18" s="1"/>
  <c r="E68" i="18"/>
  <c r="H68" i="18" s="1"/>
  <c r="I68" i="18" s="1"/>
  <c r="D15" i="18"/>
  <c r="E69" i="18"/>
  <c r="H69" i="18" s="1"/>
  <c r="I69" i="18" s="1"/>
  <c r="E70" i="18"/>
  <c r="H70" i="18" s="1"/>
  <c r="I70" i="18" s="1"/>
  <c r="E67" i="18"/>
  <c r="H67" i="18" s="1"/>
  <c r="I67" i="18" s="1"/>
  <c r="E68" i="17"/>
  <c r="H68" i="17" s="1"/>
  <c r="I68" i="17" s="1"/>
  <c r="E67" i="17"/>
  <c r="H67" i="17" s="1"/>
  <c r="I67" i="17" s="1"/>
  <c r="E72" i="17"/>
  <c r="H72" i="17" s="1"/>
  <c r="I72" i="17" s="1"/>
  <c r="E71" i="17"/>
  <c r="H71" i="17" s="1"/>
  <c r="I71" i="17" s="1"/>
  <c r="E70" i="17"/>
  <c r="H70" i="17" s="1"/>
  <c r="I70" i="17" s="1"/>
  <c r="E69" i="17"/>
  <c r="H69" i="17" s="1"/>
  <c r="I69" i="17" s="1"/>
  <c r="D16" i="20"/>
  <c r="B41" i="20"/>
  <c r="B40" i="20"/>
  <c r="B53" i="20"/>
  <c r="C16" i="6"/>
  <c r="E69" i="30"/>
  <c r="H69" i="30" s="1"/>
  <c r="I69" i="30" s="1"/>
  <c r="E67" i="30"/>
  <c r="H67" i="30" s="1"/>
  <c r="I67" i="30" s="1"/>
  <c r="E68" i="30"/>
  <c r="H68" i="30" s="1"/>
  <c r="I68" i="30" s="1"/>
  <c r="D15" i="30"/>
  <c r="E71" i="30"/>
  <c r="H71" i="30" s="1"/>
  <c r="I71" i="30" s="1"/>
  <c r="E70" i="30"/>
  <c r="H70" i="30" s="1"/>
  <c r="I70" i="30" s="1"/>
  <c r="E72" i="29"/>
  <c r="H72" i="29" s="1"/>
  <c r="I72" i="29" s="1"/>
  <c r="E68" i="29"/>
  <c r="H68" i="29" s="1"/>
  <c r="I68" i="29" s="1"/>
  <c r="E71" i="29"/>
  <c r="H71" i="29" s="1"/>
  <c r="I71" i="29" s="1"/>
  <c r="E70" i="29"/>
  <c r="H70" i="29" s="1"/>
  <c r="I70" i="29" s="1"/>
  <c r="E67" i="29"/>
  <c r="H67" i="29" s="1"/>
  <c r="I67" i="29" s="1"/>
  <c r="E69" i="29"/>
  <c r="H69" i="29" s="1"/>
  <c r="I69" i="29" s="1"/>
  <c r="D16" i="29"/>
  <c r="F54" i="24"/>
  <c r="F56" i="24"/>
  <c r="F57" i="24"/>
  <c r="F59" i="24"/>
  <c r="F55" i="24"/>
  <c r="F58" i="24"/>
  <c r="B65" i="29"/>
  <c r="B40" i="29"/>
  <c r="B64" i="29"/>
  <c r="B52" i="29"/>
  <c r="B64" i="30"/>
  <c r="B41" i="30"/>
  <c r="B52" i="30"/>
  <c r="B41" i="26"/>
  <c r="B54" i="26"/>
  <c r="B40" i="26"/>
  <c r="B55" i="26"/>
  <c r="B41" i="27"/>
  <c r="B54" i="27"/>
  <c r="B40" i="22"/>
  <c r="B62" i="22"/>
  <c r="B63" i="22"/>
  <c r="D16" i="21"/>
  <c r="B53" i="21"/>
  <c r="B40" i="21"/>
  <c r="B52" i="21"/>
  <c r="B41" i="21"/>
  <c r="B40" i="13"/>
  <c r="D16" i="13"/>
  <c r="B53" i="13"/>
  <c r="B64" i="13"/>
  <c r="B52" i="13"/>
  <c r="B41" i="13"/>
  <c r="B65" i="13"/>
  <c r="F57" i="6"/>
  <c r="F58" i="6"/>
  <c r="F59" i="6"/>
  <c r="F56" i="6"/>
  <c r="F55" i="6"/>
  <c r="E67" i="6"/>
  <c r="H67" i="6" s="1"/>
  <c r="I67" i="6" s="1"/>
  <c r="E70" i="6"/>
  <c r="H70" i="6" s="1"/>
  <c r="I70" i="6" s="1"/>
  <c r="H71" i="6"/>
  <c r="I71" i="6" s="1"/>
  <c r="E69" i="6"/>
  <c r="H69" i="6" s="1"/>
  <c r="I69" i="6" s="1"/>
  <c r="E68" i="6"/>
  <c r="H68" i="6" s="1"/>
  <c r="I68" i="6" s="1"/>
  <c r="F55" i="3"/>
  <c r="F56" i="3"/>
  <c r="F57" i="3"/>
  <c r="F58" i="3"/>
  <c r="F59" i="3"/>
  <c r="F60" i="3"/>
  <c r="D23" i="28"/>
  <c r="B60" i="28"/>
  <c r="B59" i="28"/>
  <c r="B40" i="28"/>
  <c r="B41" i="28"/>
  <c r="F72" i="28"/>
  <c r="F70" i="28"/>
  <c r="F69" i="28"/>
  <c r="F66" i="28"/>
  <c r="F63" i="28"/>
  <c r="F74" i="28"/>
  <c r="F71" i="28"/>
  <c r="F68" i="28"/>
  <c r="F67" i="28"/>
  <c r="F73" i="28"/>
  <c r="F64" i="28"/>
  <c r="F62" i="28"/>
  <c r="F65" i="28"/>
  <c r="B40" i="27"/>
  <c r="B53" i="27"/>
  <c r="D16" i="26"/>
  <c r="B53" i="25"/>
  <c r="B64" i="25"/>
  <c r="D15" i="25"/>
  <c r="B52" i="25"/>
  <c r="B65" i="25"/>
  <c r="B41" i="25"/>
  <c r="B40" i="25"/>
  <c r="E67" i="25"/>
  <c r="H67" i="25" s="1"/>
  <c r="I67" i="25" s="1"/>
  <c r="E68" i="25"/>
  <c r="H68" i="25" s="1"/>
  <c r="I68" i="25" s="1"/>
  <c r="E69" i="25"/>
  <c r="H69" i="25" s="1"/>
  <c r="I69" i="25" s="1"/>
  <c r="E70" i="25"/>
  <c r="H70" i="25" s="1"/>
  <c r="I70" i="25" s="1"/>
  <c r="E71" i="25"/>
  <c r="H71" i="25" s="1"/>
  <c r="I71" i="25" s="1"/>
  <c r="B41" i="24"/>
  <c r="B52" i="24"/>
  <c r="D16" i="24"/>
  <c r="E66" i="24"/>
  <c r="H66" i="24" s="1"/>
  <c r="I66" i="24" s="1"/>
  <c r="E67" i="24"/>
  <c r="H67" i="24" s="1"/>
  <c r="I67" i="24" s="1"/>
  <c r="E68" i="24"/>
  <c r="H68" i="24" s="1"/>
  <c r="I68" i="24" s="1"/>
  <c r="E69" i="24"/>
  <c r="H69" i="24" s="1"/>
  <c r="I69" i="24" s="1"/>
  <c r="B64" i="24"/>
  <c r="B40" i="24"/>
  <c r="B63" i="24"/>
  <c r="B51" i="24"/>
  <c r="E71" i="24"/>
  <c r="H71" i="24" s="1"/>
  <c r="I71" i="24" s="1"/>
  <c r="E72" i="24"/>
  <c r="H72" i="24" s="1"/>
  <c r="I72" i="24" s="1"/>
  <c r="E70" i="24"/>
  <c r="H70" i="24" s="1"/>
  <c r="I70" i="24" s="1"/>
  <c r="D17" i="23"/>
  <c r="B53" i="23"/>
  <c r="B40" i="23"/>
  <c r="B54" i="23"/>
  <c r="B41" i="23"/>
  <c r="B41" i="22"/>
  <c r="D24" i="22"/>
  <c r="F77" i="22"/>
  <c r="F76" i="22"/>
  <c r="F78" i="22"/>
  <c r="F66" i="22"/>
  <c r="F67" i="22"/>
  <c r="F68" i="22"/>
  <c r="F69" i="22"/>
  <c r="F70" i="22"/>
  <c r="F71" i="22"/>
  <c r="F72" i="22"/>
  <c r="F73" i="22"/>
  <c r="F75" i="22"/>
  <c r="F65" i="22"/>
  <c r="F74" i="22"/>
  <c r="F55" i="21"/>
  <c r="F57" i="21"/>
  <c r="F58" i="21"/>
  <c r="F59" i="21"/>
  <c r="F60" i="21"/>
  <c r="F56" i="21"/>
  <c r="E69" i="19"/>
  <c r="H69" i="19" s="1"/>
  <c r="I69" i="19" s="1"/>
  <c r="E68" i="19"/>
  <c r="H68" i="19" s="1"/>
  <c r="I68" i="19" s="1"/>
  <c r="E67" i="19"/>
  <c r="H67" i="19" s="1"/>
  <c r="I67" i="19" s="1"/>
  <c r="E70" i="19"/>
  <c r="H70" i="19" s="1"/>
  <c r="I70" i="19" s="1"/>
  <c r="E71" i="19"/>
  <c r="H71" i="19" s="1"/>
  <c r="I71" i="19" s="1"/>
  <c r="B65" i="19"/>
  <c r="B64" i="19"/>
  <c r="B40" i="19"/>
  <c r="B41" i="19"/>
  <c r="B53" i="17"/>
  <c r="B52" i="17"/>
  <c r="B40" i="16"/>
  <c r="B52" i="16"/>
  <c r="B40" i="15"/>
  <c r="B65" i="15"/>
  <c r="B64" i="15"/>
  <c r="B53" i="15"/>
  <c r="B41" i="15"/>
  <c r="D15" i="15"/>
  <c r="B52" i="15"/>
  <c r="E69" i="15"/>
  <c r="H69" i="15" s="1"/>
  <c r="I69" i="15" s="1"/>
  <c r="E70" i="15"/>
  <c r="H70" i="15" s="1"/>
  <c r="I70" i="15" s="1"/>
  <c r="E68" i="15"/>
  <c r="H68" i="15" s="1"/>
  <c r="I68" i="15" s="1"/>
  <c r="E67" i="15"/>
  <c r="H67" i="15" s="1"/>
  <c r="I67" i="15" s="1"/>
  <c r="E71" i="15"/>
  <c r="H71" i="15" s="1"/>
  <c r="I71" i="15" s="1"/>
  <c r="E67" i="13"/>
  <c r="H67" i="13" s="1"/>
  <c r="I67" i="13" s="1"/>
  <c r="E71" i="13"/>
  <c r="H71" i="13" s="1"/>
  <c r="I71" i="13" s="1"/>
  <c r="E69" i="13"/>
  <c r="H69" i="13" s="1"/>
  <c r="I69" i="13" s="1"/>
  <c r="E70" i="13"/>
  <c r="H70" i="13" s="1"/>
  <c r="I70" i="13" s="1"/>
  <c r="E68" i="13"/>
  <c r="H68" i="13" s="1"/>
  <c r="I68" i="13" s="1"/>
  <c r="F60" i="11"/>
  <c r="F56" i="11"/>
  <c r="F55" i="11"/>
  <c r="F59" i="11"/>
  <c r="F58" i="11"/>
  <c r="F57" i="11"/>
  <c r="B41" i="11"/>
  <c r="B53" i="11"/>
  <c r="B52" i="11"/>
  <c r="B40" i="11"/>
  <c r="F59" i="10"/>
  <c r="F57" i="10"/>
  <c r="F58" i="10"/>
  <c r="F56" i="10"/>
  <c r="F55" i="10"/>
  <c r="E71" i="10"/>
  <c r="H71" i="10" s="1"/>
  <c r="I71" i="10" s="1"/>
  <c r="E69" i="10"/>
  <c r="H69" i="10" s="1"/>
  <c r="I69" i="10" s="1"/>
  <c r="E70" i="10"/>
  <c r="H70" i="10" s="1"/>
  <c r="I70" i="10" s="1"/>
  <c r="E68" i="10"/>
  <c r="H68" i="10" s="1"/>
  <c r="I68" i="10" s="1"/>
  <c r="E67" i="10"/>
  <c r="H67" i="10" s="1"/>
  <c r="I67" i="10" s="1"/>
  <c r="B41" i="10"/>
  <c r="B52" i="10"/>
  <c r="B40" i="10"/>
  <c r="B65" i="10"/>
  <c r="B64" i="10"/>
  <c r="B53" i="10"/>
  <c r="B52" i="8"/>
  <c r="B41" i="8"/>
  <c r="B40" i="8"/>
  <c r="B53" i="8"/>
  <c r="D16" i="8"/>
  <c r="F56" i="8"/>
  <c r="F60" i="8"/>
  <c r="F57" i="8"/>
  <c r="F59" i="8"/>
  <c r="F55" i="8"/>
  <c r="F58" i="8"/>
  <c r="D15" i="6"/>
  <c r="F56" i="5"/>
  <c r="F55" i="5"/>
  <c r="F57" i="5"/>
  <c r="F59" i="5"/>
  <c r="F58" i="5"/>
  <c r="F67" i="5"/>
  <c r="F68" i="5"/>
  <c r="F70" i="5"/>
  <c r="F71" i="5"/>
  <c r="F69" i="5"/>
  <c r="F55" i="16"/>
  <c r="F59" i="16"/>
  <c r="F60" i="16"/>
  <c r="F56" i="16"/>
  <c r="F57" i="16"/>
  <c r="F58" i="16"/>
  <c r="D16" i="16"/>
  <c r="B41" i="16"/>
  <c r="B53" i="16"/>
  <c r="F55" i="17"/>
  <c r="F56" i="17"/>
  <c r="F60" i="17"/>
  <c r="F59" i="17"/>
  <c r="F57" i="17"/>
  <c r="F58" i="17"/>
  <c r="B41" i="17"/>
  <c r="D16" i="17"/>
  <c r="D16" i="11"/>
  <c r="D17" i="27"/>
  <c r="F62" i="23"/>
  <c r="F59" i="23"/>
  <c r="F58" i="23"/>
  <c r="F60" i="23"/>
  <c r="F56" i="23"/>
  <c r="F57" i="23"/>
  <c r="F61" i="23"/>
  <c r="D15" i="10"/>
  <c r="D15" i="19"/>
  <c r="F64" i="4"/>
  <c r="F69" i="4"/>
  <c r="F70" i="4"/>
  <c r="F71" i="4"/>
  <c r="F62" i="4"/>
  <c r="F65" i="4"/>
  <c r="F68" i="4"/>
  <c r="F66" i="4"/>
  <c r="F63" i="4"/>
  <c r="F73" i="4"/>
  <c r="F72" i="4"/>
  <c r="F74" i="4"/>
  <c r="F67" i="4"/>
  <c r="B40" i="4"/>
  <c r="B59" i="4"/>
  <c r="B41" i="4"/>
  <c r="D23" i="4"/>
  <c r="F57" i="29"/>
  <c r="F59" i="29"/>
  <c r="F56" i="29"/>
  <c r="F55" i="29"/>
  <c r="F58" i="29"/>
  <c r="F61" i="27"/>
  <c r="F60" i="27"/>
  <c r="F56" i="27"/>
  <c r="F62" i="27"/>
  <c r="F58" i="27"/>
  <c r="F59" i="27"/>
  <c r="F57" i="27"/>
  <c r="F55" i="20"/>
  <c r="F56" i="20"/>
  <c r="F57" i="20"/>
  <c r="F58" i="20"/>
  <c r="F59" i="20"/>
  <c r="F60" i="20"/>
  <c r="F55" i="18"/>
  <c r="F56" i="18"/>
  <c r="F57" i="18"/>
  <c r="F58" i="18"/>
  <c r="F59" i="18"/>
  <c r="B41" i="2" l="1"/>
  <c r="B52" i="2"/>
  <c r="B40" i="2"/>
  <c r="F57" i="9"/>
  <c r="F69" i="9"/>
  <c r="F68" i="9"/>
  <c r="F70" i="9"/>
  <c r="F59" i="9"/>
  <c r="F55" i="9"/>
  <c r="F58" i="9"/>
  <c r="F56" i="9"/>
  <c r="F67" i="9"/>
  <c r="F71" i="9"/>
  <c r="B64" i="2"/>
  <c r="B65" i="2"/>
  <c r="B53" i="2"/>
  <c r="F58" i="12"/>
  <c r="F55" i="12"/>
  <c r="F54" i="12"/>
  <c r="F56" i="12"/>
  <c r="F57" i="12"/>
  <c r="F59" i="2"/>
  <c r="F58" i="2"/>
  <c r="F55" i="2"/>
  <c r="F57" i="2"/>
  <c r="F56" i="2"/>
  <c r="E67" i="2"/>
  <c r="H67" i="2" s="1"/>
  <c r="I67" i="2" s="1"/>
  <c r="E71" i="2"/>
  <c r="H71" i="2" s="1"/>
  <c r="I71" i="2" s="1"/>
  <c r="E69" i="2"/>
  <c r="H69" i="2" s="1"/>
  <c r="I69" i="2" s="1"/>
  <c r="E68" i="2"/>
  <c r="H68" i="2" s="1"/>
  <c r="I68" i="2" s="1"/>
  <c r="E70" i="2"/>
  <c r="H70" i="2" s="1"/>
  <c r="I70" i="2" s="1"/>
  <c r="D15" i="2"/>
  <c r="F68" i="18"/>
  <c r="F67" i="18"/>
  <c r="F69" i="18"/>
  <c r="F70" i="18"/>
  <c r="F71" i="18"/>
  <c r="F68" i="17"/>
  <c r="F69" i="17"/>
  <c r="F70" i="17"/>
  <c r="F71" i="17"/>
  <c r="F72" i="17"/>
  <c r="F67" i="17"/>
  <c r="E81" i="6"/>
  <c r="H81" i="6" s="1"/>
  <c r="I81" i="6" s="1"/>
  <c r="E82" i="6"/>
  <c r="H82" i="6" s="1"/>
  <c r="I82" i="6" s="1"/>
  <c r="E83" i="6"/>
  <c r="H83" i="6" s="1"/>
  <c r="I83" i="6" s="1"/>
  <c r="E79" i="6"/>
  <c r="H79" i="6" s="1"/>
  <c r="I79" i="6" s="1"/>
  <c r="E80" i="6"/>
  <c r="H80" i="6" s="1"/>
  <c r="I80" i="6" s="1"/>
  <c r="D16" i="6"/>
  <c r="C17" i="6"/>
  <c r="B53" i="6" s="1"/>
  <c r="F71" i="30"/>
  <c r="F70" i="30"/>
  <c r="F69" i="30"/>
  <c r="F68" i="30"/>
  <c r="F67" i="30"/>
  <c r="F72" i="29"/>
  <c r="F71" i="29"/>
  <c r="F67" i="29"/>
  <c r="F70" i="29"/>
  <c r="F68" i="29"/>
  <c r="F69" i="29"/>
  <c r="F70" i="13"/>
  <c r="F71" i="13"/>
  <c r="F67" i="13"/>
  <c r="F69" i="13"/>
  <c r="F68" i="13"/>
  <c r="F70" i="6"/>
  <c r="F71" i="6"/>
  <c r="F69" i="6"/>
  <c r="F68" i="6"/>
  <c r="F67" i="6"/>
  <c r="F67" i="25"/>
  <c r="F69" i="25"/>
  <c r="F70" i="25"/>
  <c r="F71" i="25"/>
  <c r="F68" i="25"/>
  <c r="F70" i="24"/>
  <c r="F66" i="24"/>
  <c r="F71" i="24"/>
  <c r="F68" i="24"/>
  <c r="F67" i="24"/>
  <c r="F69" i="24"/>
  <c r="F72" i="24"/>
  <c r="F71" i="19"/>
  <c r="F68" i="19"/>
  <c r="F70" i="19"/>
  <c r="F69" i="19"/>
  <c r="F67" i="19"/>
  <c r="F69" i="15"/>
  <c r="F67" i="15"/>
  <c r="F70" i="15"/>
  <c r="F68" i="15"/>
  <c r="F71" i="15"/>
  <c r="F67" i="10"/>
  <c r="F71" i="10"/>
  <c r="F69" i="10"/>
  <c r="F70" i="10"/>
  <c r="F68" i="10"/>
  <c r="F69" i="2" l="1"/>
  <c r="F71" i="2"/>
  <c r="F68" i="2"/>
  <c r="F70" i="2"/>
  <c r="F67" i="2"/>
  <c r="B41" i="6"/>
  <c r="F82" i="6"/>
  <c r="F80" i="6"/>
  <c r="F81" i="6"/>
  <c r="F83" i="6"/>
  <c r="F79" i="6"/>
  <c r="D17" i="6"/>
  <c r="B52" i="6"/>
  <c r="B64" i="6"/>
  <c r="B65" i="6"/>
  <c r="B77" i="6"/>
  <c r="B76" i="6"/>
  <c r="B40" i="6"/>
</calcChain>
</file>

<file path=xl/sharedStrings.xml><?xml version="1.0" encoding="utf-8"?>
<sst xmlns="http://schemas.openxmlformats.org/spreadsheetml/2006/main" count="2357" uniqueCount="263">
  <si>
    <t>DAY SELECTOR</t>
  </si>
  <si>
    <t>SHEET REFERENCE — المرجع</t>
  </si>
  <si>
    <t>SHEET NAME — اسم الشيت</t>
  </si>
  <si>
    <t>DAY رقم اليوم</t>
  </si>
  <si>
    <t>رز أبيض (2)</t>
  </si>
  <si>
    <t>Rice - رز</t>
  </si>
  <si>
    <t>KG</t>
  </si>
  <si>
    <t xml:space="preserve"> رز بريانى-رز زعفران (2)</t>
  </si>
  <si>
    <t>رز صيادية</t>
  </si>
  <si>
    <t>رز  المندى</t>
  </si>
  <si>
    <t>رز أبيض (3)</t>
  </si>
  <si>
    <t>Water - ماء</t>
  </si>
  <si>
    <t xml:space="preserve"> رز بريانى-رز زعفران (3)</t>
  </si>
  <si>
    <t>Milk - حليب</t>
  </si>
  <si>
    <t>رز جولوف</t>
  </si>
  <si>
    <t>رز الزربيان</t>
  </si>
  <si>
    <t>Butter - زبدة</t>
  </si>
  <si>
    <t>gm</t>
  </si>
  <si>
    <t>رز أبيض</t>
  </si>
  <si>
    <t xml:space="preserve"> رز بريانى-رز زعفران</t>
  </si>
  <si>
    <t>رز بالمكسرات</t>
  </si>
  <si>
    <t>رز  المندى (2)</t>
  </si>
  <si>
    <t>Salt - ملح</t>
  </si>
  <si>
    <t>رز السليق</t>
  </si>
  <si>
    <t>Maggi Cubes - مكعبات ماجي</t>
  </si>
  <si>
    <t>رز أبيض (4)</t>
  </si>
  <si>
    <t>رز مصرى</t>
  </si>
  <si>
    <t>Cardamom Whole - هيل حب</t>
  </si>
  <si>
    <t xml:space="preserve"> رز بريانى-رز زعفران (4)</t>
  </si>
  <si>
    <t>رز المقلوبة</t>
  </si>
  <si>
    <t>Cumin Powder - كمون مطحون</t>
  </si>
  <si>
    <t>رز أبيض (5)</t>
  </si>
  <si>
    <t>Coriander Powder - كزبرة مطحونة</t>
  </si>
  <si>
    <t>رز مصرى (2)</t>
  </si>
  <si>
    <t xml:space="preserve"> رز بريانى-رز زعفران (5)</t>
  </si>
  <si>
    <t>Black Pepper Powder - فلفل أسود مطحون</t>
  </si>
  <si>
    <t>رز بالخضار الاربعاء</t>
  </si>
  <si>
    <t>رز مشكل</t>
  </si>
  <si>
    <t xml:space="preserve">رز  البخارى </t>
  </si>
  <si>
    <t>رز أبيض (6)</t>
  </si>
  <si>
    <t>رز بالخضار الخميس</t>
  </si>
  <si>
    <t>رز مكسيكي</t>
  </si>
  <si>
    <t>Garlic Powder - ثوم بودرة</t>
  </si>
  <si>
    <t>رز صيادية (2)</t>
  </si>
  <si>
    <t>Onion Powder - بصل بودرة</t>
  </si>
  <si>
    <t>رز الكابلى</t>
  </si>
  <si>
    <t>رز السليق (2)</t>
  </si>
  <si>
    <t>Green Color - لون أخضر</t>
  </si>
  <si>
    <t>Orange Color - لون برتقالي</t>
  </si>
  <si>
    <t>Onion - بصل</t>
  </si>
  <si>
    <t>Carrot - جزر</t>
  </si>
  <si>
    <t>Mixed Vegetables - خضار مشكل</t>
  </si>
  <si>
    <t>Veg. with Sauce - خضار مشكل مع الصوص</t>
  </si>
  <si>
    <t>Base Recipe (30kg Yield)</t>
  </si>
  <si>
    <t xml:space="preserve">Required Quantity </t>
  </si>
  <si>
    <t>Conversion Factor</t>
  </si>
  <si>
    <t>Corrected Conversion Factor</t>
  </si>
  <si>
    <t>Weight Correction</t>
  </si>
  <si>
    <t>White Rice  - الرز الأبيض</t>
  </si>
  <si>
    <t>Category</t>
  </si>
  <si>
    <t>Ingredient - الأصناف</t>
  </si>
  <si>
    <t>Unit  الوحدة</t>
  </si>
  <si>
    <t>Base Recipe (30kg Yield) — الوصفة الأساسية (إنتاج 30 كجم)</t>
  </si>
  <si>
    <t>Corrected Conversion Factor — معامل التحويل المصحح</t>
  </si>
  <si>
    <t>Scaling Factor — معامل القياس</t>
  </si>
  <si>
    <t>Linear Scaled Amount — الكمية المعدلة حسابياً</t>
  </si>
  <si>
    <t>Scaled Amount Post Conversion Factor — الكمية المعدلة بعد معامل التحويل</t>
  </si>
  <si>
    <t>White Rich Side - رز ابيض</t>
  </si>
  <si>
    <t>Final KG</t>
  </si>
  <si>
    <t xml:space="preserve">Actuals </t>
  </si>
  <si>
    <t>Rice GM</t>
  </si>
  <si>
    <t xml:space="preserve">Total </t>
  </si>
  <si>
    <t xml:space="preserve">Required </t>
  </si>
  <si>
    <t>Batch 1</t>
  </si>
  <si>
    <t xml:space="preserve">Safty </t>
  </si>
  <si>
    <t>Batch 2</t>
  </si>
  <si>
    <t>Batch 3</t>
  </si>
  <si>
    <t>Final Cooked Amount — الكمية النهائية المطبوخة</t>
  </si>
  <si>
    <t>Scaled Amount Post Conversion Factor 
كميات التحضير من فريق طوكيو</t>
  </si>
  <si>
    <t>Tokyo Scaled Amount Post Conversion Factor — الكمية المعدلة بعد معامل التحويل</t>
  </si>
  <si>
    <t xml:space="preserve">Biryani - Saffron Rice  - رز بريانى-رز زعفران </t>
  </si>
  <si>
    <t>Required - المطلوب</t>
  </si>
  <si>
    <t>Safty  - حماية</t>
  </si>
  <si>
    <t>Total - المجموع</t>
  </si>
  <si>
    <t>Sayadieh Rice - رز صيادية</t>
  </si>
  <si>
    <t>Mandi Rice  - رز  المندى</t>
  </si>
  <si>
    <t>Required - الوزن المطلوب</t>
  </si>
  <si>
    <t>Safty - كمية للأمان</t>
  </si>
  <si>
    <t>Total - الوزن النهائي</t>
  </si>
  <si>
    <t>Jollof Rice — رز جولوف</t>
  </si>
  <si>
    <t>Zourbian Rice  - رز الزربيان</t>
  </si>
  <si>
    <t xml:space="preserve">Rice with Nuts - رز بالمكسرات </t>
  </si>
  <si>
    <t>Saleq Rice  - رز السليق</t>
  </si>
  <si>
    <t>Egyptian Rice  - الرز المصرى</t>
  </si>
  <si>
    <t>Maklouba Rice  - الرز المقلوبة</t>
  </si>
  <si>
    <t>Vegetables Rice (1) - رز بالخضار</t>
  </si>
  <si>
    <t xml:space="preserve">Scaling Factor 
</t>
  </si>
  <si>
    <t xml:space="preserve">Linear Scaled Amount </t>
  </si>
  <si>
    <t>Mix Rice - رز مشكل</t>
  </si>
  <si>
    <t>Boukhary Rice  - رز  البخارى</t>
  </si>
  <si>
    <t>Mexican Rice - رز مكسيكي</t>
  </si>
  <si>
    <t>Kabli Rice  - رز الكابلى</t>
  </si>
  <si>
    <t>Kabli Rice  - رز الكبلى</t>
  </si>
  <si>
    <t>Rice - رز امريكي</t>
  </si>
  <si>
    <t>Sweet Soy Sauce - صويا صوص حلو</t>
  </si>
  <si>
    <t>Raisin - زبيب</t>
  </si>
  <si>
    <t>Egg yellow colour powder - لون صفار البيض</t>
  </si>
  <si>
    <t xml:space="preserve">Vegetables Rice   - رز بالخضار </t>
  </si>
  <si>
    <t>Egyptian Rice - رز مصرى</t>
  </si>
  <si>
    <t>Batch 4</t>
  </si>
  <si>
    <t>Batch 5</t>
  </si>
  <si>
    <t>Yield</t>
  </si>
  <si>
    <t>Order Unit</t>
  </si>
  <si>
    <t>Weekly Order</t>
  </si>
  <si>
    <t>Daily Order</t>
  </si>
  <si>
    <t>Weekly Price</t>
  </si>
  <si>
    <t>Daily Price</t>
  </si>
  <si>
    <t>kg</t>
  </si>
  <si>
    <t>White Rice Side - رز ابيض</t>
  </si>
  <si>
    <t>Meal name</t>
  </si>
  <si>
    <t>Total Count</t>
  </si>
  <si>
    <t>Total Grams</t>
  </si>
  <si>
    <t>ساندوتش دجاج أوصال</t>
  </si>
  <si>
    <t>دجاج بالكاري</t>
  </si>
  <si>
    <t>المكرونة</t>
  </si>
  <si>
    <t>خضار سوتيه</t>
  </si>
  <si>
    <t>كبسة لحم</t>
  </si>
  <si>
    <t>-</t>
  </si>
  <si>
    <t>بيف شيلي دراي</t>
  </si>
  <si>
    <t>خضار سوتيه 🌶</t>
  </si>
  <si>
    <t>البطاطس المهروسة 🌶</t>
  </si>
  <si>
    <t>بان فرايد فش</t>
  </si>
  <si>
    <t>أرز الصيادية</t>
  </si>
  <si>
    <t>بامية لحم</t>
  </si>
  <si>
    <t>الأرز بالزعفران</t>
  </si>
  <si>
    <t>دجاج صيني</t>
  </si>
  <si>
    <t>الأرز الأبيض</t>
  </si>
  <si>
    <t>دجاج بالأعشاب</t>
  </si>
  <si>
    <t>البطاطا</t>
  </si>
  <si>
    <t>مندي دجاج</t>
  </si>
  <si>
    <t>ساندوتش الدجاج الآسيوي بخبز الشوفان</t>
  </si>
  <si>
    <t>دجاج ألفريدو</t>
  </si>
  <si>
    <t>دجاج 65 الهندي الحار</t>
  </si>
  <si>
    <t>الأرز الأبيض 🌶</t>
  </si>
  <si>
    <t>شرمب بلانكويت</t>
  </si>
  <si>
    <t>مختوم لحم</t>
  </si>
  <si>
    <t>أسياخ دجاج الباربكيو</t>
  </si>
  <si>
    <t>أرز جولوف</t>
  </si>
  <si>
    <t>دجاج بكريمة جوز الهند</t>
  </si>
  <si>
    <t>زربيان لحم</t>
  </si>
  <si>
    <t>برجر لحم</t>
  </si>
  <si>
    <t>ساندوتش الدجاج بالفلفل الرومي</t>
  </si>
  <si>
    <t>دجاج باللوز في الفرن</t>
  </si>
  <si>
    <t>بطاطس ويدجز</t>
  </si>
  <si>
    <t>دجاج مكروني بالخضار</t>
  </si>
  <si>
    <t>دجاج تشانجيزي</t>
  </si>
  <si>
    <t>داوود باشا</t>
  </si>
  <si>
    <t>سالمون بالكريمة</t>
  </si>
  <si>
    <t>بطاطس مهروسة</t>
  </si>
  <si>
    <t>مسقعة اللحم عالية البروتين</t>
  </si>
  <si>
    <t>لحم أوريانتل</t>
  </si>
  <si>
    <t>الأرز بالمكسرات</t>
  </si>
  <si>
    <t>سليق دجاج</t>
  </si>
  <si>
    <t>ساندوتش فاهيتا الدجاج بخبز الشوفان</t>
  </si>
  <si>
    <t>سلطة السيزر</t>
  </si>
  <si>
    <t>ساندوتش الدجاج المشوي</t>
  </si>
  <si>
    <t>ستيك دجاج</t>
  </si>
  <si>
    <t>البطاطس المهروسة</t>
  </si>
  <si>
    <t>دجاج بالفطر</t>
  </si>
  <si>
    <t>ستروجانوف باستا</t>
  </si>
  <si>
    <t>بيف أمانسي</t>
  </si>
  <si>
    <t>دجاج تكا</t>
  </si>
  <si>
    <t>الأرز البرياني</t>
  </si>
  <si>
    <t>فاصولياء بيضاء باللحم</t>
  </si>
  <si>
    <t>شرمب بالسبانخ والليمون</t>
  </si>
  <si>
    <t>لسان العصفور</t>
  </si>
  <si>
    <t>أوكتا بوكي بول الدجاج</t>
  </si>
  <si>
    <t>الأرز المصري بالزعفران</t>
  </si>
  <si>
    <t>مقلوبة دجاج</t>
  </si>
  <si>
    <t>ساندوتش الدجاج بالباربيكيو بخبز الشيباتا</t>
  </si>
  <si>
    <t>ساندوتش اللحم الكلاسيكي</t>
  </si>
  <si>
    <t>دجاج سيراتشا</t>
  </si>
  <si>
    <t>الأرز بالخضار 🌶</t>
  </si>
  <si>
    <t>دجاج هندي بالزبدة</t>
  </si>
  <si>
    <t>دجاج البيتزا</t>
  </si>
  <si>
    <t>شرمب بالكاري والكريمة</t>
  </si>
  <si>
    <t>الأرز بالزعفران🌶</t>
  </si>
  <si>
    <t>كباب اللحم</t>
  </si>
  <si>
    <t>الأرز المشكل</t>
  </si>
  <si>
    <t>كباب هندي</t>
  </si>
  <si>
    <t>لازانيا لحم عالية البروتين</t>
  </si>
  <si>
    <t>لحم بولونيز</t>
  </si>
  <si>
    <t>بخاري لحم</t>
  </si>
  <si>
    <t>ساندوتش فيلادلفيا لحم بخبز الشوفان</t>
  </si>
  <si>
    <t>ساندوتش الكباب</t>
  </si>
  <si>
    <t>دجاج بكريمة الطماطم</t>
  </si>
  <si>
    <t>الأرز المكسيكي</t>
  </si>
  <si>
    <t>دجاج بالزنجبيل</t>
  </si>
  <si>
    <t>كرات اللحم الفرنسية</t>
  </si>
  <si>
    <t>مكرونة سباغيتي</t>
  </si>
  <si>
    <t>دجاج سنغافوري</t>
  </si>
  <si>
    <t>الأرز بالخضار</t>
  </si>
  <si>
    <t>سمك بالشبت والليمون</t>
  </si>
  <si>
    <t>ملوخية الدجاج</t>
  </si>
  <si>
    <t>كابلي لحم</t>
  </si>
  <si>
    <t>ساندوتش كباب لحم</t>
  </si>
  <si>
    <t>Update Weight</t>
  </si>
  <si>
    <t>Safty</t>
  </si>
  <si>
    <t>Count</t>
  </si>
  <si>
    <t>Update</t>
  </si>
  <si>
    <t>Cinnamon Powder - قرفة مطحونة</t>
  </si>
  <si>
    <t>Frozen Green Peas - بازلاء خضراء مجمده</t>
  </si>
  <si>
    <t>Fresh Cream (Qishta)- قشطة</t>
  </si>
  <si>
    <t>ml</t>
  </si>
  <si>
    <t>ITEMS</t>
  </si>
  <si>
    <t>Unit</t>
  </si>
  <si>
    <t>Daily Weight</t>
  </si>
  <si>
    <t>Weekly Weight</t>
  </si>
  <si>
    <t>Tomato Paste - صلصة طماطم</t>
  </si>
  <si>
    <t>خضروات</t>
  </si>
  <si>
    <t>صوصات ومنكهات</t>
  </si>
  <si>
    <t>معلبات و مجمدات</t>
  </si>
  <si>
    <t>مكسرات</t>
  </si>
  <si>
    <t>توابل</t>
  </si>
  <si>
    <t>ألوان وإضافات</t>
  </si>
  <si>
    <t>منتجات ألبان</t>
  </si>
  <si>
    <t>سوائل ومرق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</si>
  <si>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</si>
  <si>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</si>
  <si>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</si>
  <si>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</si>
  <si>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50 Kg</t>
  </si>
  <si>
    <t>Kg</t>
  </si>
  <si>
    <t>Carton</t>
  </si>
  <si>
    <t>25 Kg</t>
  </si>
  <si>
    <t>100 gm/Can</t>
  </si>
  <si>
    <t>7.5 L / Carton</t>
  </si>
  <si>
    <t>9.6 Kg / Carton</t>
  </si>
  <si>
    <t>12 L / Carton</t>
  </si>
  <si>
    <t>لون صفار زعفران بودر - Saffron yellow color powder</t>
  </si>
  <si>
    <t>4800 Kg / Carton</t>
  </si>
  <si>
    <t>100 gm/Pack</t>
  </si>
  <si>
    <t>30,000 KG/Carton</t>
  </si>
  <si>
    <t>40,000 KG/Carton</t>
  </si>
  <si>
    <t>حبوب ودقيق</t>
  </si>
  <si>
    <t>Kabsa Rice  - رز كبسة</t>
  </si>
  <si>
    <t>رز كبسه</t>
  </si>
  <si>
    <t>PreCooking Yield</t>
  </si>
  <si>
    <t>Price Per KG or L</t>
  </si>
  <si>
    <t>Ordering quantity (KG or L)</t>
  </si>
  <si>
    <t>Cost</t>
  </si>
  <si>
    <t>Pack</t>
  </si>
  <si>
    <t>Can</t>
  </si>
  <si>
    <t>Garlic - ثوم مقشر</t>
  </si>
  <si>
    <t>Ginger - زنجبيل</t>
  </si>
  <si>
    <t>Tomato - طماطم</t>
  </si>
  <si>
    <t>Kabsa Spices Powder - توابل كبسة بودر</t>
  </si>
  <si>
    <t>2400 gram</t>
  </si>
  <si>
    <t>200 gram</t>
  </si>
  <si>
    <t>Gram</t>
  </si>
  <si>
    <t>Ghee - سمن</t>
  </si>
  <si>
    <t>1600 Kg / Can</t>
  </si>
  <si>
    <t>10KG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</si>
</sst>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_ * #,##0_ ;_ * \-#,##0_ ;_ * \-??_ ;_ @_ "/>
    <numFmt numFmtId="167" formatCode="_ * #,##0.00_ ;_ * \-#,##0.00_ ;_ * \-??_ ;_ @_ "/>
    <numFmt numFmtId="168" formatCode="_ * #,##0.000_ ;_ * \-#,##0.000_ ;_ * \-??_ ;_ @_ "/>
    <numFmt numFmtId="169" formatCode="0.0000"/>
    <numFmt numFmtId="170" formatCode="_(* #,##0.00_);_(* \(#,##0.00\);_(* \-??_);_(@_)"/>
    <numFmt numFmtId="171" formatCode="_ * #,##0.0000_ ;_ * \-#,##0.0000_ ;_ * \-??_ ;_ @_ "/>
    <numFmt numFmtId="172" formatCode="_ * #,##0.00_ ;_ * \-#,##0.00_ ;_ * &quot;-&quot;??_ ;_ @_ "/>
    <numFmt numFmtId="173" formatCode="0.000"/>
    <numFmt numFmtId="174" formatCode="_(* #,##0_);_(* \(#,##0\);_(* \-??_);_(@_)"/>
  </numFmts>
  <fonts count="37" x14ac:knownFonts="1">
    <font>
      <sz val="11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9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4"/>
      <color rgb="FF1B3A5C"/>
      <name val="Arial"/>
      <family val="2"/>
    </font>
    <font>
      <sz val="9"/>
      <color rgb="FF000000"/>
      <name val="Arial"/>
      <family val="2"/>
    </font>
    <font>
      <b/>
      <sz val="10"/>
      <color rgb="FF1B3A5C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0"/>
      <color theme="1"/>
      <name val="Arial"/>
      <family val="2"/>
      <charset val="1"/>
    </font>
    <font>
      <b/>
      <sz val="10"/>
      <color rgb="FF000000"/>
      <name val="Arial"/>
      <family val="2"/>
      <charset val="1"/>
    </font>
    <font>
      <sz val="11"/>
      <color theme="0"/>
      <name val="Arial"/>
      <family val="2"/>
      <charset val="1"/>
    </font>
    <font>
      <b/>
      <sz val="14"/>
      <color rgb="FFFFFFFF"/>
      <name val="Arial"/>
      <family val="2"/>
      <charset val="1"/>
    </font>
    <font>
      <sz val="11"/>
      <color theme="1"/>
      <name val="Arial"/>
      <family val="2"/>
      <charset val="1"/>
    </font>
    <font>
      <sz val="10"/>
      <color theme="1" tint="0.499984740745262"/>
      <name val="Arial"/>
      <family val="2"/>
      <charset val="1"/>
    </font>
    <font>
      <b/>
      <sz val="10"/>
      <color theme="1" tint="0.499984740745262"/>
      <name val="Arial"/>
      <family val="2"/>
      <charset val="1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name val="Arial"/>
      <family val="2"/>
      <charset val="1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FFFF00"/>
      <name val="Arial"/>
      <family val="2"/>
      <charset val="1"/>
    </font>
    <font>
      <sz val="11"/>
      <color theme="0" tint="-4.9989318521683403E-2"/>
      <name val="Arial"/>
      <family val="2"/>
      <charset val="1"/>
    </font>
    <font>
      <b/>
      <sz val="16"/>
      <color theme="1"/>
      <name val="Calibri Light"/>
      <family val="1"/>
      <scheme val="maj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sz val="11"/>
      <color theme="1"/>
      <name val="Calibri"/>
      <family val="2"/>
      <charset val="178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sz val="12"/>
      <color rgb="FF000000"/>
      <name val="Arial"/>
      <family val="2"/>
    </font>
    <font>
      <b/>
      <sz val="10"/>
      <color rgb="FF000000"/>
      <name val="Arial"/>
      <family val="2"/>
    </font>
    <font>
      <sz val="14"/>
      <color rgb="FF00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rgb="FF1B3A5C"/>
        <bgColor rgb="FF002060"/>
      </patternFill>
    </fill>
    <fill>
      <patternFill patternType="solid">
        <fgColor rgb="FF2C5F8A"/>
        <bgColor rgb="FF2F5597"/>
      </patternFill>
    </fill>
    <fill>
      <patternFill patternType="solid">
        <fgColor rgb="FFFFF9C4"/>
        <bgColor rgb="FFFFFF99"/>
      </patternFill>
    </fill>
    <fill>
      <patternFill patternType="solid">
        <fgColor rgb="FF2E6DA4"/>
        <bgColor rgb="FF2E75B6"/>
      </patternFill>
    </fill>
    <fill>
      <patternFill patternType="solid">
        <fgColor rgb="FFF5F5F5"/>
        <bgColor rgb="FFEEF4FB"/>
      </patternFill>
    </fill>
    <fill>
      <patternFill patternType="solid">
        <fgColor rgb="FFFFFFFF"/>
        <bgColor rgb="FFF5F5F5"/>
      </patternFill>
    </fill>
    <fill>
      <patternFill patternType="solid">
        <fgColor rgb="FFE8F5E9"/>
        <bgColor rgb="FFEEF4FB"/>
      </patternFill>
    </fill>
    <fill>
      <patternFill patternType="solid">
        <fgColor rgb="FFEEF4FB"/>
        <bgColor rgb="FFF5F5F5"/>
      </patternFill>
    </fill>
    <fill>
      <patternFill patternType="solid">
        <fgColor theme="5" tint="0.59987182226020086"/>
        <bgColor rgb="FFBDBDBD"/>
      </patternFill>
    </fill>
    <fill>
      <patternFill patternType="solid">
        <fgColor theme="5" tint="-0.499984740745262"/>
        <bgColor rgb="FF833C0C"/>
      </patternFill>
    </fill>
    <fill>
      <patternFill patternType="solid">
        <fgColor rgb="FF00B050"/>
        <bgColor rgb="FF008080"/>
      </patternFill>
    </fill>
    <fill>
      <patternFill patternType="solid">
        <fgColor rgb="FF002060"/>
        <bgColor rgb="FF1B3A5C"/>
      </patternFill>
    </fill>
    <fill>
      <patternFill patternType="solid">
        <fgColor rgb="FFFFFF00"/>
        <bgColor rgb="FFFFFF00"/>
      </patternFill>
    </fill>
    <fill>
      <patternFill patternType="solid">
        <fgColor rgb="FF833C0C"/>
        <bgColor rgb="FF843C0B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89013336588644"/>
        <bgColor rgb="FFE7E6E6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rgb="FFEEF4FB"/>
      </patternFill>
    </fill>
    <fill>
      <patternFill patternType="solid">
        <fgColor theme="9" tint="0.59999389629810485"/>
        <bgColor rgb="FFFFFF99"/>
      </patternFill>
    </fill>
    <fill>
      <patternFill patternType="solid">
        <fgColor theme="8" tint="0.79998168889431442"/>
        <bgColor rgb="FFEEF4FB"/>
      </patternFill>
    </fill>
    <fill>
      <patternFill patternType="solid">
        <fgColor theme="8" tint="0.79998168889431442"/>
        <bgColor rgb="FFFFFF99"/>
      </patternFill>
    </fill>
    <fill>
      <patternFill patternType="solid">
        <fgColor theme="7" tint="0.79998168889431442"/>
        <bgColor rgb="FFEEF4FB"/>
      </patternFill>
    </fill>
    <fill>
      <patternFill patternType="solid">
        <fgColor theme="7" tint="0.79998168889431442"/>
        <bgColor rgb="FFFFFF99"/>
      </patternFill>
    </fill>
    <fill>
      <patternFill patternType="solid">
        <fgColor theme="6" tint="0.79998168889431442"/>
        <bgColor rgb="FFEEF4FB"/>
      </patternFill>
    </fill>
    <fill>
      <patternFill patternType="solid">
        <fgColor theme="6" tint="0.79998168889431442"/>
        <bgColor rgb="FFFFFF99"/>
      </patternFill>
    </fill>
    <fill>
      <patternFill patternType="solid">
        <fgColor theme="5" tint="0.79998168889431442"/>
        <bgColor rgb="FFEEF4FB"/>
      </patternFill>
    </fill>
    <fill>
      <patternFill patternType="solid">
        <fgColor theme="5" tint="0.79998168889431442"/>
        <bgColor rgb="FFFFFF99"/>
      </patternFill>
    </fill>
    <fill>
      <patternFill patternType="solid">
        <fgColor theme="4" tint="0.79998168889431442"/>
        <bgColor rgb="FFEEF4FB"/>
      </patternFill>
    </fill>
    <fill>
      <patternFill patternType="solid">
        <fgColor theme="4" tint="0.79998168889431442"/>
        <bgColor rgb="FFFFFF99"/>
      </patternFill>
    </fill>
    <fill>
      <patternFill patternType="solid">
        <fgColor theme="5"/>
        <bgColor rgb="FFDEEBF7"/>
      </patternFill>
    </fill>
    <fill>
      <patternFill patternType="solid">
        <fgColor theme="0"/>
        <bgColor rgb="FFF5F5F5"/>
      </patternFill>
    </fill>
    <fill>
      <patternFill patternType="solid">
        <fgColor theme="4" tint="0.79998168889431442"/>
        <bgColor rgb="FFF5F5F5"/>
      </patternFill>
    </fill>
    <fill>
      <patternFill patternType="solid">
        <fgColor theme="0"/>
        <bgColor rgb="FF843C0B"/>
      </patternFill>
    </fill>
    <fill>
      <patternFill patternType="solid">
        <fgColor theme="0"/>
        <bgColor rgb="FFBDBDBD"/>
      </patternFill>
    </fill>
    <fill>
      <patternFill patternType="solid">
        <fgColor theme="0"/>
        <bgColor rgb="FF008080"/>
      </patternFill>
    </fill>
    <fill>
      <patternFill patternType="solid">
        <fgColor theme="5" tint="0.59987182226020086"/>
        <bgColor rgb="FFFFE699"/>
      </patternFill>
    </fill>
    <fill>
      <patternFill patternType="solid">
        <fgColor theme="4" tint="-0.249977111117893"/>
        <bgColor rgb="FF2E75B6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DBDBD"/>
      </left>
      <right/>
      <top style="thin">
        <color rgb="FFBDBDBD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3">
    <xf numFmtId="0" fontId="0" fillId="0" borderId="0"/>
    <xf numFmtId="167" fontId="15" fillId="0" borderId="0"/>
    <xf numFmtId="0" fontId="1" fillId="0" borderId="0"/>
    <xf numFmtId="0" fontId="19" fillId="0" borderId="0"/>
    <xf numFmtId="0" fontId="1" fillId="0" borderId="0"/>
    <xf numFmtId="167" fontId="15" fillId="0" borderId="0"/>
    <xf numFmtId="0" fontId="15" fillId="0" borderId="0"/>
    <xf numFmtId="0" fontId="26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9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19" fillId="0" borderId="0"/>
    <xf numFmtId="0" fontId="19" fillId="0" borderId="0"/>
    <xf numFmtId="0" fontId="27" fillId="0" borderId="0"/>
    <xf numFmtId="172" fontId="27" fillId="0" borderId="0" applyFont="0" applyFill="0" applyBorder="0" applyAlignment="0" applyProtection="0"/>
    <xf numFmtId="0" fontId="27" fillId="0" borderId="0"/>
    <xf numFmtId="172" fontId="27" fillId="0" borderId="0" applyFont="0" applyFill="0" applyBorder="0" applyAlignment="0" applyProtection="0"/>
    <xf numFmtId="0" fontId="19" fillId="0" borderId="0"/>
    <xf numFmtId="0" fontId="28" fillId="0" borderId="0"/>
    <xf numFmtId="0" fontId="27" fillId="0" borderId="0"/>
    <xf numFmtId="0" fontId="29" fillId="0" borderId="0"/>
    <xf numFmtId="0" fontId="30" fillId="0" borderId="0"/>
    <xf numFmtId="0" fontId="29" fillId="0" borderId="0"/>
    <xf numFmtId="0" fontId="30" fillId="0" borderId="0"/>
    <xf numFmtId="0" fontId="27" fillId="0" borderId="0"/>
    <xf numFmtId="172" fontId="27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255">
    <xf numFmtId="0" fontId="0" fillId="0" borderId="0" xfId="0"/>
    <xf numFmtId="0" fontId="13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center" vertical="center"/>
    </xf>
    <xf numFmtId="0" fontId="1" fillId="0" borderId="0" xfId="2" applyAlignment="1">
      <alignment horizontal="center" vertical="center"/>
    </xf>
    <xf numFmtId="0" fontId="9" fillId="10" borderId="3" xfId="2" applyFont="1" applyFill="1" applyBorder="1" applyAlignment="1">
      <alignment horizontal="center" vertical="center" wrapText="1"/>
    </xf>
    <xf numFmtId="0" fontId="9" fillId="0" borderId="3" xfId="2" applyFont="1" applyBorder="1" applyAlignment="1">
      <alignment horizontal="center" vertical="center" wrapText="1"/>
    </xf>
    <xf numFmtId="0" fontId="1" fillId="10" borderId="3" xfId="2" applyFill="1" applyBorder="1" applyAlignment="1">
      <alignment horizontal="center" vertical="center"/>
    </xf>
    <xf numFmtId="166" fontId="9" fillId="0" borderId="3" xfId="2" applyNumberFormat="1" applyFont="1" applyBorder="1" applyAlignment="1">
      <alignment horizontal="center" vertical="center" wrapText="1"/>
    </xf>
    <xf numFmtId="167" fontId="1" fillId="0" borderId="0" xfId="2" applyNumberFormat="1" applyAlignment="1">
      <alignment horizontal="center" vertical="center"/>
    </xf>
    <xf numFmtId="167" fontId="9" fillId="0" borderId="3" xfId="2" applyNumberFormat="1" applyFont="1" applyBorder="1" applyAlignment="1">
      <alignment horizontal="center" vertical="center" wrapText="1"/>
    </xf>
    <xf numFmtId="0" fontId="9" fillId="10" borderId="4" xfId="2" applyFont="1" applyFill="1" applyBorder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11" fillId="10" borderId="3" xfId="2" applyFont="1" applyFill="1" applyBorder="1" applyAlignment="1">
      <alignment horizontal="center" vertical="center" wrapText="1"/>
    </xf>
    <xf numFmtId="0" fontId="12" fillId="10" borderId="3" xfId="2" applyFont="1" applyFill="1" applyBorder="1" applyAlignment="1">
      <alignment horizontal="center" vertical="center"/>
    </xf>
    <xf numFmtId="0" fontId="11" fillId="12" borderId="3" xfId="2" applyFont="1" applyFill="1" applyBorder="1" applyAlignment="1">
      <alignment horizontal="center" vertical="center" wrapText="1"/>
    </xf>
    <xf numFmtId="166" fontId="11" fillId="10" borderId="3" xfId="1" applyNumberFormat="1" applyFont="1" applyFill="1" applyBorder="1" applyAlignment="1">
      <alignment horizontal="center" vertical="center" wrapText="1"/>
    </xf>
    <xf numFmtId="0" fontId="12" fillId="12" borderId="3" xfId="2" applyFont="1" applyFill="1" applyBorder="1" applyAlignment="1">
      <alignment horizontal="center" vertical="center" wrapText="1"/>
    </xf>
    <xf numFmtId="0" fontId="9" fillId="7" borderId="3" xfId="2" applyFont="1" applyFill="1" applyBorder="1" applyAlignment="1">
      <alignment horizontal="center" vertical="center" wrapText="1"/>
    </xf>
    <xf numFmtId="0" fontId="1" fillId="0" borderId="3" xfId="2" applyBorder="1" applyAlignment="1">
      <alignment horizontal="center" vertical="center"/>
    </xf>
    <xf numFmtId="0" fontId="9" fillId="0" borderId="3" xfId="2" applyFont="1" applyBorder="1" applyAlignment="1">
      <alignment horizontal="center" vertical="center"/>
    </xf>
    <xf numFmtId="2" fontId="9" fillId="0" borderId="3" xfId="2" applyNumberFormat="1" applyFont="1" applyBorder="1" applyAlignment="1">
      <alignment horizontal="center" vertical="center"/>
    </xf>
    <xf numFmtId="9" fontId="1" fillId="0" borderId="3" xfId="2" applyNumberFormat="1" applyBorder="1" applyAlignment="1">
      <alignment horizontal="center" vertical="center"/>
    </xf>
    <xf numFmtId="166" fontId="9" fillId="0" borderId="3" xfId="1" applyNumberFormat="1" applyFont="1" applyBorder="1" applyAlignment="1">
      <alignment horizontal="center" vertical="center" wrapText="1"/>
    </xf>
    <xf numFmtId="2" fontId="1" fillId="0" borderId="3" xfId="2" applyNumberFormat="1" applyBorder="1" applyAlignment="1">
      <alignment horizontal="center" vertical="center"/>
    </xf>
    <xf numFmtId="165" fontId="1" fillId="0" borderId="3" xfId="2" applyNumberFormat="1" applyBorder="1" applyAlignment="1">
      <alignment horizontal="center" vertical="center"/>
    </xf>
    <xf numFmtId="1" fontId="1" fillId="0" borderId="3" xfId="2" applyNumberFormat="1" applyBorder="1" applyAlignment="1">
      <alignment horizontal="center" vertical="center"/>
    </xf>
    <xf numFmtId="0" fontId="1" fillId="0" borderId="6" xfId="2" applyBorder="1" applyAlignment="1">
      <alignment horizontal="center" vertical="center"/>
    </xf>
    <xf numFmtId="0" fontId="9" fillId="0" borderId="6" xfId="2" applyFont="1" applyBorder="1" applyAlignment="1">
      <alignment horizontal="center" vertical="center"/>
    </xf>
    <xf numFmtId="2" fontId="9" fillId="0" borderId="6" xfId="2" applyNumberFormat="1" applyFont="1" applyBorder="1" applyAlignment="1">
      <alignment horizontal="center" vertical="center"/>
    </xf>
    <xf numFmtId="9" fontId="1" fillId="0" borderId="6" xfId="2" applyNumberFormat="1" applyBorder="1" applyAlignment="1">
      <alignment horizontal="center" vertical="center"/>
    </xf>
    <xf numFmtId="166" fontId="9" fillId="0" borderId="6" xfId="1" applyNumberFormat="1" applyFont="1" applyBorder="1" applyAlignment="1">
      <alignment horizontal="center" vertical="center" wrapText="1"/>
    </xf>
    <xf numFmtId="1" fontId="1" fillId="0" borderId="6" xfId="2" applyNumberFormat="1" applyBorder="1" applyAlignment="1">
      <alignment horizontal="center" vertical="center"/>
    </xf>
    <xf numFmtId="0" fontId="9" fillId="0" borderId="6" xfId="2" applyFont="1" applyBorder="1" applyAlignment="1">
      <alignment horizontal="center" vertical="center" wrapText="1"/>
    </xf>
    <xf numFmtId="0" fontId="9" fillId="7" borderId="7" xfId="2" applyFont="1" applyFill="1" applyBorder="1" applyAlignment="1">
      <alignment horizontal="center" vertical="center" wrapText="1"/>
    </xf>
    <xf numFmtId="0" fontId="1" fillId="0" borderId="7" xfId="2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2" fontId="9" fillId="0" borderId="7" xfId="2" applyNumberFormat="1" applyFont="1" applyBorder="1" applyAlignment="1">
      <alignment horizontal="center" vertical="center"/>
    </xf>
    <xf numFmtId="9" fontId="1" fillId="0" borderId="7" xfId="2" applyNumberFormat="1" applyBorder="1" applyAlignment="1">
      <alignment horizontal="center" vertical="center"/>
    </xf>
    <xf numFmtId="166" fontId="9" fillId="0" borderId="7" xfId="1" applyNumberFormat="1" applyFont="1" applyBorder="1" applyAlignment="1">
      <alignment horizontal="center" vertical="center" wrapText="1"/>
    </xf>
    <xf numFmtId="1" fontId="1" fillId="0" borderId="7" xfId="2" applyNumberFormat="1" applyBorder="1" applyAlignment="1">
      <alignment horizontal="center" vertical="center"/>
    </xf>
    <xf numFmtId="0" fontId="13" fillId="13" borderId="9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168" fontId="1" fillId="0" borderId="3" xfId="2" applyNumberFormat="1" applyBorder="1" applyAlignment="1">
      <alignment horizontal="center" vertical="center"/>
    </xf>
    <xf numFmtId="166" fontId="1" fillId="0" borderId="3" xfId="2" applyNumberFormat="1" applyBorder="1" applyAlignment="1">
      <alignment horizontal="center" vertical="center"/>
    </xf>
    <xf numFmtId="168" fontId="1" fillId="14" borderId="3" xfId="2" applyNumberFormat="1" applyFill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13" fillId="13" borderId="6" xfId="0" applyFont="1" applyFill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0" fontId="12" fillId="12" borderId="10" xfId="0" applyFont="1" applyFill="1" applyBorder="1" applyAlignment="1">
      <alignment horizontal="center" vertical="center" wrapText="1"/>
    </xf>
    <xf numFmtId="0" fontId="12" fillId="10" borderId="10" xfId="0" applyFont="1" applyFill="1" applyBorder="1" applyAlignment="1">
      <alignment horizontal="center" vertical="center" wrapText="1"/>
    </xf>
    <xf numFmtId="168" fontId="9" fillId="0" borderId="3" xfId="2" applyNumberFormat="1" applyFont="1" applyBorder="1" applyAlignment="1">
      <alignment horizontal="center" vertical="center"/>
    </xf>
    <xf numFmtId="166" fontId="9" fillId="0" borderId="3" xfId="2" applyNumberFormat="1" applyFont="1" applyBorder="1" applyAlignment="1">
      <alignment horizontal="center" vertical="center"/>
    </xf>
    <xf numFmtId="165" fontId="9" fillId="0" borderId="3" xfId="2" applyNumberFormat="1" applyFont="1" applyBorder="1" applyAlignment="1">
      <alignment horizontal="center" vertical="center" wrapText="1"/>
    </xf>
    <xf numFmtId="0" fontId="9" fillId="7" borderId="0" xfId="2" applyFont="1" applyFill="1" applyAlignment="1">
      <alignment horizontal="center" vertical="center" wrapText="1"/>
    </xf>
    <xf numFmtId="166" fontId="9" fillId="0" borderId="0" xfId="2" applyNumberFormat="1" applyFont="1" applyAlignment="1">
      <alignment horizontal="center" vertical="center"/>
    </xf>
    <xf numFmtId="9" fontId="1" fillId="0" borderId="0" xfId="2" applyNumberFormat="1" applyAlignment="1">
      <alignment horizontal="center" vertical="center"/>
    </xf>
    <xf numFmtId="1" fontId="1" fillId="0" borderId="0" xfId="2" applyNumberFormat="1" applyAlignment="1">
      <alignment horizontal="center" vertical="center"/>
    </xf>
    <xf numFmtId="2" fontId="9" fillId="0" borderId="3" xfId="2" applyNumberFormat="1" applyFont="1" applyBorder="1" applyAlignment="1">
      <alignment horizontal="center" vertical="center" wrapText="1"/>
    </xf>
    <xf numFmtId="169" fontId="1" fillId="0" borderId="3" xfId="2" applyNumberFormat="1" applyBorder="1" applyAlignment="1">
      <alignment horizontal="center" vertical="center"/>
    </xf>
    <xf numFmtId="168" fontId="13" fillId="14" borderId="3" xfId="0" applyNumberFormat="1" applyFont="1" applyFill="1" applyBorder="1" applyAlignment="1">
      <alignment horizontal="center" vertical="center"/>
    </xf>
    <xf numFmtId="167" fontId="1" fillId="0" borderId="3" xfId="2" applyNumberFormat="1" applyBorder="1" applyAlignment="1">
      <alignment horizontal="center" vertical="center"/>
    </xf>
    <xf numFmtId="166" fontId="9" fillId="0" borderId="3" xfId="1" applyNumberFormat="1" applyFont="1" applyBorder="1" applyAlignment="1">
      <alignment horizontal="center" vertical="center"/>
    </xf>
    <xf numFmtId="171" fontId="9" fillId="0" borderId="3" xfId="2" applyNumberFormat="1" applyFont="1" applyBorder="1" applyAlignment="1">
      <alignment horizontal="center" vertical="center"/>
    </xf>
    <xf numFmtId="166" fontId="1" fillId="0" borderId="3" xfId="1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" fontId="8" fillId="8" borderId="2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left" vertical="center"/>
    </xf>
    <xf numFmtId="0" fontId="3" fillId="5" borderId="2" xfId="0" applyFont="1" applyFill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10" fillId="11" borderId="5" xfId="2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/>
    </xf>
    <xf numFmtId="1" fontId="3" fillId="5" borderId="2" xfId="0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1" fontId="8" fillId="8" borderId="13" xfId="0" applyNumberFormat="1" applyFont="1" applyFill="1" applyBorder="1" applyAlignment="1">
      <alignment horizontal="center" vertical="center"/>
    </xf>
    <xf numFmtId="0" fontId="10" fillId="11" borderId="5" xfId="2" applyFont="1" applyFill="1" applyBorder="1" applyAlignment="1">
      <alignment vertical="center" wrapText="1"/>
    </xf>
    <xf numFmtId="165" fontId="16" fillId="0" borderId="3" xfId="2" applyNumberFormat="1" applyFont="1" applyBorder="1" applyAlignment="1">
      <alignment horizontal="center" vertical="center" wrapText="1"/>
    </xf>
    <xf numFmtId="2" fontId="16" fillId="0" borderId="3" xfId="2" applyNumberFormat="1" applyFont="1" applyBorder="1" applyAlignment="1">
      <alignment horizontal="center" vertical="center" wrapText="1"/>
    </xf>
    <xf numFmtId="0" fontId="1" fillId="0" borderId="0" xfId="2" applyAlignment="1">
      <alignment vertical="center"/>
    </xf>
    <xf numFmtId="0" fontId="9" fillId="7" borderId="3" xfId="2" applyFont="1" applyFill="1" applyBorder="1" applyAlignment="1">
      <alignment vertical="center" wrapText="1"/>
    </xf>
    <xf numFmtId="168" fontId="9" fillId="0" borderId="3" xfId="2" applyNumberFormat="1" applyFont="1" applyBorder="1" applyAlignment="1">
      <alignment vertical="center"/>
    </xf>
    <xf numFmtId="166" fontId="9" fillId="0" borderId="3" xfId="2" applyNumberFormat="1" applyFont="1" applyBorder="1" applyAlignment="1">
      <alignment vertical="center"/>
    </xf>
    <xf numFmtId="9" fontId="1" fillId="0" borderId="3" xfId="2" applyNumberFormat="1" applyBorder="1" applyAlignment="1">
      <alignment vertical="center"/>
    </xf>
    <xf numFmtId="1" fontId="1" fillId="0" borderId="3" xfId="2" applyNumberFormat="1" applyBorder="1" applyAlignment="1">
      <alignment vertical="center"/>
    </xf>
    <xf numFmtId="0" fontId="9" fillId="0" borderId="0" xfId="2" applyFont="1" applyAlignment="1">
      <alignment vertical="center" wrapText="1"/>
    </xf>
    <xf numFmtId="2" fontId="9" fillId="0" borderId="3" xfId="2" applyNumberFormat="1" applyFont="1" applyBorder="1" applyAlignment="1">
      <alignment vertical="center"/>
    </xf>
    <xf numFmtId="165" fontId="1" fillId="0" borderId="3" xfId="2" applyNumberFormat="1" applyBorder="1" applyAlignment="1">
      <alignment vertical="center"/>
    </xf>
    <xf numFmtId="0" fontId="11" fillId="10" borderId="3" xfId="2" applyFont="1" applyFill="1" applyBorder="1" applyAlignment="1">
      <alignment vertical="center" wrapText="1"/>
    </xf>
    <xf numFmtId="0" fontId="12" fillId="10" borderId="3" xfId="2" applyFont="1" applyFill="1" applyBorder="1" applyAlignment="1">
      <alignment vertical="center"/>
    </xf>
    <xf numFmtId="0" fontId="11" fillId="12" borderId="3" xfId="2" applyFont="1" applyFill="1" applyBorder="1" applyAlignment="1">
      <alignment vertical="center" wrapText="1"/>
    </xf>
    <xf numFmtId="0" fontId="12" fillId="12" borderId="10" xfId="0" applyFont="1" applyFill="1" applyBorder="1" applyAlignment="1">
      <alignment vertical="center" wrapText="1"/>
    </xf>
    <xf numFmtId="0" fontId="12" fillId="12" borderId="3" xfId="2" applyFont="1" applyFill="1" applyBorder="1" applyAlignment="1">
      <alignment vertical="center" wrapText="1"/>
    </xf>
    <xf numFmtId="169" fontId="1" fillId="0" borderId="3" xfId="2" applyNumberFormat="1" applyBorder="1" applyAlignment="1">
      <alignment vertical="center"/>
    </xf>
    <xf numFmtId="0" fontId="13" fillId="13" borderId="3" xfId="0" applyFont="1" applyFill="1" applyBorder="1" applyAlignment="1">
      <alignment vertical="center"/>
    </xf>
    <xf numFmtId="168" fontId="13" fillId="14" borderId="3" xfId="0" applyNumberFormat="1" applyFont="1" applyFill="1" applyBorder="1" applyAlignment="1">
      <alignment vertical="center"/>
    </xf>
    <xf numFmtId="167" fontId="1" fillId="0" borderId="3" xfId="2" applyNumberFormat="1" applyBorder="1" applyAlignment="1">
      <alignment vertical="center"/>
    </xf>
    <xf numFmtId="0" fontId="16" fillId="0" borderId="0" xfId="2" applyFont="1" applyAlignment="1">
      <alignment horizontal="center" vertical="center"/>
    </xf>
    <xf numFmtId="166" fontId="17" fillId="10" borderId="3" xfId="1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2" fontId="16" fillId="0" borderId="3" xfId="2" applyNumberFormat="1" applyFont="1" applyBorder="1" applyAlignment="1">
      <alignment vertical="center" wrapText="1"/>
    </xf>
    <xf numFmtId="0" fontId="18" fillId="16" borderId="3" xfId="2" applyFont="1" applyFill="1" applyBorder="1" applyAlignment="1">
      <alignment horizontal="center" vertical="center" wrapText="1"/>
    </xf>
    <xf numFmtId="0" fontId="18" fillId="0" borderId="3" xfId="2" applyFont="1" applyBorder="1" applyAlignment="1">
      <alignment horizontal="center" vertical="center"/>
    </xf>
    <xf numFmtId="167" fontId="9" fillId="0" borderId="6" xfId="2" applyNumberFormat="1" applyFont="1" applyBorder="1" applyAlignment="1">
      <alignment horizontal="center" vertical="center" wrapText="1"/>
    </xf>
    <xf numFmtId="0" fontId="9" fillId="10" borderId="14" xfId="2" applyFont="1" applyFill="1" applyBorder="1" applyAlignment="1">
      <alignment horizontal="center" vertical="center" wrapText="1"/>
    </xf>
    <xf numFmtId="0" fontId="10" fillId="0" borderId="0" xfId="2" applyFont="1" applyAlignment="1">
      <alignment vertical="center" wrapText="1"/>
    </xf>
    <xf numFmtId="0" fontId="9" fillId="7" borderId="9" xfId="2" applyFont="1" applyFill="1" applyBorder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66" fontId="9" fillId="0" borderId="0" xfId="1" applyNumberFormat="1" applyFont="1" applyAlignment="1">
      <alignment horizontal="center" vertical="center" wrapText="1"/>
    </xf>
    <xf numFmtId="166" fontId="17" fillId="10" borderId="3" xfId="1" applyNumberFormat="1" applyFont="1" applyFill="1" applyBorder="1" applyAlignment="1">
      <alignment vertical="center" wrapText="1"/>
    </xf>
    <xf numFmtId="0" fontId="10" fillId="0" borderId="7" xfId="2" applyFont="1" applyBorder="1" applyAlignment="1">
      <alignment vertical="center" wrapText="1"/>
    </xf>
    <xf numFmtId="1" fontId="16" fillId="0" borderId="3" xfId="2" applyNumberFormat="1" applyFont="1" applyBorder="1" applyAlignment="1">
      <alignment horizontal="center" vertical="center" wrapText="1"/>
    </xf>
    <xf numFmtId="166" fontId="16" fillId="0" borderId="3" xfId="2" applyNumberFormat="1" applyFont="1" applyBorder="1" applyAlignment="1">
      <alignment horizontal="center" vertical="center" wrapText="1"/>
    </xf>
    <xf numFmtId="165" fontId="16" fillId="0" borderId="3" xfId="2" applyNumberFormat="1" applyFont="1" applyBorder="1" applyAlignment="1">
      <alignment vertical="center" wrapText="1"/>
    </xf>
    <xf numFmtId="170" fontId="16" fillId="0" borderId="3" xfId="2" applyNumberFormat="1" applyFont="1" applyBorder="1" applyAlignment="1">
      <alignment horizontal="center" vertical="center" wrapText="1"/>
    </xf>
    <xf numFmtId="0" fontId="9" fillId="17" borderId="3" xfId="2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168" fontId="9" fillId="7" borderId="3" xfId="2" applyNumberFormat="1" applyFont="1" applyFill="1" applyBorder="1" applyAlignment="1">
      <alignment horizontal="center" vertical="center" wrapText="1"/>
    </xf>
    <xf numFmtId="2" fontId="21" fillId="18" borderId="0" xfId="0" applyNumberFormat="1" applyFont="1" applyFill="1"/>
    <xf numFmtId="171" fontId="9" fillId="0" borderId="3" xfId="1" applyNumberFormat="1" applyFont="1" applyBorder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166" fontId="13" fillId="0" borderId="3" xfId="0" applyNumberFormat="1" applyFont="1" applyBorder="1" applyAlignment="1">
      <alignment horizontal="center" vertical="center"/>
    </xf>
    <xf numFmtId="166" fontId="23" fillId="14" borderId="3" xfId="1" applyNumberFormat="1" applyFont="1" applyFill="1" applyBorder="1" applyAlignment="1">
      <alignment horizontal="center" vertical="center"/>
    </xf>
    <xf numFmtId="166" fontId="24" fillId="0" borderId="3" xfId="0" applyNumberFormat="1" applyFont="1" applyBorder="1" applyAlignment="1">
      <alignment horizontal="center" vertical="center"/>
    </xf>
    <xf numFmtId="166" fontId="24" fillId="0" borderId="3" xfId="1" applyNumberFormat="1" applyFont="1" applyBorder="1" applyAlignment="1">
      <alignment horizontal="center" vertical="center"/>
    </xf>
    <xf numFmtId="166" fontId="23" fillId="17" borderId="3" xfId="0" applyNumberFormat="1" applyFont="1" applyFill="1" applyBorder="1" applyAlignment="1">
      <alignment horizontal="center" vertical="center"/>
    </xf>
    <xf numFmtId="0" fontId="1" fillId="19" borderId="0" xfId="2" applyFill="1" applyAlignment="1">
      <alignment horizontal="center" vertical="center"/>
    </xf>
    <xf numFmtId="0" fontId="25" fillId="20" borderId="0" xfId="0" applyFont="1" applyFill="1" applyAlignment="1">
      <alignment horizontal="center" vertical="center" wrapText="1"/>
    </xf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31" fillId="21" borderId="0" xfId="0" applyFont="1" applyFill="1"/>
    <xf numFmtId="0" fontId="31" fillId="22" borderId="0" xfId="0" applyFont="1" applyFill="1"/>
    <xf numFmtId="0" fontId="31" fillId="23" borderId="0" xfId="0" applyFont="1" applyFill="1"/>
    <xf numFmtId="0" fontId="31" fillId="25" borderId="0" xfId="0" applyFont="1" applyFill="1"/>
    <xf numFmtId="0" fontId="31" fillId="26" borderId="0" xfId="0" applyFont="1" applyFill="1"/>
    <xf numFmtId="0" fontId="31" fillId="24" borderId="0" xfId="0" applyFont="1" applyFill="1"/>
    <xf numFmtId="0" fontId="33" fillId="17" borderId="0" xfId="2" applyFont="1" applyFill="1" applyAlignment="1">
      <alignment horizontal="center" vertical="center"/>
    </xf>
    <xf numFmtId="0" fontId="22" fillId="17" borderId="0" xfId="2" applyFont="1" applyFill="1" applyAlignment="1">
      <alignment horizontal="center" vertical="center"/>
    </xf>
    <xf numFmtId="0" fontId="33" fillId="27" borderId="0" xfId="2" applyFont="1" applyFill="1" applyAlignment="1">
      <alignment horizontal="center" vertical="center"/>
    </xf>
    <xf numFmtId="0" fontId="22" fillId="27" borderId="0" xfId="2" applyFont="1" applyFill="1" applyAlignment="1">
      <alignment horizontal="center" vertical="center"/>
    </xf>
    <xf numFmtId="0" fontId="32" fillId="28" borderId="1" xfId="0" applyFont="1" applyFill="1" applyBorder="1" applyAlignment="1">
      <alignment horizontal="left" vertical="center"/>
    </xf>
    <xf numFmtId="0" fontId="7" fillId="29" borderId="1" xfId="0" applyFont="1" applyFill="1" applyBorder="1" applyAlignment="1">
      <alignment horizontal="center" vertical="center"/>
    </xf>
    <xf numFmtId="0" fontId="32" fillId="30" borderId="1" xfId="0" applyFont="1" applyFill="1" applyBorder="1" applyAlignment="1">
      <alignment horizontal="left" vertical="center"/>
    </xf>
    <xf numFmtId="0" fontId="7" fillId="31" borderId="1" xfId="0" applyFont="1" applyFill="1" applyBorder="1" applyAlignment="1">
      <alignment horizontal="center" vertical="center"/>
    </xf>
    <xf numFmtId="0" fontId="32" fillId="32" borderId="1" xfId="0" applyFont="1" applyFill="1" applyBorder="1" applyAlignment="1">
      <alignment horizontal="left" vertical="center"/>
    </xf>
    <xf numFmtId="0" fontId="7" fillId="33" borderId="1" xfId="0" applyFont="1" applyFill="1" applyBorder="1" applyAlignment="1">
      <alignment horizontal="center" vertical="center"/>
    </xf>
    <xf numFmtId="0" fontId="32" fillId="34" borderId="1" xfId="0" applyFont="1" applyFill="1" applyBorder="1" applyAlignment="1">
      <alignment horizontal="left" vertical="center"/>
    </xf>
    <xf numFmtId="0" fontId="7" fillId="35" borderId="1" xfId="0" applyFont="1" applyFill="1" applyBorder="1" applyAlignment="1">
      <alignment horizontal="center" vertical="center"/>
    </xf>
    <xf numFmtId="0" fontId="32" fillId="36" borderId="1" xfId="0" applyFont="1" applyFill="1" applyBorder="1" applyAlignment="1">
      <alignment horizontal="left" vertical="center"/>
    </xf>
    <xf numFmtId="0" fontId="7" fillId="37" borderId="1" xfId="0" applyFont="1" applyFill="1" applyBorder="1" applyAlignment="1">
      <alignment horizontal="center" vertical="center"/>
    </xf>
    <xf numFmtId="0" fontId="32" fillId="38" borderId="1" xfId="0" applyFont="1" applyFill="1" applyBorder="1" applyAlignment="1">
      <alignment horizontal="left" vertical="center"/>
    </xf>
    <xf numFmtId="0" fontId="7" fillId="39" borderId="1" xfId="0" applyFont="1" applyFill="1" applyBorder="1" applyAlignment="1">
      <alignment horizontal="center" vertical="center"/>
    </xf>
    <xf numFmtId="0" fontId="19" fillId="0" borderId="3" xfId="3" applyBorder="1" applyAlignment="1">
      <alignment horizontal="center" vertical="center"/>
    </xf>
    <xf numFmtId="0" fontId="21" fillId="40" borderId="0" xfId="0" applyFont="1" applyFill="1" applyAlignment="1">
      <alignment horizontal="center" vertical="center" wrapText="1"/>
    </xf>
    <xf numFmtId="0" fontId="21" fillId="40" borderId="0" xfId="0" applyFont="1" applyFill="1" applyAlignment="1">
      <alignment horizontal="center" vertical="center"/>
    </xf>
    <xf numFmtId="0" fontId="34" fillId="9" borderId="1" xfId="0" applyFont="1" applyFill="1" applyBorder="1" applyAlignment="1">
      <alignment horizontal="center" vertical="center"/>
    </xf>
    <xf numFmtId="1" fontId="34" fillId="9" borderId="1" xfId="0" applyNumberFormat="1" applyFont="1" applyFill="1" applyBorder="1" applyAlignment="1">
      <alignment horizontal="center" vertical="center"/>
    </xf>
    <xf numFmtId="0" fontId="34" fillId="9" borderId="0" xfId="0" applyFont="1" applyFill="1" applyAlignment="1">
      <alignment horizontal="center" vertical="center"/>
    </xf>
    <xf numFmtId="1" fontId="34" fillId="9" borderId="0" xfId="0" applyNumberFormat="1" applyFont="1" applyFill="1" applyAlignment="1">
      <alignment horizontal="center" vertical="center"/>
    </xf>
    <xf numFmtId="0" fontId="8" fillId="41" borderId="1" xfId="0" applyFont="1" applyFill="1" applyBorder="1" applyAlignment="1">
      <alignment horizontal="left" vertical="center"/>
    </xf>
    <xf numFmtId="0" fontId="8" fillId="42" borderId="1" xfId="0" applyFont="1" applyFill="1" applyBorder="1" applyAlignment="1">
      <alignment horizontal="left" vertical="center"/>
    </xf>
    <xf numFmtId="0" fontId="8" fillId="42" borderId="1" xfId="0" applyFont="1" applyFill="1" applyBorder="1" applyAlignment="1">
      <alignment horizontal="center" vertical="center"/>
    </xf>
    <xf numFmtId="1" fontId="8" fillId="42" borderId="1" xfId="0" applyNumberFormat="1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1" fontId="8" fillId="41" borderId="1" xfId="0" applyNumberFormat="1" applyFont="1" applyFill="1" applyBorder="1" applyAlignment="1">
      <alignment horizontal="center" vertical="center"/>
    </xf>
    <xf numFmtId="165" fontId="34" fillId="9" borderId="0" xfId="0" applyNumberFormat="1" applyFont="1" applyFill="1" applyAlignment="1">
      <alignment horizontal="center" vertical="center"/>
    </xf>
    <xf numFmtId="3" fontId="34" fillId="9" borderId="0" xfId="0" applyNumberFormat="1" applyFont="1" applyFill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0" fontId="0" fillId="16" borderId="0" xfId="0" applyFill="1" applyAlignment="1">
      <alignment horizontal="left"/>
    </xf>
    <xf numFmtId="0" fontId="0" fillId="0" borderId="0" xfId="0" applyAlignment="1">
      <alignment horizontal="left"/>
    </xf>
    <xf numFmtId="0" fontId="1" fillId="16" borderId="0" xfId="2" applyFill="1" applyAlignment="1">
      <alignment horizontal="center" vertical="center"/>
    </xf>
    <xf numFmtId="0" fontId="11" fillId="44" borderId="0" xfId="2" applyFont="1" applyFill="1" applyAlignment="1">
      <alignment horizontal="center" vertical="center" wrapText="1"/>
    </xf>
    <xf numFmtId="0" fontId="12" fillId="44" borderId="0" xfId="2" applyFont="1" applyFill="1" applyAlignment="1">
      <alignment horizontal="center" vertical="center"/>
    </xf>
    <xf numFmtId="0" fontId="11" fillId="45" borderId="0" xfId="2" applyFont="1" applyFill="1" applyAlignment="1">
      <alignment horizontal="center" vertical="center" wrapText="1"/>
    </xf>
    <xf numFmtId="0" fontId="12" fillId="45" borderId="0" xfId="0" applyFont="1" applyFill="1" applyAlignment="1">
      <alignment horizontal="center" vertical="center" wrapText="1"/>
    </xf>
    <xf numFmtId="166" fontId="11" fillId="44" borderId="0" xfId="1" applyNumberFormat="1" applyFont="1" applyFill="1" applyAlignment="1">
      <alignment horizontal="center" vertical="center" wrapText="1"/>
    </xf>
    <xf numFmtId="0" fontId="12" fillId="45" borderId="0" xfId="2" applyFont="1" applyFill="1" applyAlignment="1">
      <alignment horizontal="center" vertical="center" wrapText="1"/>
    </xf>
    <xf numFmtId="0" fontId="9" fillId="41" borderId="0" xfId="2" applyFont="1" applyFill="1" applyAlignment="1">
      <alignment horizontal="center" vertical="center" wrapText="1"/>
    </xf>
    <xf numFmtId="2" fontId="9" fillId="16" borderId="0" xfId="2" applyNumberFormat="1" applyFont="1" applyFill="1" applyAlignment="1">
      <alignment horizontal="center" vertical="center"/>
    </xf>
    <xf numFmtId="166" fontId="9" fillId="16" borderId="0" xfId="2" applyNumberFormat="1" applyFont="1" applyFill="1" applyAlignment="1">
      <alignment horizontal="center" vertical="center"/>
    </xf>
    <xf numFmtId="9" fontId="1" fillId="16" borderId="0" xfId="2" applyNumberFormat="1" applyFill="1" applyAlignment="1">
      <alignment horizontal="center" vertical="center"/>
    </xf>
    <xf numFmtId="2" fontId="16" fillId="16" borderId="0" xfId="2" applyNumberFormat="1" applyFont="1" applyFill="1" applyAlignment="1">
      <alignment horizontal="center" vertical="center" wrapText="1"/>
    </xf>
    <xf numFmtId="169" fontId="1" fillId="16" borderId="0" xfId="2" applyNumberFormat="1" applyFill="1" applyAlignment="1">
      <alignment horizontal="center" vertical="center"/>
    </xf>
    <xf numFmtId="1" fontId="1" fillId="16" borderId="0" xfId="2" applyNumberFormat="1" applyFill="1" applyAlignment="1">
      <alignment horizontal="center" vertical="center"/>
    </xf>
    <xf numFmtId="0" fontId="9" fillId="16" borderId="0" xfId="2" applyFont="1" applyFill="1" applyAlignment="1">
      <alignment horizontal="center" vertical="center" wrapText="1"/>
    </xf>
    <xf numFmtId="0" fontId="13" fillId="16" borderId="0" xfId="0" applyFont="1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9" fillId="16" borderId="0" xfId="0" applyFont="1" applyFill="1" applyAlignment="1">
      <alignment horizontal="center" vertical="center" wrapText="1"/>
    </xf>
    <xf numFmtId="0" fontId="9" fillId="16" borderId="0" xfId="2" applyFont="1" applyFill="1" applyAlignment="1">
      <alignment vertical="center" wrapText="1"/>
    </xf>
    <xf numFmtId="0" fontId="1" fillId="16" borderId="0" xfId="2" applyFill="1" applyAlignment="1">
      <alignment vertical="center"/>
    </xf>
    <xf numFmtId="9" fontId="9" fillId="0" borderId="3" xfId="32" applyFont="1" applyBorder="1" applyAlignment="1">
      <alignment horizontal="center" vertical="center"/>
    </xf>
    <xf numFmtId="0" fontId="22" fillId="46" borderId="3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/>
    </xf>
    <xf numFmtId="0" fontId="13" fillId="13" borderId="16" xfId="0" applyFont="1" applyFill="1" applyBorder="1" applyAlignment="1">
      <alignment horizontal="center" vertical="center"/>
    </xf>
    <xf numFmtId="0" fontId="12" fillId="12" borderId="4" xfId="2" applyFont="1" applyFill="1" applyBorder="1" applyAlignment="1">
      <alignment horizontal="center" vertical="center" wrapText="1"/>
    </xf>
    <xf numFmtId="2" fontId="1" fillId="0" borderId="4" xfId="2" applyNumberFormat="1" applyBorder="1" applyAlignment="1">
      <alignment horizontal="center" vertical="center"/>
    </xf>
    <xf numFmtId="165" fontId="1" fillId="0" borderId="4" xfId="2" applyNumberFormat="1" applyBorder="1" applyAlignment="1">
      <alignment horizontal="center" vertical="center"/>
    </xf>
    <xf numFmtId="1" fontId="1" fillId="0" borderId="4" xfId="2" applyNumberFormat="1" applyBorder="1" applyAlignment="1">
      <alignment horizontal="center" vertical="center"/>
    </xf>
    <xf numFmtId="1" fontId="1" fillId="0" borderId="14" xfId="2" applyNumberFormat="1" applyBorder="1" applyAlignment="1">
      <alignment horizontal="center" vertical="center"/>
    </xf>
    <xf numFmtId="1" fontId="9" fillId="0" borderId="3" xfId="2" applyNumberFormat="1" applyFont="1" applyBorder="1" applyAlignment="1">
      <alignment horizontal="center" vertical="center" wrapText="1"/>
    </xf>
    <xf numFmtId="0" fontId="35" fillId="47" borderId="0" xfId="0" applyFont="1" applyFill="1"/>
    <xf numFmtId="170" fontId="22" fillId="0" borderId="17" xfId="0" applyNumberFormat="1" applyFont="1" applyBorder="1"/>
    <xf numFmtId="0" fontId="33" fillId="48" borderId="0" xfId="0" applyFont="1" applyFill="1"/>
    <xf numFmtId="0" fontId="33" fillId="49" borderId="0" xfId="0" applyFont="1" applyFill="1"/>
    <xf numFmtId="173" fontId="33" fillId="49" borderId="0" xfId="0" applyNumberFormat="1" applyFont="1" applyFill="1"/>
    <xf numFmtId="173" fontId="9" fillId="0" borderId="3" xfId="2" applyNumberFormat="1" applyFont="1" applyBorder="1" applyAlignment="1">
      <alignment horizontal="center" vertical="center" wrapText="1"/>
    </xf>
    <xf numFmtId="174" fontId="22" fillId="0" borderId="17" xfId="0" applyNumberFormat="1" applyFont="1" applyBorder="1"/>
    <xf numFmtId="165" fontId="9" fillId="0" borderId="0" xfId="2" applyNumberFormat="1" applyFont="1" applyAlignment="1">
      <alignment horizontal="center" vertical="center" wrapText="1"/>
    </xf>
    <xf numFmtId="165" fontId="1" fillId="0" borderId="0" xfId="2" applyNumberFormat="1" applyAlignment="1">
      <alignment horizontal="center" vertical="center"/>
    </xf>
    <xf numFmtId="165" fontId="1" fillId="0" borderId="14" xfId="2" applyNumberFormat="1" applyBorder="1" applyAlignment="1">
      <alignment horizontal="center" vertical="center"/>
    </xf>
    <xf numFmtId="166" fontId="21" fillId="50" borderId="0" xfId="0" applyNumberFormat="1" applyFont="1" applyFill="1"/>
    <xf numFmtId="167" fontId="21" fillId="50" borderId="0" xfId="0" applyNumberFormat="1" applyFont="1" applyFill="1"/>
    <xf numFmtId="171" fontId="21" fillId="50" borderId="0" xfId="0" applyNumberFormat="1" applyFont="1" applyFill="1"/>
    <xf numFmtId="43" fontId="1" fillId="0" borderId="0" xfId="2" applyNumberFormat="1" applyAlignment="1">
      <alignment horizontal="center" vertical="center"/>
    </xf>
    <xf numFmtId="0" fontId="36" fillId="7" borderId="3" xfId="2" applyFont="1" applyFill="1" applyBorder="1" applyAlignment="1">
      <alignment horizontal="left" vertical="center" wrapText="1"/>
    </xf>
    <xf numFmtId="0" fontId="8" fillId="0" borderId="3" xfId="2" applyFont="1" applyBorder="1" applyAlignment="1">
      <alignment horizontal="left" vertical="center"/>
    </xf>
    <xf numFmtId="0" fontId="14" fillId="43" borderId="0" xfId="0" applyFont="1" applyFill="1" applyAlignment="1">
      <alignment vertical="center" wrapText="1" readingOrder="2"/>
    </xf>
    <xf numFmtId="0" fontId="0" fillId="0" borderId="3" xfId="0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8" fillId="16" borderId="3" xfId="2" applyFont="1" applyFill="1" applyBorder="1" applyAlignment="1">
      <alignment horizontal="left" vertical="center" wrapText="1"/>
    </xf>
    <xf numFmtId="0" fontId="0" fillId="16" borderId="15" xfId="0" applyFill="1" applyBorder="1" applyAlignment="1">
      <alignment horizontal="left"/>
    </xf>
    <xf numFmtId="0" fontId="0" fillId="16" borderId="15" xfId="0" applyFill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8" fillId="0" borderId="3" xfId="2" applyFont="1" applyBorder="1" applyAlignment="1">
      <alignment horizontal="center" vertical="center"/>
    </xf>
    <xf numFmtId="0" fontId="36" fillId="0" borderId="3" xfId="2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4" fillId="15" borderId="0" xfId="0" applyFont="1" applyFill="1" applyAlignment="1">
      <alignment horizontal="center" vertical="center" wrapText="1" readingOrder="2"/>
    </xf>
    <xf numFmtId="0" fontId="10" fillId="11" borderId="5" xfId="2" applyFont="1" applyFill="1" applyBorder="1" applyAlignment="1">
      <alignment horizontal="center" vertical="center" wrapText="1"/>
    </xf>
    <xf numFmtId="0" fontId="13" fillId="13" borderId="8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10" fillId="11" borderId="0" xfId="2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4" fillId="43" borderId="0" xfId="0" applyFont="1" applyFill="1" applyAlignment="1">
      <alignment horizontal="center" vertical="center" wrapText="1" readingOrder="2"/>
    </xf>
    <xf numFmtId="0" fontId="14" fillId="15" borderId="5" xfId="0" applyFont="1" applyFill="1" applyBorder="1" applyAlignment="1">
      <alignment horizontal="center" vertical="center" wrapText="1" readingOrder="2"/>
    </xf>
    <xf numFmtId="0" fontId="10" fillId="0" borderId="7" xfId="2" applyFont="1" applyBorder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169" fontId="33" fillId="49" borderId="0" xfId="0" applyNumberFormat="1" applyFont="1" applyFill="1"/>
    <xf numFmtId="0" fontId="1" fillId="51" borderId="0" xfId="2" applyFill="1" applyAlignment="1">
      <alignment horizontal="center" vertical="center"/>
    </xf>
    <xf numFmtId="166" fontId="15" fillId="14" borderId="3" xfId="1" applyNumberFormat="1" applyFont="1" applyFill="1" applyBorder="1" applyAlignment="1">
      <alignment horizontal="center" vertical="center"/>
    </xf>
    <xf numFmtId="166" fontId="15" fillId="17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Border="1" applyAlignment="1">
      <alignment horizontal="center" vertical="center"/>
    </xf>
  </cellXfs>
  <cellStyles count="33">
    <cellStyle name="Comma" xfId="1" builtinId="3"/>
    <cellStyle name="Comma 2" xfId="5" xr:uid="{688A7DDF-29EA-4D2D-BC60-CEB15BB62167}"/>
    <cellStyle name="Comma 3" xfId="20" xr:uid="{8B154D1A-C3C8-49C5-93F7-E2EFF9EB58BB}"/>
    <cellStyle name="Comma 3 2" xfId="31" xr:uid="{6B1E86E2-0ABA-4019-87F9-EE396CA9081F}"/>
    <cellStyle name="Comma 4" xfId="22" xr:uid="{828C0DB6-78DD-4A4D-8EB0-6E66D8503D57}"/>
    <cellStyle name="Comma 5" xfId="16" xr:uid="{ADB3A13D-371A-4D13-BFBE-0113B67D6271}"/>
    <cellStyle name="Normal" xfId="0" builtinId="0"/>
    <cellStyle name="Normal 10" xfId="7" xr:uid="{F8C5A9BF-7EBE-4CEF-B90D-7ECD29B20A7D}"/>
    <cellStyle name="Normal 2" xfId="2" xr:uid="{00000000-0005-0000-0000-000006000000}"/>
    <cellStyle name="Normal 2 2" xfId="9" xr:uid="{50B1EAD8-AF3E-489E-92BD-2A0C1062A8FA}"/>
    <cellStyle name="Normal 2 2 2" xfId="3" xr:uid="{576AEEEB-219F-49C0-88EE-39442153B06B}"/>
    <cellStyle name="Normal 2 2 2 2" xfId="4" xr:uid="{06BFA605-9760-45F7-BF7C-D4A7535EDDCD}"/>
    <cellStyle name="Normal 2 2 2 3" xfId="23" xr:uid="{5B111181-C28F-4A5B-B493-16E5A2C2DA42}"/>
    <cellStyle name="Normal 2 2 2 4" xfId="10" xr:uid="{010ECCD9-80C5-4142-BAE3-DFCDE38F3F77}"/>
    <cellStyle name="Normal 2 2 3" xfId="11" xr:uid="{ED2B3042-2D21-4678-BAC4-7522CB26351C}"/>
    <cellStyle name="Normal 2 2 4" xfId="18" xr:uid="{30B62117-B4AB-4E58-94FD-6C963461C093}"/>
    <cellStyle name="Normal 2 3" xfId="12" xr:uid="{0D30F1C7-FA76-46A3-976C-7659E11786E3}"/>
    <cellStyle name="Normal 2 3 2" xfId="13" xr:uid="{9199B2F9-9803-4833-8CD0-D7519C39F807}"/>
    <cellStyle name="Normal 2 4" xfId="14" xr:uid="{EB675D9C-F6D2-4F66-B5E6-23A5F8996BE6}"/>
    <cellStyle name="Normal 2 5" xfId="17" xr:uid="{68A463B0-0F90-407D-9D1F-43FE1350FEB9}"/>
    <cellStyle name="Normal 2 6" xfId="27" xr:uid="{4582DE9E-BA1B-4D26-82F4-6B7DA6780319}"/>
    <cellStyle name="Normal 2 7" xfId="29" xr:uid="{E9E442C4-85B9-48DE-A524-5E6E9E43DF1C}"/>
    <cellStyle name="Normal 2 8" xfId="8" xr:uid="{CFDA5C6F-9288-49D2-8E71-DEF8001D7853}"/>
    <cellStyle name="Normal 3" xfId="6" xr:uid="{B70AF7CE-5EE8-40DF-8C1D-8AF3FB4DCD79}"/>
    <cellStyle name="Normal 4" xfId="19" xr:uid="{E21F80F6-19DE-47E0-A8E2-D6F704BCDF60}"/>
    <cellStyle name="Normal 4 2" xfId="30" xr:uid="{DB458738-8751-4EA5-83A5-0D1CFA95ABB8}"/>
    <cellStyle name="Normal 5" xfId="21" xr:uid="{5AB33570-825F-4E41-9E6A-67B370DC6074}"/>
    <cellStyle name="Normal 6" xfId="24" xr:uid="{E4EB23B3-094F-4443-AFDF-B43EDDF55806}"/>
    <cellStyle name="Normal 7" xfId="25" xr:uid="{70444AB1-1018-4D71-A7A9-AEA9A9F5C7B8}"/>
    <cellStyle name="Normal 8" xfId="26" xr:uid="{E90830BD-2250-4212-AC4B-3EFD0BBB7CB6}"/>
    <cellStyle name="Normal 9" xfId="28" xr:uid="{04A71099-E3AF-4A9B-B423-46253F9DF2F6}"/>
    <cellStyle name="Percent" xfId="32" builtinId="5"/>
    <cellStyle name="Percent 2" xfId="15" xr:uid="{1B5CFA75-C04F-4BB8-ABC7-12191E460D83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DBDBD"/>
      <rgbColor rgb="FF7C7C7C"/>
      <rgbColor rgb="FF9999FF"/>
      <rgbColor rgb="FF7030A0"/>
      <rgbColor rgb="FFFFF9C4"/>
      <rgbColor rgb="FFE8F5E9"/>
      <rgbColor rgb="FF660066"/>
      <rgbColor rgb="FFFF8080"/>
      <rgbColor rgb="FF2E6DA4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4FB"/>
      <rgbColor rgb="FFF5F5F5"/>
      <rgbColor rgb="FFFFFF99"/>
      <rgbColor rgb="FF99CCFF"/>
      <rgbColor rgb="FFFF99CC"/>
      <rgbColor rgb="FFCC99FF"/>
      <rgbColor rgb="FFF8CBAD"/>
      <rgbColor rgb="FF2E75B6"/>
      <rgbColor rgb="FF33CCCC"/>
      <rgbColor rgb="FF99CC00"/>
      <rgbColor rgb="FFFFC000"/>
      <rgbColor rgb="FFBF9000"/>
      <rgbColor rgb="FFC55A11"/>
      <rgbColor rgb="FF2C5F8A"/>
      <rgbColor rgb="FF888888"/>
      <rgbColor rgb="FF002060"/>
      <rgbColor rgb="FF00B050"/>
      <rgbColor rgb="FF003300"/>
      <rgbColor rgb="FF333300"/>
      <rgbColor rgb="FF843C0B"/>
      <rgbColor rgb="FF833C0C"/>
      <rgbColor rgb="FF2F5597"/>
      <rgbColor rgb="FF1B3A5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838500</xdr:colOff>
      <xdr:row>1</xdr:row>
      <xdr:rowOff>117323</xdr:rowOff>
    </xdr:from>
    <xdr:to>
      <xdr:col>19</xdr:col>
      <xdr:colOff>105829</xdr:colOff>
      <xdr:row>8</xdr:row>
      <xdr:rowOff>135465</xdr:rowOff>
    </xdr:to>
    <xdr:pic macro="[0]!RecalcWeights">
      <xdr:nvPicPr>
        <xdr:cNvPr id="4" name="Graphic 3" descr="Table setting with solid fill">
          <a:extLst>
            <a:ext uri="{FF2B5EF4-FFF2-40B4-BE49-F238E27FC236}">
              <a16:creationId xmlns:a16="http://schemas.microsoft.com/office/drawing/2014/main" id="{0953689F-375B-D909-22C8-3108BD74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524433" y="498323"/>
          <a:ext cx="1138467" cy="1457475"/>
        </a:xfrm>
        <a:prstGeom prst="rect">
          <a:avLst/>
        </a:prstGeom>
      </xdr:spPr>
    </xdr:pic>
    <xdr:clientData/>
  </xdr:twoCellAnchor>
  <xdr:twoCellAnchor>
    <xdr:from>
      <xdr:col>16</xdr:col>
      <xdr:colOff>269394</xdr:colOff>
      <xdr:row>8</xdr:row>
      <xdr:rowOff>90165</xdr:rowOff>
    </xdr:from>
    <xdr:to>
      <xdr:col>21</xdr:col>
      <xdr:colOff>66524</xdr:colOff>
      <xdr:row>10</xdr:row>
      <xdr:rowOff>124800</xdr:rowOff>
    </xdr:to>
    <xdr:sp macro="[0]!ExportRiceBatches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FA500C4-D4FD-5726-268F-73A7D050701B}"/>
            </a:ext>
          </a:extLst>
        </xdr:cNvPr>
        <xdr:cNvSpPr/>
      </xdr:nvSpPr>
      <xdr:spPr>
        <a:xfrm>
          <a:off x="20637775" y="1946784"/>
          <a:ext cx="1339273" cy="43377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/>
            <a:t>Day </a:t>
          </a:r>
          <a:r>
            <a:rPr lang="en-AE" sz="1100" b="1">
              <a:solidFill>
                <a:schemeClr val="bg1"/>
              </a:solidFill>
            </a:rPr>
            <a:t>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271703</xdr:colOff>
      <xdr:row>11</xdr:row>
      <xdr:rowOff>54538</xdr:rowOff>
    </xdr:from>
    <xdr:to>
      <xdr:col>21</xdr:col>
      <xdr:colOff>68833</xdr:colOff>
      <xdr:row>13</xdr:row>
      <xdr:rowOff>92473</xdr:rowOff>
    </xdr:to>
    <xdr:sp macro="[0]!ExportRiceActualsToPD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A3F30F2-AFA7-4FED-95B6-E9CF591791A9}"/>
            </a:ext>
          </a:extLst>
        </xdr:cNvPr>
        <xdr:cNvSpPr/>
      </xdr:nvSpPr>
      <xdr:spPr>
        <a:xfrm>
          <a:off x="20640084" y="2509871"/>
          <a:ext cx="1339273" cy="43707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/>
            <a:t>Actuals </a:t>
          </a:r>
          <a:r>
            <a:rPr lang="en-AE" sz="1100" b="1">
              <a:solidFill>
                <a:schemeClr val="bg1"/>
              </a:solidFill>
            </a:rPr>
            <a:t>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21</xdr:col>
      <xdr:colOff>230909</xdr:colOff>
      <xdr:row>4</xdr:row>
      <xdr:rowOff>23092</xdr:rowOff>
    </xdr:from>
    <xdr:to>
      <xdr:col>23</xdr:col>
      <xdr:colOff>277089</xdr:colOff>
      <xdr:row>7</xdr:row>
      <xdr:rowOff>103910</xdr:rowOff>
    </xdr:to>
    <xdr:pic macro="[0]!UpdateRecipeData">
      <xdr:nvPicPr>
        <xdr:cNvPr id="6" name="Graphic 5" descr="Direction with solid fill">
          <a:extLst>
            <a:ext uri="{FF2B5EF4-FFF2-40B4-BE49-F238E27FC236}">
              <a16:creationId xmlns:a16="http://schemas.microsoft.com/office/drawing/2014/main" id="{8445020F-01DE-FABA-CDE9-0FDDE94CA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15727" y="1073728"/>
          <a:ext cx="669637" cy="6696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8">
    <wetp:webextensionref xmlns:r="http://schemas.openxmlformats.org/officeDocument/2006/relationships" r:id="rId1"/>
  </wetp:taskpane>
  <wetp:taskpane dockstate="right" visibility="0" width="525" row="9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E35906E-07D1-4B2E-B120-8B6664BBDA80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BCB226FB-C87C-4051-8660-E1B8D8E1D001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736a89ba-973f-479c-be8f-917b5b76a95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X73"/>
  <sheetViews>
    <sheetView zoomScale="70" zoomScaleNormal="70" workbookViewId="0">
      <pane ySplit="2" topLeftCell="A3" activePane="bottomLeft" state="frozen"/>
      <selection pane="bottomLeft" activeCell="Q42" sqref="Q42"/>
    </sheetView>
  </sheetViews>
  <sheetFormatPr defaultColWidth="8.5625" defaultRowHeight="13.5" x14ac:dyDescent="0.35"/>
  <cols>
    <col min="1" max="1" width="43.25" style="182" customWidth="1"/>
    <col min="2" max="2" width="20.75" customWidth="1"/>
    <col min="3" max="3" width="8" customWidth="1"/>
    <col min="4" max="5" width="15" customWidth="1"/>
    <col min="6" max="6" width="16.3125" customWidth="1"/>
    <col min="7" max="7" width="17.5625" customWidth="1"/>
    <col min="8" max="8" width="22.75" customWidth="1"/>
    <col min="9" max="9" width="17.0625" customWidth="1"/>
    <col min="10" max="10" width="16" customWidth="1"/>
    <col min="11" max="11" width="14.5" customWidth="1"/>
    <col min="12" max="12" width="11.6875" customWidth="1"/>
    <col min="13" max="13" width="12.6875" customWidth="1"/>
    <col min="16" max="16" width="14.5" customWidth="1"/>
    <col min="17" max="17" width="13.8125" customWidth="1"/>
    <col min="18" max="18" width="6.5" customWidth="1"/>
    <col min="19" max="26" width="4.0625" customWidth="1"/>
    <col min="27" max="27" width="24.5" customWidth="1"/>
    <col min="28" max="28" width="12.3125" customWidth="1"/>
    <col min="29" max="29" width="14.1875" customWidth="1"/>
    <col min="30" max="32" width="6.5" customWidth="1"/>
    <col min="33" max="42" width="2.8125" customWidth="1"/>
    <col min="43" max="43" width="25.5" customWidth="1"/>
    <col min="46" max="47" width="2.0625" customWidth="1"/>
    <col min="48" max="48" width="24.5" bestFit="1" customWidth="1"/>
    <col min="49" max="49" width="10.8125" customWidth="1"/>
  </cols>
  <sheetData>
    <row r="1" spans="1:50" ht="30" customHeight="1" x14ac:dyDescent="0.35">
      <c r="A1" s="179" t="s">
        <v>214</v>
      </c>
      <c r="B1" s="3" t="s">
        <v>59</v>
      </c>
      <c r="C1" s="3" t="s">
        <v>215</v>
      </c>
      <c r="D1" s="3" t="s">
        <v>216</v>
      </c>
      <c r="E1" s="3" t="s">
        <v>217</v>
      </c>
      <c r="F1" s="3" t="s">
        <v>111</v>
      </c>
      <c r="G1" s="165" t="s">
        <v>227</v>
      </c>
      <c r="H1" s="166" t="s">
        <v>228</v>
      </c>
      <c r="I1" s="165" t="s">
        <v>229</v>
      </c>
      <c r="J1" s="165" t="s">
        <v>230</v>
      </c>
      <c r="K1" s="3" t="s">
        <v>113</v>
      </c>
      <c r="L1" s="3" t="s">
        <v>114</v>
      </c>
      <c r="M1" s="3" t="s">
        <v>112</v>
      </c>
      <c r="N1" s="3" t="s">
        <v>115</v>
      </c>
      <c r="O1" s="3" t="s">
        <v>116</v>
      </c>
      <c r="Q1" s="2" t="s">
        <v>0</v>
      </c>
      <c r="R1" s="73">
        <v>4</v>
      </c>
      <c r="AA1" s="239" t="s">
        <v>1</v>
      </c>
      <c r="AB1" s="239"/>
      <c r="AC1" s="239"/>
      <c r="AD1" s="239"/>
      <c r="AE1" s="239"/>
      <c r="AF1" s="239"/>
      <c r="AQ1" s="135" t="s">
        <v>119</v>
      </c>
      <c r="AR1" s="135" t="s">
        <v>120</v>
      </c>
      <c r="AS1" s="135" t="s">
        <v>121</v>
      </c>
      <c r="AV1" s="135" t="s">
        <v>119</v>
      </c>
      <c r="AW1" s="135" t="s">
        <v>120</v>
      </c>
      <c r="AX1" s="135" t="s">
        <v>121</v>
      </c>
    </row>
    <row r="2" spans="1:50" ht="21.75" customHeight="1" x14ac:dyDescent="0.35">
      <c r="A2" s="180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AA2" s="3" t="s">
        <v>2</v>
      </c>
      <c r="AB2" s="3" t="s">
        <v>3</v>
      </c>
      <c r="AC2" s="3" t="s">
        <v>206</v>
      </c>
      <c r="AD2" s="3" t="s">
        <v>207</v>
      </c>
      <c r="AE2" s="3" t="s">
        <v>208</v>
      </c>
      <c r="AF2" s="3"/>
      <c r="AQ2" s="136" t="s">
        <v>122</v>
      </c>
      <c r="AR2" s="136">
        <v>117</v>
      </c>
      <c r="AS2" s="136">
        <v>117</v>
      </c>
      <c r="AV2" s="139" t="s">
        <v>165</v>
      </c>
      <c r="AW2" s="139">
        <v>86</v>
      </c>
      <c r="AX2" s="139">
        <v>86</v>
      </c>
    </row>
    <row r="3" spans="1:50" ht="15.75" customHeight="1" x14ac:dyDescent="0.4">
      <c r="A3" s="172" t="s">
        <v>5</v>
      </c>
      <c r="B3" s="172" t="s">
        <v>244</v>
      </c>
      <c r="C3" s="173" t="s">
        <v>6</v>
      </c>
      <c r="D3" s="174">
        <v>44.417333333333332</v>
      </c>
      <c r="E3" s="72">
        <v>345.95652333333328</v>
      </c>
      <c r="F3" s="126">
        <v>1</v>
      </c>
      <c r="G3" s="169">
        <f>4*10000</f>
        <v>40000</v>
      </c>
      <c r="H3" s="169" t="s">
        <v>243</v>
      </c>
      <c r="I3" s="170">
        <v>230</v>
      </c>
      <c r="J3" s="177">
        <f>I3/(G3/1000)</f>
        <v>5.75</v>
      </c>
      <c r="K3" s="225">
        <f>(E3/F3)/G3</f>
        <v>8.6489130833333327E-3</v>
      </c>
      <c r="L3" s="225">
        <f>(D3/F3)/G3</f>
        <v>1.1104333333333332E-3</v>
      </c>
      <c r="M3" s="223" t="s">
        <v>233</v>
      </c>
      <c r="N3" s="224">
        <f t="shared" ref="N3" si="0">K3*I3</f>
        <v>1.9892500091666665</v>
      </c>
      <c r="O3" s="224">
        <f t="shared" ref="O3" si="1">L3*I3</f>
        <v>0.25539966666666664</v>
      </c>
      <c r="AA3" s="152" t="s">
        <v>4</v>
      </c>
      <c r="AB3" s="153">
        <v>1</v>
      </c>
      <c r="AC3">
        <f>AS17</f>
        <v>32140</v>
      </c>
      <c r="AD3">
        <v>500</v>
      </c>
      <c r="AQ3" s="136" t="s">
        <v>123</v>
      </c>
      <c r="AR3" s="136">
        <v>310</v>
      </c>
      <c r="AS3" s="136">
        <v>45470</v>
      </c>
      <c r="AV3" s="139" t="s">
        <v>166</v>
      </c>
      <c r="AW3" s="139">
        <v>261</v>
      </c>
      <c r="AX3" s="139">
        <v>38730</v>
      </c>
    </row>
    <row r="4" spans="1:50" ht="15.75" customHeight="1" x14ac:dyDescent="0.4">
      <c r="A4" s="181" t="s">
        <v>103</v>
      </c>
      <c r="B4" s="171" t="s">
        <v>244</v>
      </c>
      <c r="C4" s="175" t="s">
        <v>6</v>
      </c>
      <c r="D4" s="176">
        <v>0</v>
      </c>
      <c r="E4" s="72">
        <v>8.1760000000000002</v>
      </c>
      <c r="F4" s="126">
        <v>1</v>
      </c>
      <c r="G4" s="178">
        <f>10*4000</f>
        <v>40000</v>
      </c>
      <c r="H4" s="169" t="s">
        <v>242</v>
      </c>
      <c r="I4" s="170">
        <v>208</v>
      </c>
      <c r="J4" s="177">
        <f>I4/(G4/1000)</f>
        <v>5.2</v>
      </c>
      <c r="K4" s="225">
        <f t="shared" ref="K4:K5" si="2">(E4/F4)/G4</f>
        <v>2.0440000000000001E-4</v>
      </c>
      <c r="L4" s="225">
        <f t="shared" ref="L4:L5" si="3">(D4/F4)/G4</f>
        <v>0</v>
      </c>
      <c r="M4" s="223" t="s">
        <v>233</v>
      </c>
      <c r="N4" s="224">
        <f t="shared" ref="N4:N5" si="4">K4*I4</f>
        <v>4.2515200000000003E-2</v>
      </c>
      <c r="O4" s="224">
        <f t="shared" ref="O4:O5" si="5">L4*I4</f>
        <v>0</v>
      </c>
      <c r="AA4" s="152" t="s">
        <v>7</v>
      </c>
      <c r="AB4" s="153">
        <v>1</v>
      </c>
      <c r="AC4">
        <f>AS15</f>
        <v>29440</v>
      </c>
      <c r="AD4">
        <v>500</v>
      </c>
      <c r="AQ4" s="136" t="s">
        <v>124</v>
      </c>
      <c r="AR4" s="136">
        <v>274</v>
      </c>
      <c r="AS4" s="136">
        <v>40070</v>
      </c>
      <c r="AV4" s="139" t="s">
        <v>125</v>
      </c>
      <c r="AW4" s="139">
        <v>43</v>
      </c>
      <c r="AX4" s="139">
        <v>6450</v>
      </c>
    </row>
    <row r="5" spans="1:50" ht="15.75" customHeight="1" x14ac:dyDescent="0.4">
      <c r="A5" s="6" t="s">
        <v>108</v>
      </c>
      <c r="B5" s="8" t="s">
        <v>244</v>
      </c>
      <c r="C5" s="9" t="s">
        <v>6</v>
      </c>
      <c r="D5" s="78">
        <v>13.309999999999999</v>
      </c>
      <c r="E5" s="72">
        <v>25.994999999999997</v>
      </c>
      <c r="F5" s="126">
        <v>1</v>
      </c>
      <c r="G5" s="178">
        <f>6*5000</f>
        <v>30000</v>
      </c>
      <c r="H5" s="169" t="s">
        <v>242</v>
      </c>
      <c r="I5" s="170">
        <v>208</v>
      </c>
      <c r="J5" s="177">
        <f>I5/(G5/1000)</f>
        <v>6.9333333333333336</v>
      </c>
      <c r="K5" s="225">
        <f t="shared" si="2"/>
        <v>8.6649999999999987E-4</v>
      </c>
      <c r="L5" s="225">
        <f t="shared" si="3"/>
        <v>4.4366666666666664E-4</v>
      </c>
      <c r="M5" s="223" t="s">
        <v>233</v>
      </c>
      <c r="N5" s="224">
        <f t="shared" si="4"/>
        <v>0.18023199999999998</v>
      </c>
      <c r="O5" s="224">
        <f t="shared" si="5"/>
        <v>9.2282666666666666E-2</v>
      </c>
      <c r="AA5" s="152" t="s">
        <v>246</v>
      </c>
      <c r="AB5" s="153">
        <v>1</v>
      </c>
      <c r="AC5">
        <f>AS7</f>
        <v>31650</v>
      </c>
      <c r="AD5">
        <v>500</v>
      </c>
      <c r="AQ5" s="136" t="s">
        <v>125</v>
      </c>
      <c r="AR5" s="136">
        <v>36</v>
      </c>
      <c r="AS5" s="136">
        <v>5400</v>
      </c>
      <c r="AV5" s="139" t="s">
        <v>167</v>
      </c>
      <c r="AW5" s="139">
        <v>218</v>
      </c>
      <c r="AX5" s="139">
        <v>32280</v>
      </c>
    </row>
    <row r="6" spans="1:50" ht="15.75" customHeight="1" x14ac:dyDescent="0.4">
      <c r="A6" s="180"/>
      <c r="B6" s="75"/>
      <c r="C6" s="75"/>
      <c r="D6" s="79"/>
      <c r="E6" s="79"/>
      <c r="F6" s="75"/>
      <c r="G6" s="75"/>
      <c r="H6" s="75"/>
      <c r="I6" s="79"/>
      <c r="J6" s="79"/>
      <c r="K6" s="225"/>
      <c r="L6" s="225"/>
      <c r="M6" s="223"/>
      <c r="N6" s="224"/>
      <c r="O6" s="224"/>
      <c r="AA6" s="152" t="s">
        <v>8</v>
      </c>
      <c r="AB6" s="153">
        <v>1</v>
      </c>
      <c r="AC6">
        <f>AS13</f>
        <v>40060</v>
      </c>
      <c r="AD6">
        <v>500</v>
      </c>
      <c r="AQ6" s="142" t="s">
        <v>126</v>
      </c>
      <c r="AR6" s="136">
        <v>206</v>
      </c>
      <c r="AS6" s="136">
        <v>31650</v>
      </c>
      <c r="AV6" s="139" t="s">
        <v>168</v>
      </c>
      <c r="AW6" s="139">
        <v>146</v>
      </c>
      <c r="AX6" s="139">
        <v>21870</v>
      </c>
    </row>
    <row r="7" spans="1:50" ht="15.75" customHeight="1" x14ac:dyDescent="0.4">
      <c r="A7" s="172" t="s">
        <v>16</v>
      </c>
      <c r="B7" s="172" t="s">
        <v>225</v>
      </c>
      <c r="C7" s="173" t="s">
        <v>17</v>
      </c>
      <c r="D7" s="174">
        <v>764.5</v>
      </c>
      <c r="E7" s="72">
        <v>5769.5175000000008</v>
      </c>
      <c r="F7" s="126">
        <v>1</v>
      </c>
      <c r="G7" s="169">
        <v>25000</v>
      </c>
      <c r="H7" s="169" t="s">
        <v>234</v>
      </c>
      <c r="I7" s="170">
        <v>750</v>
      </c>
      <c r="J7" s="170">
        <f>I7/(G7/1000)</f>
        <v>30</v>
      </c>
      <c r="K7" s="225">
        <f>(E7/F7)/G7</f>
        <v>0.23078070000000003</v>
      </c>
      <c r="L7" s="225">
        <f>(D7/F7)/G7</f>
        <v>3.058E-2</v>
      </c>
      <c r="M7" s="223" t="s">
        <v>6</v>
      </c>
      <c r="N7" s="224">
        <f t="shared" ref="N7:N15" si="6">K7*I7</f>
        <v>173.08552500000002</v>
      </c>
      <c r="O7" s="224">
        <f t="shared" ref="O7:O15" si="7">L7*I7</f>
        <v>22.934999999999999</v>
      </c>
      <c r="AA7" s="152" t="s">
        <v>9</v>
      </c>
      <c r="AB7" s="153">
        <v>1</v>
      </c>
      <c r="AC7">
        <f>AS20</f>
        <v>21730</v>
      </c>
      <c r="AD7">
        <v>500</v>
      </c>
      <c r="AQ7" s="136" t="s">
        <v>127</v>
      </c>
      <c r="AR7" s="136">
        <v>206</v>
      </c>
      <c r="AS7" s="142">
        <v>31650</v>
      </c>
      <c r="AV7" s="147" t="s">
        <v>136</v>
      </c>
      <c r="AW7" s="139">
        <v>116</v>
      </c>
      <c r="AX7" s="147">
        <v>17370</v>
      </c>
    </row>
    <row r="8" spans="1:50" ht="15.75" customHeight="1" x14ac:dyDescent="0.4">
      <c r="A8" s="181" t="s">
        <v>212</v>
      </c>
      <c r="B8" s="171" t="s">
        <v>225</v>
      </c>
      <c r="C8" s="175" t="s">
        <v>17</v>
      </c>
      <c r="D8" s="176">
        <v>0</v>
      </c>
      <c r="E8" s="72">
        <v>1448.3200000000002</v>
      </c>
      <c r="F8" s="126">
        <v>1</v>
      </c>
      <c r="G8" s="167">
        <v>5000</v>
      </c>
      <c r="H8" s="167" t="s">
        <v>117</v>
      </c>
      <c r="I8" s="168">
        <v>56.52</v>
      </c>
      <c r="J8" s="168">
        <f>I8/(G8/1000)</f>
        <v>11.304</v>
      </c>
      <c r="K8" s="225">
        <f>(E8/F8)/G8</f>
        <v>0.28966400000000003</v>
      </c>
      <c r="L8" s="225">
        <f>(D8/F8)/G8</f>
        <v>0</v>
      </c>
      <c r="M8" s="223" t="s">
        <v>6</v>
      </c>
      <c r="N8" s="224">
        <f t="shared" si="6"/>
        <v>16.371809280000004</v>
      </c>
      <c r="O8" s="224">
        <f t="shared" si="7"/>
        <v>0</v>
      </c>
      <c r="AA8" s="154" t="s">
        <v>10</v>
      </c>
      <c r="AB8" s="155">
        <v>2</v>
      </c>
      <c r="AC8">
        <f>AS29+AS38+AS34</f>
        <v>91400</v>
      </c>
      <c r="AD8">
        <v>500</v>
      </c>
      <c r="AQ8" s="136" t="s">
        <v>128</v>
      </c>
      <c r="AR8" s="136">
        <v>178</v>
      </c>
      <c r="AS8" s="136">
        <v>26480</v>
      </c>
      <c r="AV8" s="139" t="s">
        <v>125</v>
      </c>
      <c r="AW8" s="139">
        <v>30</v>
      </c>
      <c r="AX8" s="139">
        <v>4500</v>
      </c>
    </row>
    <row r="9" spans="1:50" ht="15.75" customHeight="1" x14ac:dyDescent="0.4">
      <c r="A9" s="172" t="s">
        <v>260</v>
      </c>
      <c r="B9" s="172" t="s">
        <v>225</v>
      </c>
      <c r="C9" s="173" t="s">
        <v>17</v>
      </c>
      <c r="D9" s="174">
        <v>0</v>
      </c>
      <c r="E9" s="72">
        <v>514.40000000000009</v>
      </c>
      <c r="F9" s="126">
        <v>1</v>
      </c>
      <c r="G9" s="169">
        <v>1600</v>
      </c>
      <c r="H9" s="169" t="s">
        <v>261</v>
      </c>
      <c r="I9" s="170">
        <v>73.91</v>
      </c>
      <c r="J9" s="170">
        <f t="shared" ref="J9" si="8">I9/(G9/1000)</f>
        <v>46.193749999999994</v>
      </c>
      <c r="K9" s="225">
        <f t="shared" ref="K9" si="9">(E9/F9)/G9</f>
        <v>0.32150000000000006</v>
      </c>
      <c r="L9" s="225">
        <f t="shared" ref="L9" si="10">(D9/F9)/G9</f>
        <v>0</v>
      </c>
      <c r="M9" s="223" t="s">
        <v>233</v>
      </c>
      <c r="N9" s="224">
        <f t="shared" si="6"/>
        <v>23.762065000000003</v>
      </c>
      <c r="O9" s="224">
        <f t="shared" si="7"/>
        <v>0</v>
      </c>
      <c r="AA9" s="154" t="s">
        <v>12</v>
      </c>
      <c r="AB9" s="155">
        <v>2</v>
      </c>
      <c r="AC9">
        <f>AS32</f>
        <v>51420</v>
      </c>
      <c r="AD9">
        <v>500</v>
      </c>
      <c r="AQ9" s="136" t="s">
        <v>129</v>
      </c>
      <c r="AR9" s="136">
        <v>29</v>
      </c>
      <c r="AS9" s="136">
        <v>4350</v>
      </c>
      <c r="AV9" s="139" t="s">
        <v>169</v>
      </c>
      <c r="AW9" s="139">
        <v>227</v>
      </c>
      <c r="AX9" s="139">
        <v>33220</v>
      </c>
    </row>
    <row r="10" spans="1:50" ht="15.75" customHeight="1" x14ac:dyDescent="0.4">
      <c r="A10" s="181" t="s">
        <v>13</v>
      </c>
      <c r="B10" s="171" t="s">
        <v>225</v>
      </c>
      <c r="C10" s="175" t="s">
        <v>213</v>
      </c>
      <c r="D10" s="176">
        <v>0</v>
      </c>
      <c r="E10" s="72">
        <v>11680</v>
      </c>
      <c r="F10" s="126">
        <v>1</v>
      </c>
      <c r="G10" s="167">
        <v>12000</v>
      </c>
      <c r="H10" s="167" t="s">
        <v>238</v>
      </c>
      <c r="I10" s="168">
        <v>50.44</v>
      </c>
      <c r="J10" s="168">
        <f>I10/(G10/1000)</f>
        <v>4.2033333333333331</v>
      </c>
      <c r="K10" s="225">
        <f>(E10/F10)/G10</f>
        <v>0.97333333333333338</v>
      </c>
      <c r="L10" s="225">
        <f>(D10/F10)/G10</f>
        <v>0</v>
      </c>
      <c r="M10" s="223" t="s">
        <v>233</v>
      </c>
      <c r="N10" s="224">
        <f>K10*I10</f>
        <v>49.094933333333337</v>
      </c>
      <c r="O10" s="224">
        <f>L10*I10</f>
        <v>0</v>
      </c>
      <c r="AA10" s="154" t="s">
        <v>14</v>
      </c>
      <c r="AB10" s="155">
        <v>2</v>
      </c>
      <c r="AC10">
        <f>AS36</f>
        <v>29300</v>
      </c>
      <c r="AD10">
        <v>500</v>
      </c>
      <c r="AQ10" s="136" t="s">
        <v>130</v>
      </c>
      <c r="AR10" s="136">
        <v>149</v>
      </c>
      <c r="AS10" s="136">
        <v>22130</v>
      </c>
      <c r="AV10" s="139" t="s">
        <v>127</v>
      </c>
      <c r="AW10" s="139">
        <v>227</v>
      </c>
      <c r="AX10" s="139">
        <v>33220</v>
      </c>
    </row>
    <row r="11" spans="1:50" ht="15.75" customHeight="1" x14ac:dyDescent="0.4">
      <c r="A11" s="180"/>
      <c r="B11" s="75"/>
      <c r="C11" s="75"/>
      <c r="D11" s="79"/>
      <c r="E11" s="79"/>
      <c r="F11" s="75"/>
      <c r="G11" s="75"/>
      <c r="H11" s="75"/>
      <c r="I11" s="79"/>
      <c r="J11" s="79"/>
      <c r="K11" s="225"/>
      <c r="L11" s="225"/>
      <c r="M11" s="223"/>
      <c r="N11" s="224">
        <f t="shared" si="6"/>
        <v>0</v>
      </c>
      <c r="O11" s="224">
        <f t="shared" si="7"/>
        <v>0</v>
      </c>
      <c r="AA11" s="154" t="s">
        <v>15</v>
      </c>
      <c r="AB11" s="155">
        <v>2</v>
      </c>
      <c r="AC11">
        <f>AS40</f>
        <v>46770</v>
      </c>
      <c r="AD11">
        <v>500</v>
      </c>
      <c r="AQ11" s="136" t="s">
        <v>131</v>
      </c>
      <c r="AR11" s="136">
        <v>288</v>
      </c>
      <c r="AS11" s="136">
        <v>44860</v>
      </c>
      <c r="AV11" s="139" t="s">
        <v>170</v>
      </c>
      <c r="AW11" s="139">
        <v>149</v>
      </c>
      <c r="AX11" s="139">
        <v>22570</v>
      </c>
    </row>
    <row r="12" spans="1:50" ht="15.75" customHeight="1" x14ac:dyDescent="0.4">
      <c r="A12" s="6" t="s">
        <v>104</v>
      </c>
      <c r="B12" s="71" t="s">
        <v>220</v>
      </c>
      <c r="C12" s="7" t="s">
        <v>213</v>
      </c>
      <c r="D12" s="78">
        <v>0</v>
      </c>
      <c r="E12" s="72">
        <v>644.13333333333344</v>
      </c>
      <c r="F12" s="126">
        <v>1</v>
      </c>
      <c r="G12" s="169">
        <f>625*12</f>
        <v>7500</v>
      </c>
      <c r="H12" s="169" t="s">
        <v>236</v>
      </c>
      <c r="I12" s="170">
        <v>170</v>
      </c>
      <c r="J12" s="177">
        <f>I12/(G12/1000)</f>
        <v>22.666666666666668</v>
      </c>
      <c r="K12" s="225">
        <f>(E12/F12)/G12</f>
        <v>8.5884444444444458E-2</v>
      </c>
      <c r="L12" s="225">
        <f>(D12/F12)/G12</f>
        <v>0</v>
      </c>
      <c r="M12" s="223" t="s">
        <v>233</v>
      </c>
      <c r="N12" s="224">
        <f t="shared" si="6"/>
        <v>14.600355555555558</v>
      </c>
      <c r="O12" s="224">
        <f t="shared" si="7"/>
        <v>0</v>
      </c>
      <c r="AA12" s="156" t="s">
        <v>18</v>
      </c>
      <c r="AB12" s="157">
        <v>3</v>
      </c>
      <c r="AC12">
        <f>AS51+AS60</f>
        <v>68660</v>
      </c>
      <c r="AD12">
        <v>0</v>
      </c>
      <c r="AQ12" s="136" t="s">
        <v>125</v>
      </c>
      <c r="AR12" s="136">
        <v>32</v>
      </c>
      <c r="AS12" s="136">
        <v>4800</v>
      </c>
      <c r="AV12" s="139" t="s">
        <v>125</v>
      </c>
      <c r="AW12" s="139">
        <v>28</v>
      </c>
      <c r="AX12" s="139">
        <v>4200</v>
      </c>
    </row>
    <row r="13" spans="1:50" ht="15.75" customHeight="1" x14ac:dyDescent="0.4">
      <c r="A13" s="71" t="s">
        <v>218</v>
      </c>
      <c r="B13" s="74" t="s">
        <v>220</v>
      </c>
      <c r="C13" s="76" t="s">
        <v>17</v>
      </c>
      <c r="D13" s="80">
        <v>0</v>
      </c>
      <c r="E13" s="81">
        <v>6436.8000000000011</v>
      </c>
      <c r="F13" s="126">
        <v>1</v>
      </c>
      <c r="G13" s="169">
        <f>24*400</f>
        <v>9600</v>
      </c>
      <c r="H13" s="169" t="s">
        <v>237</v>
      </c>
      <c r="I13" s="170">
        <v>78.260000000000005</v>
      </c>
      <c r="J13" s="177">
        <f>I13/(G13/1000)</f>
        <v>8.1520833333333336</v>
      </c>
      <c r="K13" s="225">
        <f>(E13/F13)/G13</f>
        <v>0.6705000000000001</v>
      </c>
      <c r="L13" s="225">
        <f>(D13/F13)/G13</f>
        <v>0</v>
      </c>
      <c r="M13" s="223" t="s">
        <v>233</v>
      </c>
      <c r="N13" s="224">
        <f t="shared" si="6"/>
        <v>52.473330000000011</v>
      </c>
      <c r="O13" s="224">
        <f t="shared" si="7"/>
        <v>0</v>
      </c>
      <c r="AA13" s="156" t="s">
        <v>19</v>
      </c>
      <c r="AB13" s="157">
        <v>3</v>
      </c>
      <c r="AC13">
        <f>AS55</f>
        <v>30190</v>
      </c>
      <c r="AD13">
        <v>0</v>
      </c>
      <c r="AQ13" s="142" t="s">
        <v>132</v>
      </c>
      <c r="AR13" s="136">
        <v>256</v>
      </c>
      <c r="AS13" s="142">
        <v>40060</v>
      </c>
      <c r="AV13" s="147" t="s">
        <v>134</v>
      </c>
      <c r="AW13" s="139">
        <v>121</v>
      </c>
      <c r="AX13" s="147">
        <v>18370</v>
      </c>
    </row>
    <row r="14" spans="1:50" ht="15.75" customHeight="1" x14ac:dyDescent="0.4">
      <c r="A14" s="180"/>
      <c r="B14" s="75"/>
      <c r="C14" s="75"/>
      <c r="D14" s="79"/>
      <c r="E14" s="79"/>
      <c r="F14" s="75"/>
      <c r="G14" s="75"/>
      <c r="H14" s="75"/>
      <c r="I14" s="79"/>
      <c r="J14" s="79"/>
      <c r="K14" s="225"/>
      <c r="L14" s="225"/>
      <c r="M14" s="223"/>
      <c r="N14" s="224">
        <f t="shared" si="6"/>
        <v>0</v>
      </c>
      <c r="O14" s="224">
        <f t="shared" si="7"/>
        <v>0</v>
      </c>
      <c r="AA14" s="156" t="s">
        <v>20</v>
      </c>
      <c r="AB14" s="157">
        <v>3</v>
      </c>
      <c r="AC14">
        <f>AS62</f>
        <v>33550</v>
      </c>
      <c r="AD14">
        <v>0</v>
      </c>
      <c r="AQ14" s="136" t="s">
        <v>133</v>
      </c>
      <c r="AR14" s="136">
        <v>206</v>
      </c>
      <c r="AS14" s="136">
        <v>29440</v>
      </c>
      <c r="AV14" s="139" t="s">
        <v>171</v>
      </c>
      <c r="AW14" s="139">
        <v>338</v>
      </c>
      <c r="AX14" s="139">
        <v>48590</v>
      </c>
    </row>
    <row r="15" spans="1:50" ht="15.75" customHeight="1" x14ac:dyDescent="0.4">
      <c r="A15" s="6" t="s">
        <v>11</v>
      </c>
      <c r="B15" s="6" t="s">
        <v>226</v>
      </c>
      <c r="C15" s="164" t="s">
        <v>213</v>
      </c>
      <c r="D15" s="78">
        <v>135716.66666666666</v>
      </c>
      <c r="E15" s="72">
        <v>906768.5</v>
      </c>
      <c r="F15" s="126">
        <v>1</v>
      </c>
      <c r="G15" s="169">
        <v>1000</v>
      </c>
      <c r="H15" s="169" t="s">
        <v>6</v>
      </c>
      <c r="I15" s="170">
        <v>0</v>
      </c>
      <c r="J15" s="169">
        <f>I15/(G15/1000)</f>
        <v>0</v>
      </c>
      <c r="K15" s="225">
        <f>(E15/F15)/G15</f>
        <v>906.76850000000002</v>
      </c>
      <c r="L15" s="225">
        <f>(D15/F15)/G15</f>
        <v>135.71666666666667</v>
      </c>
      <c r="M15" s="223" t="s">
        <v>6</v>
      </c>
      <c r="N15" s="224">
        <f t="shared" si="6"/>
        <v>0</v>
      </c>
      <c r="O15" s="224">
        <f t="shared" si="7"/>
        <v>0</v>
      </c>
      <c r="AA15" s="156" t="s">
        <v>23</v>
      </c>
      <c r="AB15" s="157">
        <v>3</v>
      </c>
      <c r="AC15">
        <f>AS63</f>
        <v>16570</v>
      </c>
      <c r="AD15">
        <v>0</v>
      </c>
      <c r="AQ15" s="142" t="s">
        <v>134</v>
      </c>
      <c r="AR15" s="136">
        <v>206</v>
      </c>
      <c r="AS15" s="142">
        <v>29440</v>
      </c>
      <c r="AV15" s="147" t="s">
        <v>172</v>
      </c>
      <c r="AW15" s="139">
        <v>338</v>
      </c>
      <c r="AX15" s="147">
        <v>48590</v>
      </c>
    </row>
    <row r="16" spans="1:50" ht="15.75" customHeight="1" x14ac:dyDescent="0.4">
      <c r="A16" s="180"/>
      <c r="B16" s="75"/>
      <c r="C16" s="75"/>
      <c r="D16" s="79"/>
      <c r="E16" s="79"/>
      <c r="F16" s="75"/>
      <c r="G16" s="75"/>
      <c r="H16" s="75"/>
      <c r="I16" s="79"/>
      <c r="J16" s="79"/>
      <c r="K16" s="225"/>
      <c r="L16" s="225"/>
      <c r="M16" s="223"/>
      <c r="N16" s="224"/>
      <c r="O16" s="224"/>
      <c r="AA16" s="156" t="s">
        <v>21</v>
      </c>
      <c r="AB16" s="157">
        <v>3</v>
      </c>
      <c r="AC16">
        <f>AS65</f>
        <v>18930</v>
      </c>
      <c r="AD16">
        <v>0</v>
      </c>
      <c r="AQ16" s="136" t="s">
        <v>135</v>
      </c>
      <c r="AR16" s="136">
        <v>229</v>
      </c>
      <c r="AS16" s="136">
        <v>32140</v>
      </c>
      <c r="AV16" s="139" t="s">
        <v>173</v>
      </c>
      <c r="AW16" s="139">
        <v>120</v>
      </c>
      <c r="AX16" s="139">
        <v>18710</v>
      </c>
    </row>
    <row r="17" spans="1:50" ht="15.75" customHeight="1" x14ac:dyDescent="0.4">
      <c r="A17" s="172" t="s">
        <v>35</v>
      </c>
      <c r="B17" s="172" t="s">
        <v>223</v>
      </c>
      <c r="C17" s="173" t="s">
        <v>17</v>
      </c>
      <c r="D17" s="174">
        <v>0</v>
      </c>
      <c r="E17" s="72">
        <v>17.811333333333334</v>
      </c>
      <c r="F17" s="126">
        <v>1</v>
      </c>
      <c r="G17" s="169">
        <v>1000</v>
      </c>
      <c r="H17" s="169" t="s">
        <v>232</v>
      </c>
      <c r="I17" s="170">
        <v>14</v>
      </c>
      <c r="J17" s="177">
        <f t="shared" ref="J17:J23" si="11">I17/(G17/1000)</f>
        <v>14</v>
      </c>
      <c r="K17" s="225">
        <f t="shared" ref="K17:K26" si="12">(E17/F17)/G17</f>
        <v>1.7811333333333335E-2</v>
      </c>
      <c r="L17" s="225">
        <f t="shared" ref="L17:L26" si="13">(D17/F17)/G17</f>
        <v>0</v>
      </c>
      <c r="M17" s="223" t="s">
        <v>6</v>
      </c>
      <c r="N17" s="224">
        <f t="shared" ref="N17:N26" si="14">K17*I17</f>
        <v>0.2493586666666667</v>
      </c>
      <c r="O17" s="224">
        <f t="shared" ref="O17:O26" si="15">L17*I17</f>
        <v>0</v>
      </c>
      <c r="AA17" s="158" t="s">
        <v>25</v>
      </c>
      <c r="AB17" s="159">
        <v>4</v>
      </c>
      <c r="AC17">
        <f>AX7+AX17</f>
        <v>36080</v>
      </c>
      <c r="AD17">
        <v>0</v>
      </c>
      <c r="AQ17" s="142" t="s">
        <v>136</v>
      </c>
      <c r="AR17" s="136">
        <v>229</v>
      </c>
      <c r="AS17" s="142">
        <v>32140</v>
      </c>
      <c r="AV17" s="147" t="s">
        <v>136</v>
      </c>
      <c r="AW17" s="139">
        <v>120</v>
      </c>
      <c r="AX17" s="147">
        <v>18710</v>
      </c>
    </row>
    <row r="18" spans="1:50" ht="15.75" customHeight="1" x14ac:dyDescent="0.4">
      <c r="A18" s="172" t="s">
        <v>27</v>
      </c>
      <c r="B18" s="172" t="s">
        <v>223</v>
      </c>
      <c r="C18" s="173" t="s">
        <v>17</v>
      </c>
      <c r="D18" s="174">
        <v>173.20266666666666</v>
      </c>
      <c r="E18" s="72">
        <v>1070.925</v>
      </c>
      <c r="F18" s="126">
        <v>1</v>
      </c>
      <c r="G18" s="169">
        <v>1000</v>
      </c>
      <c r="H18" s="169" t="s">
        <v>232</v>
      </c>
      <c r="I18" s="170">
        <v>31</v>
      </c>
      <c r="J18" s="177">
        <f t="shared" si="11"/>
        <v>31</v>
      </c>
      <c r="K18" s="225">
        <f t="shared" si="12"/>
        <v>1.0709249999999999</v>
      </c>
      <c r="L18" s="225">
        <f t="shared" si="13"/>
        <v>0.17320266666666667</v>
      </c>
      <c r="M18" s="223" t="s">
        <v>6</v>
      </c>
      <c r="N18" s="224">
        <f t="shared" si="14"/>
        <v>33.198674999999994</v>
      </c>
      <c r="O18" s="224">
        <f t="shared" si="15"/>
        <v>5.3692826666666669</v>
      </c>
      <c r="AA18" s="158" t="s">
        <v>26</v>
      </c>
      <c r="AB18" s="159">
        <v>4</v>
      </c>
      <c r="AC18">
        <f>AX21</f>
        <v>26620</v>
      </c>
      <c r="AD18">
        <v>0</v>
      </c>
      <c r="AQ18" s="136" t="s">
        <v>137</v>
      </c>
      <c r="AR18" s="136">
        <v>178</v>
      </c>
      <c r="AS18" s="136">
        <v>26100</v>
      </c>
      <c r="AV18" s="139" t="s">
        <v>174</v>
      </c>
      <c r="AW18" s="139">
        <v>358</v>
      </c>
      <c r="AX18" s="139">
        <v>51890</v>
      </c>
    </row>
    <row r="19" spans="1:50" ht="15.75" customHeight="1" x14ac:dyDescent="0.4">
      <c r="A19" s="181" t="s">
        <v>210</v>
      </c>
      <c r="B19" s="171" t="s">
        <v>223</v>
      </c>
      <c r="C19" s="175" t="s">
        <v>17</v>
      </c>
      <c r="D19" s="176">
        <v>0</v>
      </c>
      <c r="E19" s="72">
        <v>64.413333333333341</v>
      </c>
      <c r="F19" s="126">
        <v>1</v>
      </c>
      <c r="G19" s="169">
        <v>1000</v>
      </c>
      <c r="H19" s="169" t="s">
        <v>232</v>
      </c>
      <c r="I19" s="170">
        <v>8</v>
      </c>
      <c r="J19" s="177">
        <f t="shared" si="11"/>
        <v>8</v>
      </c>
      <c r="K19" s="225">
        <f t="shared" si="12"/>
        <v>6.4413333333333336E-2</v>
      </c>
      <c r="L19" s="225">
        <f t="shared" si="13"/>
        <v>0</v>
      </c>
      <c r="M19" s="223" t="s">
        <v>6</v>
      </c>
      <c r="N19" s="224">
        <f t="shared" si="14"/>
        <v>0.51530666666666669</v>
      </c>
      <c r="O19" s="224">
        <f t="shared" si="15"/>
        <v>0</v>
      </c>
      <c r="AA19" s="158" t="s">
        <v>28</v>
      </c>
      <c r="AB19" s="159">
        <v>4</v>
      </c>
      <c r="AC19">
        <f>AX13+AX15</f>
        <v>66960</v>
      </c>
      <c r="AD19">
        <v>0</v>
      </c>
      <c r="AQ19" s="136" t="s">
        <v>138</v>
      </c>
      <c r="AR19" s="136">
        <v>178</v>
      </c>
      <c r="AS19" s="136">
        <v>26100</v>
      </c>
      <c r="AV19" s="139" t="s">
        <v>175</v>
      </c>
      <c r="AW19" s="139">
        <v>358</v>
      </c>
      <c r="AX19" s="139">
        <v>51890</v>
      </c>
    </row>
    <row r="20" spans="1:50" ht="15.75" customHeight="1" x14ac:dyDescent="0.4">
      <c r="A20" s="172" t="s">
        <v>32</v>
      </c>
      <c r="B20" s="172" t="s">
        <v>223</v>
      </c>
      <c r="C20" s="173" t="s">
        <v>17</v>
      </c>
      <c r="D20" s="174">
        <v>0</v>
      </c>
      <c r="E20" s="72">
        <v>37.900000000000006</v>
      </c>
      <c r="F20" s="126">
        <v>1</v>
      </c>
      <c r="G20" s="169">
        <v>1000</v>
      </c>
      <c r="H20" s="169" t="s">
        <v>232</v>
      </c>
      <c r="I20" s="170">
        <v>15</v>
      </c>
      <c r="J20" s="177">
        <f t="shared" si="11"/>
        <v>15</v>
      </c>
      <c r="K20" s="225">
        <f t="shared" si="12"/>
        <v>3.7900000000000003E-2</v>
      </c>
      <c r="L20" s="225">
        <f t="shared" si="13"/>
        <v>0</v>
      </c>
      <c r="M20" s="223" t="s">
        <v>6</v>
      </c>
      <c r="N20" s="224">
        <f t="shared" si="14"/>
        <v>0.56850000000000001</v>
      </c>
      <c r="O20" s="224">
        <f t="shared" si="15"/>
        <v>0</v>
      </c>
      <c r="AA20" s="158" t="s">
        <v>29</v>
      </c>
      <c r="AB20" s="159">
        <v>4</v>
      </c>
      <c r="AC20">
        <f>AX22</f>
        <v>23240</v>
      </c>
      <c r="AD20">
        <v>0</v>
      </c>
      <c r="AQ20" s="142" t="s">
        <v>139</v>
      </c>
      <c r="AR20" s="136">
        <v>147</v>
      </c>
      <c r="AS20" s="142">
        <v>21730</v>
      </c>
      <c r="AV20" s="139" t="s">
        <v>176</v>
      </c>
      <c r="AW20" s="139">
        <v>179</v>
      </c>
      <c r="AX20" s="139">
        <v>26620</v>
      </c>
    </row>
    <row r="21" spans="1:50" ht="15.75" customHeight="1" x14ac:dyDescent="0.4">
      <c r="A21" s="181" t="s">
        <v>30</v>
      </c>
      <c r="B21" s="171" t="s">
        <v>223</v>
      </c>
      <c r="C21" s="175" t="s">
        <v>17</v>
      </c>
      <c r="D21" s="176">
        <v>0</v>
      </c>
      <c r="E21" s="72">
        <v>75.800000000000011</v>
      </c>
      <c r="F21" s="126">
        <v>1</v>
      </c>
      <c r="G21" s="169">
        <v>1000</v>
      </c>
      <c r="H21" s="169" t="s">
        <v>232</v>
      </c>
      <c r="I21" s="170">
        <v>15</v>
      </c>
      <c r="J21" s="177">
        <f t="shared" si="11"/>
        <v>15</v>
      </c>
      <c r="K21" s="225">
        <f t="shared" si="12"/>
        <v>7.5800000000000006E-2</v>
      </c>
      <c r="L21" s="225">
        <f t="shared" si="13"/>
        <v>0</v>
      </c>
      <c r="M21" s="223" t="s">
        <v>6</v>
      </c>
      <c r="N21" s="224">
        <f t="shared" si="14"/>
        <v>1.137</v>
      </c>
      <c r="O21" s="224">
        <f t="shared" si="15"/>
        <v>0</v>
      </c>
      <c r="AA21" s="160" t="s">
        <v>31</v>
      </c>
      <c r="AB21" s="161">
        <v>5</v>
      </c>
      <c r="AC21">
        <f>AX31+AX42</f>
        <v>64620</v>
      </c>
      <c r="AD21">
        <v>0</v>
      </c>
      <c r="AQ21" s="136" t="s">
        <v>127</v>
      </c>
      <c r="AR21" s="136">
        <v>147</v>
      </c>
      <c r="AS21" s="136">
        <v>21730</v>
      </c>
      <c r="AV21" s="147" t="s">
        <v>177</v>
      </c>
      <c r="AW21" s="139">
        <v>179</v>
      </c>
      <c r="AX21" s="147">
        <v>26620</v>
      </c>
    </row>
    <row r="22" spans="1:50" ht="15.75" customHeight="1" x14ac:dyDescent="0.4">
      <c r="A22" s="181" t="s">
        <v>42</v>
      </c>
      <c r="B22" s="171" t="s">
        <v>223</v>
      </c>
      <c r="C22" s="175" t="s">
        <v>17</v>
      </c>
      <c r="D22" s="176">
        <v>0</v>
      </c>
      <c r="E22" s="72">
        <v>11.386666666666667</v>
      </c>
      <c r="F22" s="126">
        <v>1</v>
      </c>
      <c r="G22" s="169">
        <v>1000</v>
      </c>
      <c r="H22" s="169" t="s">
        <v>232</v>
      </c>
      <c r="I22" s="170">
        <v>125</v>
      </c>
      <c r="J22" s="177">
        <f t="shared" si="11"/>
        <v>125</v>
      </c>
      <c r="K22" s="225">
        <f t="shared" si="12"/>
        <v>1.1386666666666666E-2</v>
      </c>
      <c r="L22" s="225">
        <f t="shared" si="13"/>
        <v>0</v>
      </c>
      <c r="M22" s="223" t="s">
        <v>6</v>
      </c>
      <c r="N22" s="224">
        <f t="shared" si="14"/>
        <v>1.4233333333333333</v>
      </c>
      <c r="O22" s="224">
        <f t="shared" si="15"/>
        <v>0</v>
      </c>
      <c r="AA22" s="160" t="s">
        <v>33</v>
      </c>
      <c r="AB22" s="161">
        <v>5</v>
      </c>
      <c r="AC22">
        <f>AX34</f>
        <v>25370</v>
      </c>
      <c r="AD22">
        <v>0</v>
      </c>
      <c r="AQ22" s="136" t="s">
        <v>140</v>
      </c>
      <c r="AR22" s="136">
        <v>71</v>
      </c>
      <c r="AS22" s="136">
        <v>71</v>
      </c>
      <c r="AV22" s="147" t="s">
        <v>178</v>
      </c>
      <c r="AW22" s="139">
        <v>158</v>
      </c>
      <c r="AX22" s="147">
        <v>23240</v>
      </c>
    </row>
    <row r="23" spans="1:50" ht="15.75" customHeight="1" x14ac:dyDescent="0.4">
      <c r="A23" s="172" t="s">
        <v>256</v>
      </c>
      <c r="B23" s="172" t="s">
        <v>223</v>
      </c>
      <c r="C23" s="173" t="s">
        <v>17</v>
      </c>
      <c r="D23" s="174">
        <v>0</v>
      </c>
      <c r="E23" s="72">
        <v>321.50000000000006</v>
      </c>
      <c r="F23" s="126">
        <v>1</v>
      </c>
      <c r="G23" s="169">
        <v>2400</v>
      </c>
      <c r="H23" s="169" t="s">
        <v>257</v>
      </c>
      <c r="I23" s="170">
        <v>105</v>
      </c>
      <c r="J23" s="177">
        <f t="shared" si="11"/>
        <v>43.75</v>
      </c>
      <c r="K23" s="225">
        <f t="shared" si="12"/>
        <v>0.13395833333333335</v>
      </c>
      <c r="L23" s="225">
        <f t="shared" si="13"/>
        <v>0</v>
      </c>
      <c r="M23" s="223" t="s">
        <v>258</v>
      </c>
      <c r="N23" s="224">
        <f t="shared" si="14"/>
        <v>14.065625000000001</v>
      </c>
      <c r="O23" s="224">
        <f t="shared" si="15"/>
        <v>0</v>
      </c>
      <c r="AA23" s="160" t="s">
        <v>34</v>
      </c>
      <c r="AB23" s="161">
        <v>5</v>
      </c>
      <c r="AC23">
        <f>AX36</f>
        <v>45840</v>
      </c>
      <c r="AD23">
        <v>0</v>
      </c>
      <c r="AV23" s="139" t="s">
        <v>127</v>
      </c>
      <c r="AW23" s="139">
        <v>158</v>
      </c>
      <c r="AX23" s="139">
        <v>23240</v>
      </c>
    </row>
    <row r="24" spans="1:50" ht="15.75" customHeight="1" x14ac:dyDescent="0.4">
      <c r="A24" s="181" t="s">
        <v>24</v>
      </c>
      <c r="B24" s="171" t="s">
        <v>223</v>
      </c>
      <c r="C24" s="175" t="s">
        <v>17</v>
      </c>
      <c r="D24" s="176">
        <v>0</v>
      </c>
      <c r="E24" s="72">
        <v>154.48000000000002</v>
      </c>
      <c r="F24" s="126">
        <v>1</v>
      </c>
      <c r="G24" s="169">
        <f>20*24*12</f>
        <v>5760</v>
      </c>
      <c r="H24" s="169" t="s">
        <v>233</v>
      </c>
      <c r="I24" s="170">
        <v>88</v>
      </c>
      <c r="J24" s="177">
        <f>I24/5.76</f>
        <v>15.277777777777779</v>
      </c>
      <c r="K24" s="225">
        <f t="shared" si="12"/>
        <v>2.6819444444444448E-2</v>
      </c>
      <c r="L24" s="225">
        <f t="shared" si="13"/>
        <v>0</v>
      </c>
      <c r="M24" s="223" t="s">
        <v>233</v>
      </c>
      <c r="N24" s="224">
        <f t="shared" si="14"/>
        <v>2.3601111111111113</v>
      </c>
      <c r="O24" s="224">
        <f t="shared" si="15"/>
        <v>0</v>
      </c>
      <c r="AA24" s="160" t="s">
        <v>36</v>
      </c>
      <c r="AB24" s="161">
        <v>5</v>
      </c>
      <c r="AC24">
        <f>AX28</f>
        <v>17080</v>
      </c>
      <c r="AD24">
        <v>0</v>
      </c>
      <c r="AQ24" s="137" t="s">
        <v>141</v>
      </c>
      <c r="AR24" s="137">
        <v>350</v>
      </c>
      <c r="AS24" s="137">
        <v>52120</v>
      </c>
      <c r="AV24" s="139" t="s">
        <v>179</v>
      </c>
      <c r="AW24" s="139">
        <v>74</v>
      </c>
      <c r="AX24" s="139">
        <v>74</v>
      </c>
    </row>
    <row r="25" spans="1:50" ht="15.75" customHeight="1" x14ac:dyDescent="0.4">
      <c r="A25" s="172" t="s">
        <v>44</v>
      </c>
      <c r="B25" s="172" t="s">
        <v>223</v>
      </c>
      <c r="C25" s="173" t="s">
        <v>17</v>
      </c>
      <c r="D25" s="174">
        <v>0</v>
      </c>
      <c r="E25" s="72">
        <v>11.386666666666667</v>
      </c>
      <c r="F25" s="126">
        <v>1</v>
      </c>
      <c r="G25" s="169">
        <v>1000</v>
      </c>
      <c r="H25" s="169" t="s">
        <v>232</v>
      </c>
      <c r="I25" s="170">
        <v>10</v>
      </c>
      <c r="J25" s="177">
        <f>I25/(G25/1000)</f>
        <v>10</v>
      </c>
      <c r="K25" s="225">
        <f t="shared" si="12"/>
        <v>1.1386666666666666E-2</v>
      </c>
      <c r="L25" s="225">
        <f t="shared" si="13"/>
        <v>0</v>
      </c>
      <c r="M25" s="223" t="s">
        <v>6</v>
      </c>
      <c r="N25" s="224">
        <f t="shared" si="14"/>
        <v>0.11386666666666667</v>
      </c>
      <c r="O25" s="224">
        <f t="shared" si="15"/>
        <v>0</v>
      </c>
      <c r="AA25" s="160" t="s">
        <v>37</v>
      </c>
      <c r="AB25" s="161">
        <v>5</v>
      </c>
      <c r="AC25">
        <f>AX39</f>
        <v>24150</v>
      </c>
      <c r="AD25">
        <v>0</v>
      </c>
      <c r="AQ25" s="137" t="s">
        <v>124</v>
      </c>
      <c r="AR25" s="137">
        <v>325</v>
      </c>
      <c r="AS25" s="137">
        <v>48370</v>
      </c>
    </row>
    <row r="26" spans="1:50" ht="15.75" customHeight="1" x14ac:dyDescent="0.4">
      <c r="A26" s="181" t="s">
        <v>22</v>
      </c>
      <c r="B26" s="171" t="s">
        <v>223</v>
      </c>
      <c r="C26" s="175" t="s">
        <v>17</v>
      </c>
      <c r="D26" s="176">
        <v>1944.3000000000002</v>
      </c>
      <c r="E26" s="72">
        <v>13876.246666666668</v>
      </c>
      <c r="F26" s="126">
        <v>1</v>
      </c>
      <c r="G26" s="169">
        <v>50000</v>
      </c>
      <c r="H26" s="169" t="s">
        <v>231</v>
      </c>
      <c r="I26" s="170">
        <v>37</v>
      </c>
      <c r="J26" s="177">
        <f>I26/(G26/1000)</f>
        <v>0.74</v>
      </c>
      <c r="K26" s="225">
        <f t="shared" si="12"/>
        <v>0.27752493333333333</v>
      </c>
      <c r="L26" s="225">
        <f t="shared" si="13"/>
        <v>3.8886000000000004E-2</v>
      </c>
      <c r="M26" s="223" t="s">
        <v>6</v>
      </c>
      <c r="N26" s="224">
        <f t="shared" si="14"/>
        <v>10.268422533333334</v>
      </c>
      <c r="O26" s="224">
        <f t="shared" si="15"/>
        <v>1.4387820000000002</v>
      </c>
      <c r="AA26" s="160" t="s">
        <v>38</v>
      </c>
      <c r="AB26" s="161">
        <v>5</v>
      </c>
      <c r="AC26">
        <f>AX47</f>
        <v>27480</v>
      </c>
      <c r="AD26">
        <v>0</v>
      </c>
      <c r="AQ26" s="137" t="s">
        <v>125</v>
      </c>
      <c r="AR26" s="137">
        <v>25</v>
      </c>
      <c r="AS26" s="137">
        <v>3750</v>
      </c>
      <c r="AV26" s="140" t="s">
        <v>180</v>
      </c>
      <c r="AW26" s="140">
        <v>103</v>
      </c>
      <c r="AX26" s="140">
        <v>103</v>
      </c>
    </row>
    <row r="27" spans="1:50" ht="15.75" customHeight="1" x14ac:dyDescent="0.35">
      <c r="A27" s="180"/>
      <c r="B27" s="75"/>
      <c r="C27" s="75"/>
      <c r="D27" s="79"/>
      <c r="E27" s="79"/>
      <c r="F27" s="75"/>
      <c r="G27" s="75"/>
      <c r="H27" s="75"/>
      <c r="I27" s="79"/>
      <c r="J27" s="79"/>
      <c r="K27" s="79"/>
      <c r="L27" s="79"/>
      <c r="M27" s="79"/>
      <c r="N27" s="79"/>
      <c r="O27" s="79"/>
      <c r="AA27" s="162" t="s">
        <v>39</v>
      </c>
      <c r="AB27" s="163">
        <v>6</v>
      </c>
      <c r="AC27">
        <f>AX56+AX68</f>
        <v>72420</v>
      </c>
      <c r="AD27">
        <v>0</v>
      </c>
      <c r="AQ27" s="137" t="s">
        <v>142</v>
      </c>
      <c r="AR27" s="137">
        <v>340</v>
      </c>
      <c r="AS27" s="137">
        <v>48610</v>
      </c>
      <c r="AV27" s="140" t="s">
        <v>181</v>
      </c>
      <c r="AW27" s="140">
        <v>139</v>
      </c>
      <c r="AX27" s="140">
        <v>20230</v>
      </c>
    </row>
    <row r="28" spans="1:50" ht="15.75" customHeight="1" x14ac:dyDescent="0.4">
      <c r="A28" s="172" t="s">
        <v>106</v>
      </c>
      <c r="B28" s="172" t="s">
        <v>224</v>
      </c>
      <c r="C28" s="173" t="s">
        <v>17</v>
      </c>
      <c r="D28" s="174">
        <v>0</v>
      </c>
      <c r="E28" s="72">
        <v>1.3740000000000001</v>
      </c>
      <c r="F28" s="126">
        <v>1</v>
      </c>
      <c r="G28" s="167">
        <v>100</v>
      </c>
      <c r="H28" s="167" t="s">
        <v>241</v>
      </c>
      <c r="I28" s="168">
        <v>2.25</v>
      </c>
      <c r="J28" s="167">
        <f>I28/(G28/1000)</f>
        <v>22.5</v>
      </c>
      <c r="K28" s="225">
        <f>(E28/F28)/G28</f>
        <v>1.374E-2</v>
      </c>
      <c r="L28" s="225">
        <f>(D28/F28)/G28</f>
        <v>0</v>
      </c>
      <c r="M28" s="223" t="s">
        <v>251</v>
      </c>
      <c r="N28" s="224">
        <f>K28*I28</f>
        <v>3.0915000000000002E-2</v>
      </c>
      <c r="O28" s="224">
        <f>L28*I28</f>
        <v>0</v>
      </c>
      <c r="AA28" s="162" t="s">
        <v>41</v>
      </c>
      <c r="AB28" s="163">
        <v>6</v>
      </c>
      <c r="AC28">
        <f>AX54</f>
        <v>29070</v>
      </c>
      <c r="AD28">
        <v>0</v>
      </c>
      <c r="AQ28" s="137" t="s">
        <v>129</v>
      </c>
      <c r="AR28" s="137">
        <v>22</v>
      </c>
      <c r="AS28" s="137">
        <v>3300</v>
      </c>
      <c r="AV28" s="145" t="s">
        <v>182</v>
      </c>
      <c r="AW28" s="140">
        <v>118</v>
      </c>
      <c r="AX28" s="145">
        <v>17080</v>
      </c>
    </row>
    <row r="29" spans="1:50" ht="15.75" customHeight="1" x14ac:dyDescent="0.4">
      <c r="A29" s="181" t="s">
        <v>47</v>
      </c>
      <c r="B29" s="171" t="s">
        <v>224</v>
      </c>
      <c r="C29" s="175" t="s">
        <v>17</v>
      </c>
      <c r="D29" s="176">
        <v>0</v>
      </c>
      <c r="E29" s="72">
        <v>8.0500000000000007</v>
      </c>
      <c r="F29" s="126">
        <v>1</v>
      </c>
      <c r="G29" s="167">
        <v>100</v>
      </c>
      <c r="H29" s="167" t="s">
        <v>241</v>
      </c>
      <c r="I29" s="168">
        <v>2.25</v>
      </c>
      <c r="J29" s="167">
        <f>I29/(G29/1000)</f>
        <v>22.5</v>
      </c>
      <c r="K29" s="225">
        <f>(E29/F29)/G29</f>
        <v>8.0500000000000002E-2</v>
      </c>
      <c r="L29" s="225">
        <f>(D29/F29)/G29</f>
        <v>0</v>
      </c>
      <c r="M29" s="223" t="s">
        <v>251</v>
      </c>
      <c r="N29" s="224">
        <f>K29*I29</f>
        <v>0.18112500000000001</v>
      </c>
      <c r="O29" s="224">
        <f>L29*I29</f>
        <v>0</v>
      </c>
      <c r="AA29" s="162" t="s">
        <v>40</v>
      </c>
      <c r="AB29" s="163">
        <v>6</v>
      </c>
      <c r="AC29">
        <f>AX63</f>
        <v>19800</v>
      </c>
      <c r="AD29">
        <v>0</v>
      </c>
      <c r="AQ29" s="143" t="s">
        <v>143</v>
      </c>
      <c r="AR29" s="137">
        <v>318</v>
      </c>
      <c r="AS29" s="143">
        <v>45310</v>
      </c>
      <c r="AV29" s="140" t="s">
        <v>129</v>
      </c>
      <c r="AW29" s="140">
        <v>21</v>
      </c>
      <c r="AX29" s="140">
        <v>3150</v>
      </c>
    </row>
    <row r="30" spans="1:50" ht="15.75" customHeight="1" x14ac:dyDescent="0.4">
      <c r="A30" s="172" t="s">
        <v>48</v>
      </c>
      <c r="B30" s="172" t="s">
        <v>224</v>
      </c>
      <c r="C30" s="173" t="s">
        <v>17</v>
      </c>
      <c r="D30" s="174">
        <v>0</v>
      </c>
      <c r="E30" s="72">
        <v>35.480000000000004</v>
      </c>
      <c r="F30" s="126">
        <v>1</v>
      </c>
      <c r="G30" s="167">
        <v>100</v>
      </c>
      <c r="H30" s="167" t="s">
        <v>235</v>
      </c>
      <c r="I30" s="168">
        <v>3.5</v>
      </c>
      <c r="J30" s="167">
        <f>I30/(G30/1000)</f>
        <v>35</v>
      </c>
      <c r="K30" s="225">
        <f>(E30/F30)/G30</f>
        <v>0.35480000000000006</v>
      </c>
      <c r="L30" s="225">
        <f>(D30/F30)/G30</f>
        <v>0</v>
      </c>
      <c r="M30" s="223" t="s">
        <v>252</v>
      </c>
      <c r="N30" s="224">
        <f>K30*I30</f>
        <v>1.2418000000000002</v>
      </c>
      <c r="O30" s="224">
        <f>L30*I30</f>
        <v>0</v>
      </c>
      <c r="AA30" s="162" t="s">
        <v>43</v>
      </c>
      <c r="AB30" s="163">
        <v>6</v>
      </c>
      <c r="AC30">
        <f>AX66</f>
        <v>56060</v>
      </c>
      <c r="AD30">
        <v>0</v>
      </c>
      <c r="AQ30" s="137" t="s">
        <v>144</v>
      </c>
      <c r="AR30" s="137">
        <v>366</v>
      </c>
      <c r="AS30" s="137">
        <v>55920</v>
      </c>
      <c r="AV30" s="140" t="s">
        <v>183</v>
      </c>
      <c r="AW30" s="140">
        <v>380</v>
      </c>
      <c r="AX30" s="140">
        <v>54700</v>
      </c>
    </row>
    <row r="31" spans="1:50" ht="15.75" customHeight="1" x14ac:dyDescent="0.4">
      <c r="A31" s="181" t="s">
        <v>239</v>
      </c>
      <c r="B31" s="171" t="s">
        <v>224</v>
      </c>
      <c r="C31" s="175" t="s">
        <v>17</v>
      </c>
      <c r="D31" s="176">
        <v>62.38666666666667</v>
      </c>
      <c r="E31" s="72">
        <v>209.14666666666662</v>
      </c>
      <c r="F31" s="126">
        <v>1</v>
      </c>
      <c r="G31" s="167">
        <v>100</v>
      </c>
      <c r="H31" s="167" t="s">
        <v>235</v>
      </c>
      <c r="I31" s="168">
        <v>2.25</v>
      </c>
      <c r="J31" s="167">
        <f>I31/(G31/1000)</f>
        <v>22.5</v>
      </c>
      <c r="K31" s="225">
        <f>(E31/F31)/G31</f>
        <v>2.0914666666666664</v>
      </c>
      <c r="L31" s="225">
        <f>(D31/F31)/G31</f>
        <v>0.62386666666666668</v>
      </c>
      <c r="M31" s="223" t="s">
        <v>252</v>
      </c>
      <c r="N31" s="224">
        <f>K31*I31</f>
        <v>4.7057999999999991</v>
      </c>
      <c r="O31" s="224">
        <f>L31*I31</f>
        <v>1.4036999999999999</v>
      </c>
      <c r="AA31" s="162" t="s">
        <v>46</v>
      </c>
      <c r="AB31" s="163">
        <v>6</v>
      </c>
      <c r="AC31">
        <f>AX69</f>
        <v>18470</v>
      </c>
      <c r="AD31">
        <v>0</v>
      </c>
      <c r="AQ31" s="137" t="s">
        <v>125</v>
      </c>
      <c r="AR31" s="137">
        <v>30</v>
      </c>
      <c r="AS31" s="137">
        <v>4500</v>
      </c>
      <c r="AV31" s="145" t="s">
        <v>136</v>
      </c>
      <c r="AW31" s="140">
        <v>340</v>
      </c>
      <c r="AX31" s="145">
        <v>48700</v>
      </c>
    </row>
    <row r="32" spans="1:50" ht="15.75" customHeight="1" x14ac:dyDescent="0.4">
      <c r="A32" s="180"/>
      <c r="B32" s="75"/>
      <c r="C32" s="75"/>
      <c r="D32" s="79"/>
      <c r="E32" s="79"/>
      <c r="F32" s="75"/>
      <c r="G32" s="75"/>
      <c r="H32" s="75"/>
      <c r="I32" s="79"/>
      <c r="J32" s="79"/>
      <c r="K32" s="79"/>
      <c r="L32" s="79"/>
      <c r="M32" s="79"/>
      <c r="N32" s="79"/>
      <c r="O32" s="79"/>
      <c r="AA32" s="162" t="s">
        <v>45</v>
      </c>
      <c r="AB32" s="163">
        <v>6</v>
      </c>
      <c r="AC32">
        <f>AX71</f>
        <v>32620</v>
      </c>
      <c r="AD32">
        <v>0</v>
      </c>
      <c r="AQ32" s="143" t="s">
        <v>134</v>
      </c>
      <c r="AR32" s="137">
        <v>336</v>
      </c>
      <c r="AS32" s="143">
        <v>51420</v>
      </c>
      <c r="AV32" s="140" t="s">
        <v>125</v>
      </c>
      <c r="AW32" s="140">
        <v>40</v>
      </c>
      <c r="AX32" s="140">
        <v>6000</v>
      </c>
    </row>
    <row r="33" spans="1:50" ht="15.75" customHeight="1" x14ac:dyDescent="0.4">
      <c r="A33" s="172" t="s">
        <v>211</v>
      </c>
      <c r="B33" s="172" t="s">
        <v>221</v>
      </c>
      <c r="C33" s="173" t="s">
        <v>17</v>
      </c>
      <c r="D33" s="174">
        <v>0</v>
      </c>
      <c r="E33" s="72">
        <v>455.4666666666667</v>
      </c>
      <c r="F33" s="126">
        <v>1</v>
      </c>
      <c r="G33" s="169">
        <f>12*400</f>
        <v>4800</v>
      </c>
      <c r="H33" s="169" t="s">
        <v>240</v>
      </c>
      <c r="I33" s="170">
        <v>80</v>
      </c>
      <c r="J33" s="177">
        <f t="shared" ref="J33" si="16">I33/(G33/1000)</f>
        <v>16.666666666666668</v>
      </c>
      <c r="K33" s="225">
        <f>(E33/F33)/G33</f>
        <v>9.4888888888888898E-2</v>
      </c>
      <c r="L33" s="225">
        <f>(D33/F33)/G33</f>
        <v>0</v>
      </c>
      <c r="M33" s="223" t="s">
        <v>233</v>
      </c>
      <c r="N33" s="224">
        <f>K33*I33</f>
        <v>7.591111111111112</v>
      </c>
      <c r="O33" s="224">
        <f>L33*I33</f>
        <v>0</v>
      </c>
      <c r="AA33" s="4"/>
      <c r="AB33" s="5"/>
      <c r="AQ33" s="137" t="s">
        <v>145</v>
      </c>
      <c r="AR33" s="137">
        <v>129</v>
      </c>
      <c r="AS33" s="137">
        <v>18940</v>
      </c>
      <c r="AV33" s="140" t="s">
        <v>184</v>
      </c>
      <c r="AW33" s="140">
        <v>170</v>
      </c>
      <c r="AX33" s="140">
        <v>25370</v>
      </c>
    </row>
    <row r="34" spans="1:50" ht="15.75" customHeight="1" x14ac:dyDescent="0.4">
      <c r="A34" s="180"/>
      <c r="B34" s="75"/>
      <c r="C34" s="75"/>
      <c r="D34" s="79"/>
      <c r="E34" s="79"/>
      <c r="F34" s="75"/>
      <c r="G34" s="75"/>
      <c r="H34" s="75"/>
      <c r="I34" s="79"/>
      <c r="J34" s="79"/>
      <c r="K34" s="79"/>
      <c r="L34" s="79"/>
      <c r="M34" s="79"/>
      <c r="N34" s="79"/>
      <c r="O34" s="79"/>
      <c r="AQ34" s="143" t="s">
        <v>136</v>
      </c>
      <c r="AR34" s="137">
        <v>129</v>
      </c>
      <c r="AS34" s="143">
        <v>18940</v>
      </c>
      <c r="AV34" s="145" t="s">
        <v>177</v>
      </c>
      <c r="AW34" s="140">
        <v>170</v>
      </c>
      <c r="AX34" s="145">
        <v>25370</v>
      </c>
    </row>
    <row r="35" spans="1:50" ht="18" customHeight="1" x14ac:dyDescent="0.4">
      <c r="A35" s="181" t="s">
        <v>105</v>
      </c>
      <c r="B35" s="171" t="s">
        <v>222</v>
      </c>
      <c r="C35" s="175" t="s">
        <v>17</v>
      </c>
      <c r="D35" s="176">
        <v>0</v>
      </c>
      <c r="E35" s="72">
        <v>1731.835</v>
      </c>
      <c r="F35" s="126">
        <v>1</v>
      </c>
      <c r="G35" s="169">
        <v>1000</v>
      </c>
      <c r="H35" s="169" t="s">
        <v>232</v>
      </c>
      <c r="I35" s="170">
        <v>17.5</v>
      </c>
      <c r="J35" s="177">
        <f>I35</f>
        <v>17.5</v>
      </c>
      <c r="K35" s="225">
        <f>(E35/F35)/G35</f>
        <v>1.731835</v>
      </c>
      <c r="L35" s="225">
        <f>(D35/F35)/G35</f>
        <v>0</v>
      </c>
      <c r="M35" s="223" t="s">
        <v>6</v>
      </c>
      <c r="N35" s="224">
        <f>K35*I35</f>
        <v>30.307112499999999</v>
      </c>
      <c r="O35" s="224">
        <f>L35*I35</f>
        <v>0</v>
      </c>
      <c r="AQ35" s="137" t="s">
        <v>146</v>
      </c>
      <c r="AR35" s="137">
        <v>200</v>
      </c>
      <c r="AS35" s="137">
        <v>29300</v>
      </c>
      <c r="AV35" s="140" t="s">
        <v>185</v>
      </c>
      <c r="AW35" s="140">
        <v>345</v>
      </c>
      <c r="AX35" s="140">
        <v>50640</v>
      </c>
    </row>
    <row r="36" spans="1:50" ht="15.75" customHeight="1" x14ac:dyDescent="0.4">
      <c r="A36" s="180"/>
      <c r="B36" s="75"/>
      <c r="C36" s="75"/>
      <c r="D36" s="79"/>
      <c r="E36" s="79"/>
      <c r="F36" s="75"/>
      <c r="G36" s="75"/>
      <c r="H36" s="75"/>
      <c r="I36" s="79"/>
      <c r="J36" s="79"/>
      <c r="K36" s="79"/>
      <c r="L36" s="79"/>
      <c r="M36" s="79"/>
      <c r="N36" s="79"/>
      <c r="O36" s="79"/>
      <c r="AQ36" s="143" t="s">
        <v>147</v>
      </c>
      <c r="AR36" s="137">
        <v>200</v>
      </c>
      <c r="AS36" s="143">
        <v>29300</v>
      </c>
      <c r="AV36" s="145" t="s">
        <v>186</v>
      </c>
      <c r="AW36" s="140">
        <v>313</v>
      </c>
      <c r="AX36" s="145">
        <v>45840</v>
      </c>
    </row>
    <row r="37" spans="1:50" ht="15.75" customHeight="1" x14ac:dyDescent="0.4">
      <c r="A37" s="172" t="s">
        <v>50</v>
      </c>
      <c r="B37" s="172" t="s">
        <v>219</v>
      </c>
      <c r="C37" s="173" t="s">
        <v>17</v>
      </c>
      <c r="D37" s="174">
        <v>0</v>
      </c>
      <c r="E37" s="72">
        <v>4961.666666666667</v>
      </c>
      <c r="F37" s="126">
        <v>0.84</v>
      </c>
      <c r="G37" s="169">
        <v>1</v>
      </c>
      <c r="H37" s="169" t="s">
        <v>259</v>
      </c>
      <c r="I37" s="170">
        <v>2.6</v>
      </c>
      <c r="J37" s="177">
        <f>I37/(G37/1000)</f>
        <v>2600</v>
      </c>
      <c r="K37" s="225">
        <f>(E37/F37)/G37</f>
        <v>5906.7460317460327</v>
      </c>
      <c r="L37" s="225">
        <f t="shared" ref="L37:L41" si="17">(D37/F37)/G37</f>
        <v>0</v>
      </c>
      <c r="M37" s="223" t="s">
        <v>17</v>
      </c>
      <c r="N37" s="224">
        <f>K37*I37</f>
        <v>15357.539682539686</v>
      </c>
      <c r="O37" s="224">
        <f>L37*I37</f>
        <v>0</v>
      </c>
      <c r="AQ37" s="137" t="s">
        <v>148</v>
      </c>
      <c r="AR37" s="137">
        <v>211</v>
      </c>
      <c r="AS37" s="137">
        <v>31200</v>
      </c>
      <c r="AV37" s="140" t="s">
        <v>125</v>
      </c>
      <c r="AW37" s="140">
        <v>32</v>
      </c>
      <c r="AX37" s="140">
        <v>4800</v>
      </c>
    </row>
    <row r="38" spans="1:50" ht="15.75" customHeight="1" x14ac:dyDescent="0.4">
      <c r="A38" s="181" t="s">
        <v>253</v>
      </c>
      <c r="B38" s="171" t="s">
        <v>219</v>
      </c>
      <c r="C38" s="175" t="s">
        <v>17</v>
      </c>
      <c r="D38" s="176">
        <v>0</v>
      </c>
      <c r="E38" s="72">
        <v>321.50000000000006</v>
      </c>
      <c r="F38" s="126">
        <v>1</v>
      </c>
      <c r="G38" s="169">
        <v>1</v>
      </c>
      <c r="H38" s="169" t="s">
        <v>259</v>
      </c>
      <c r="I38" s="170">
        <v>10.5</v>
      </c>
      <c r="J38" s="177">
        <f>I38/(G38/1000)</f>
        <v>10500</v>
      </c>
      <c r="K38" s="225">
        <f>(E38/F38)/G38</f>
        <v>321.50000000000006</v>
      </c>
      <c r="L38" s="225">
        <f t="shared" si="17"/>
        <v>0</v>
      </c>
      <c r="M38" s="223" t="s">
        <v>17</v>
      </c>
      <c r="N38" s="224">
        <f>K38*I38</f>
        <v>3375.7500000000005</v>
      </c>
      <c r="O38" s="224">
        <v>0</v>
      </c>
      <c r="AQ38" s="143" t="s">
        <v>136</v>
      </c>
      <c r="AR38" s="137">
        <v>184</v>
      </c>
      <c r="AS38" s="143">
        <v>27150</v>
      </c>
      <c r="AV38" s="140" t="s">
        <v>187</v>
      </c>
      <c r="AW38" s="140">
        <v>175</v>
      </c>
      <c r="AX38" s="140">
        <v>26700</v>
      </c>
    </row>
    <row r="39" spans="1:50" ht="15.75" customHeight="1" x14ac:dyDescent="0.4">
      <c r="A39" s="172" t="s">
        <v>254</v>
      </c>
      <c r="B39" s="172" t="s">
        <v>219</v>
      </c>
      <c r="C39" s="173" t="s">
        <v>17</v>
      </c>
      <c r="D39" s="174">
        <v>0</v>
      </c>
      <c r="E39" s="72">
        <v>10.716666666666669</v>
      </c>
      <c r="F39" s="126">
        <v>0.87</v>
      </c>
      <c r="G39" s="169">
        <v>1</v>
      </c>
      <c r="H39" s="169" t="s">
        <v>259</v>
      </c>
      <c r="I39" s="170">
        <v>3.2</v>
      </c>
      <c r="J39" s="177">
        <f>I39/(G39/1000)</f>
        <v>3200</v>
      </c>
      <c r="K39" s="225">
        <f>(E39/F39)/G39</f>
        <v>12.318007662835251</v>
      </c>
      <c r="L39" s="225">
        <f t="shared" si="17"/>
        <v>0</v>
      </c>
      <c r="M39" s="223" t="s">
        <v>17</v>
      </c>
      <c r="N39" s="224">
        <f>K39*I39</f>
        <v>39.41762452107281</v>
      </c>
      <c r="O39" s="224">
        <v>0</v>
      </c>
      <c r="AQ39" s="137" t="s">
        <v>125</v>
      </c>
      <c r="AR39" s="137">
        <v>27</v>
      </c>
      <c r="AS39" s="137">
        <v>4050</v>
      </c>
      <c r="AV39" s="145" t="s">
        <v>188</v>
      </c>
      <c r="AW39" s="140">
        <v>158</v>
      </c>
      <c r="AX39" s="145">
        <v>24150</v>
      </c>
    </row>
    <row r="40" spans="1:50" ht="15.75" customHeight="1" x14ac:dyDescent="0.4">
      <c r="A40" s="181" t="s">
        <v>49</v>
      </c>
      <c r="B40" s="171" t="s">
        <v>219</v>
      </c>
      <c r="C40" s="175" t="s">
        <v>17</v>
      </c>
      <c r="D40" s="176">
        <v>0</v>
      </c>
      <c r="E40" s="72">
        <v>28162.840000000004</v>
      </c>
      <c r="F40" s="126">
        <v>0.9</v>
      </c>
      <c r="G40" s="169">
        <v>1000</v>
      </c>
      <c r="H40" s="169" t="s">
        <v>232</v>
      </c>
      <c r="I40" s="170">
        <v>3</v>
      </c>
      <c r="J40" s="177">
        <f>I40/(G40/1000)</f>
        <v>3</v>
      </c>
      <c r="K40" s="225">
        <f>(E40/F40)/G40</f>
        <v>31.292044444444446</v>
      </c>
      <c r="L40" s="225">
        <f>(D40/F40)/G40</f>
        <v>0</v>
      </c>
      <c r="M40" s="223" t="s">
        <v>6</v>
      </c>
      <c r="N40" s="224">
        <f>K40*I40</f>
        <v>93.876133333333343</v>
      </c>
      <c r="O40" s="224">
        <f>L40*I40</f>
        <v>0</v>
      </c>
      <c r="AQ40" s="143" t="s">
        <v>149</v>
      </c>
      <c r="AR40" s="137">
        <v>317</v>
      </c>
      <c r="AS40" s="143">
        <v>46770</v>
      </c>
      <c r="AV40" s="140" t="s">
        <v>125</v>
      </c>
      <c r="AW40" s="140">
        <v>17</v>
      </c>
      <c r="AX40" s="140">
        <v>2550</v>
      </c>
    </row>
    <row r="41" spans="1:50" ht="15.75" customHeight="1" x14ac:dyDescent="0.4">
      <c r="A41" s="172" t="s">
        <v>255</v>
      </c>
      <c r="B41" s="172" t="s">
        <v>219</v>
      </c>
      <c r="C41" s="173" t="s">
        <v>17</v>
      </c>
      <c r="D41" s="174">
        <v>0</v>
      </c>
      <c r="E41" s="72">
        <v>177.89666666666668</v>
      </c>
      <c r="F41" s="126">
        <v>0.98</v>
      </c>
      <c r="G41" s="169">
        <v>1</v>
      </c>
      <c r="H41" s="169" t="s">
        <v>259</v>
      </c>
      <c r="I41" s="170">
        <v>3.5</v>
      </c>
      <c r="J41" s="177">
        <f>I41/(G41/1000)</f>
        <v>3500</v>
      </c>
      <c r="K41" s="225">
        <f>(E41/F41)/G41</f>
        <v>181.52721088435376</v>
      </c>
      <c r="L41" s="225">
        <f t="shared" si="17"/>
        <v>0</v>
      </c>
      <c r="M41" s="223" t="s">
        <v>17</v>
      </c>
      <c r="N41" s="224">
        <f>K41*I41</f>
        <v>635.34523809523819</v>
      </c>
      <c r="O41" s="224">
        <f>L41*I41</f>
        <v>0</v>
      </c>
      <c r="AQ41" s="137" t="s">
        <v>127</v>
      </c>
      <c r="AR41" s="137">
        <v>317</v>
      </c>
      <c r="AS41" s="137">
        <v>46770</v>
      </c>
      <c r="AV41" s="140" t="s">
        <v>189</v>
      </c>
      <c r="AW41" s="140">
        <v>127</v>
      </c>
      <c r="AX41" s="140">
        <v>18320</v>
      </c>
    </row>
    <row r="42" spans="1:50" ht="15.75" customHeight="1" x14ac:dyDescent="0.4">
      <c r="A42" s="180"/>
      <c r="B42" s="75"/>
      <c r="C42" s="75"/>
      <c r="D42" s="79"/>
      <c r="E42" s="79"/>
      <c r="F42" s="75"/>
      <c r="G42" s="75"/>
      <c r="H42" s="75"/>
      <c r="I42" s="79"/>
      <c r="J42" s="79"/>
      <c r="K42" s="79"/>
      <c r="L42" s="79"/>
      <c r="M42" s="79"/>
      <c r="N42" s="79"/>
      <c r="O42" s="79"/>
      <c r="AQ42" s="137" t="s">
        <v>150</v>
      </c>
      <c r="AR42" s="137">
        <v>270</v>
      </c>
      <c r="AS42" s="137">
        <v>270</v>
      </c>
      <c r="AV42" s="145" t="s">
        <v>136</v>
      </c>
      <c r="AW42" s="140">
        <v>111</v>
      </c>
      <c r="AX42" s="145">
        <v>15920</v>
      </c>
    </row>
    <row r="43" spans="1:50" ht="15.75" customHeight="1" x14ac:dyDescent="0.35">
      <c r="AV43" s="140" t="s">
        <v>125</v>
      </c>
      <c r="AW43" s="140">
        <v>16</v>
      </c>
      <c r="AX43" s="140">
        <v>2400</v>
      </c>
    </row>
    <row r="44" spans="1:50" ht="15.75" customHeight="1" x14ac:dyDescent="0.35">
      <c r="AQ44" s="138" t="s">
        <v>151</v>
      </c>
      <c r="AR44" s="138">
        <v>87</v>
      </c>
      <c r="AS44" s="138">
        <v>87</v>
      </c>
      <c r="AV44" s="140" t="s">
        <v>190</v>
      </c>
      <c r="AW44" s="140">
        <v>452</v>
      </c>
      <c r="AX44" s="140">
        <v>141600</v>
      </c>
    </row>
    <row r="45" spans="1:50" ht="18" customHeight="1" x14ac:dyDescent="0.35">
      <c r="AQ45" s="138" t="s">
        <v>152</v>
      </c>
      <c r="AR45" s="138">
        <v>237</v>
      </c>
      <c r="AS45" s="138">
        <v>36050</v>
      </c>
      <c r="AV45" s="140" t="s">
        <v>191</v>
      </c>
      <c r="AW45" s="140">
        <v>119</v>
      </c>
      <c r="AX45" s="140">
        <v>17130</v>
      </c>
    </row>
    <row r="46" spans="1:50" x14ac:dyDescent="0.35">
      <c r="AQ46" s="138" t="s">
        <v>125</v>
      </c>
      <c r="AR46" s="138">
        <v>32</v>
      </c>
      <c r="AS46" s="138">
        <v>4800</v>
      </c>
      <c r="AV46" s="140" t="s">
        <v>124</v>
      </c>
      <c r="AW46" s="140">
        <v>119</v>
      </c>
      <c r="AX46" s="140">
        <v>17130</v>
      </c>
    </row>
    <row r="47" spans="1:50" ht="13.9" x14ac:dyDescent="0.4">
      <c r="AQ47" s="138" t="s">
        <v>153</v>
      </c>
      <c r="AR47" s="138">
        <v>205</v>
      </c>
      <c r="AS47" s="138">
        <v>31250</v>
      </c>
      <c r="AV47" s="145" t="s">
        <v>192</v>
      </c>
      <c r="AW47" s="140">
        <v>183</v>
      </c>
      <c r="AX47" s="145">
        <v>27480</v>
      </c>
    </row>
    <row r="48" spans="1:50" x14ac:dyDescent="0.35">
      <c r="AQ48" s="138" t="s">
        <v>154</v>
      </c>
      <c r="AR48" s="138">
        <v>162</v>
      </c>
      <c r="AS48" s="138">
        <v>24410</v>
      </c>
      <c r="AV48" s="140" t="s">
        <v>127</v>
      </c>
      <c r="AW48" s="140">
        <v>183</v>
      </c>
      <c r="AX48" s="140">
        <v>27480</v>
      </c>
    </row>
    <row r="49" spans="43:50" x14ac:dyDescent="0.35">
      <c r="AQ49" s="138" t="s">
        <v>127</v>
      </c>
      <c r="AR49" s="138">
        <v>162</v>
      </c>
      <c r="AS49" s="138">
        <v>24410</v>
      </c>
      <c r="AV49" s="140" t="s">
        <v>193</v>
      </c>
      <c r="AW49" s="140">
        <v>62</v>
      </c>
      <c r="AX49" s="140">
        <v>62</v>
      </c>
    </row>
    <row r="50" spans="43:50" x14ac:dyDescent="0.35">
      <c r="AQ50" s="138" t="s">
        <v>155</v>
      </c>
      <c r="AR50" s="138">
        <v>259</v>
      </c>
      <c r="AS50" s="138">
        <v>36580</v>
      </c>
    </row>
    <row r="51" spans="43:50" ht="13.9" x14ac:dyDescent="0.4">
      <c r="AQ51" s="144" t="s">
        <v>136</v>
      </c>
      <c r="AR51" s="138">
        <v>250</v>
      </c>
      <c r="AS51" s="144">
        <v>35230</v>
      </c>
      <c r="AV51" s="141" t="s">
        <v>194</v>
      </c>
      <c r="AW51" s="141">
        <v>87</v>
      </c>
      <c r="AX51" s="141">
        <v>87</v>
      </c>
    </row>
    <row r="52" spans="43:50" x14ac:dyDescent="0.35">
      <c r="AQ52" s="138" t="s">
        <v>125</v>
      </c>
      <c r="AR52" s="138">
        <v>9</v>
      </c>
      <c r="AS52" s="138">
        <v>1350</v>
      </c>
      <c r="AV52" s="141" t="s">
        <v>195</v>
      </c>
      <c r="AW52" s="141">
        <v>225</v>
      </c>
      <c r="AX52" s="141">
        <v>34020</v>
      </c>
    </row>
    <row r="53" spans="43:50" x14ac:dyDescent="0.35">
      <c r="AQ53" s="138" t="s">
        <v>156</v>
      </c>
      <c r="AR53" s="138">
        <v>224</v>
      </c>
      <c r="AS53" s="138">
        <v>33040</v>
      </c>
      <c r="AV53" s="141" t="s">
        <v>125</v>
      </c>
      <c r="AW53" s="141">
        <v>33</v>
      </c>
      <c r="AX53" s="141">
        <v>4950</v>
      </c>
    </row>
    <row r="54" spans="43:50" ht="13.9" x14ac:dyDescent="0.4">
      <c r="AQ54" s="138" t="s">
        <v>125</v>
      </c>
      <c r="AR54" s="138">
        <v>19</v>
      </c>
      <c r="AS54" s="138">
        <v>2850</v>
      </c>
      <c r="AV54" s="146" t="s">
        <v>196</v>
      </c>
      <c r="AW54" s="141">
        <v>192</v>
      </c>
      <c r="AX54" s="146">
        <v>29070</v>
      </c>
    </row>
    <row r="55" spans="43:50" ht="13.9" x14ac:dyDescent="0.4">
      <c r="AQ55" s="144" t="s">
        <v>134</v>
      </c>
      <c r="AR55" s="138">
        <v>205</v>
      </c>
      <c r="AS55" s="144">
        <v>30190</v>
      </c>
      <c r="AV55" s="141" t="s">
        <v>197</v>
      </c>
      <c r="AW55" s="141">
        <v>290</v>
      </c>
      <c r="AX55" s="141">
        <v>42650</v>
      </c>
    </row>
    <row r="56" spans="43:50" ht="13.9" x14ac:dyDescent="0.4">
      <c r="AQ56" s="138" t="s">
        <v>157</v>
      </c>
      <c r="AR56" s="138">
        <v>381</v>
      </c>
      <c r="AS56" s="138">
        <v>56460</v>
      </c>
      <c r="AV56" s="146" t="s">
        <v>136</v>
      </c>
      <c r="AW56" s="141">
        <v>274</v>
      </c>
      <c r="AX56" s="146">
        <v>40250</v>
      </c>
    </row>
    <row r="57" spans="43:50" x14ac:dyDescent="0.35">
      <c r="AQ57" s="138" t="s">
        <v>125</v>
      </c>
      <c r="AR57" s="138">
        <v>31</v>
      </c>
      <c r="AS57" s="138">
        <v>4650</v>
      </c>
      <c r="AV57" s="141" t="s">
        <v>125</v>
      </c>
      <c r="AW57" s="141">
        <v>16</v>
      </c>
      <c r="AX57" s="141">
        <v>2400</v>
      </c>
    </row>
    <row r="58" spans="43:50" x14ac:dyDescent="0.35">
      <c r="AQ58" s="138" t="s">
        <v>158</v>
      </c>
      <c r="AR58" s="138">
        <v>350</v>
      </c>
      <c r="AS58" s="138">
        <v>51810</v>
      </c>
      <c r="AV58" s="141" t="s">
        <v>198</v>
      </c>
      <c r="AW58" s="141">
        <v>244</v>
      </c>
      <c r="AX58" s="141">
        <v>37120</v>
      </c>
    </row>
    <row r="59" spans="43:50" x14ac:dyDescent="0.35">
      <c r="AQ59" s="138" t="s">
        <v>159</v>
      </c>
      <c r="AR59" s="138">
        <v>219</v>
      </c>
      <c r="AS59" s="138">
        <v>33430</v>
      </c>
      <c r="AV59" s="141" t="s">
        <v>125</v>
      </c>
      <c r="AW59" s="141">
        <v>19</v>
      </c>
      <c r="AX59" s="141">
        <v>2850</v>
      </c>
    </row>
    <row r="60" spans="43:50" ht="13.9" x14ac:dyDescent="0.4">
      <c r="AQ60" s="144" t="s">
        <v>136</v>
      </c>
      <c r="AR60" s="138">
        <v>219</v>
      </c>
      <c r="AS60" s="144">
        <v>33430</v>
      </c>
      <c r="AV60" s="141" t="s">
        <v>199</v>
      </c>
      <c r="AW60" s="141">
        <v>225</v>
      </c>
      <c r="AX60" s="141">
        <v>34270</v>
      </c>
    </row>
    <row r="61" spans="43:50" x14ac:dyDescent="0.35">
      <c r="AQ61" s="138" t="s">
        <v>160</v>
      </c>
      <c r="AR61" s="138">
        <v>234</v>
      </c>
      <c r="AS61" s="138">
        <v>33550</v>
      </c>
      <c r="AV61" s="141" t="s">
        <v>200</v>
      </c>
      <c r="AW61" s="141">
        <v>160</v>
      </c>
      <c r="AX61" s="141">
        <v>23250</v>
      </c>
    </row>
    <row r="62" spans="43:50" ht="13.9" x14ac:dyDescent="0.4">
      <c r="AQ62" s="144" t="s">
        <v>161</v>
      </c>
      <c r="AR62" s="138">
        <v>234</v>
      </c>
      <c r="AS62" s="144">
        <v>33550</v>
      </c>
      <c r="AV62" s="141" t="s">
        <v>125</v>
      </c>
      <c r="AW62" s="141">
        <v>23</v>
      </c>
      <c r="AX62" s="141">
        <v>3450</v>
      </c>
    </row>
    <row r="63" spans="43:50" ht="13.9" x14ac:dyDescent="0.4">
      <c r="AQ63" s="144" t="s">
        <v>162</v>
      </c>
      <c r="AR63" s="138">
        <v>113</v>
      </c>
      <c r="AS63" s="144">
        <v>16570</v>
      </c>
      <c r="AV63" s="146" t="s">
        <v>201</v>
      </c>
      <c r="AW63" s="141">
        <v>137</v>
      </c>
      <c r="AX63" s="146">
        <v>19800</v>
      </c>
    </row>
    <row r="64" spans="43:50" x14ac:dyDescent="0.35">
      <c r="AQ64" s="138" t="s">
        <v>127</v>
      </c>
      <c r="AR64" s="138">
        <v>113</v>
      </c>
      <c r="AS64" s="138">
        <v>16570</v>
      </c>
      <c r="AV64" s="141" t="s">
        <v>202</v>
      </c>
      <c r="AW64" s="141">
        <v>417</v>
      </c>
      <c r="AX64" s="141">
        <v>59660</v>
      </c>
    </row>
    <row r="65" spans="43:50" ht="13.9" x14ac:dyDescent="0.4">
      <c r="AQ65" s="144" t="s">
        <v>139</v>
      </c>
      <c r="AR65" s="138">
        <v>128</v>
      </c>
      <c r="AS65" s="144">
        <v>18930</v>
      </c>
      <c r="AV65" s="141" t="s">
        <v>125</v>
      </c>
      <c r="AW65" s="141">
        <v>24</v>
      </c>
      <c r="AX65" s="141">
        <v>3600</v>
      </c>
    </row>
    <row r="66" spans="43:50" ht="13.9" x14ac:dyDescent="0.4">
      <c r="AQ66" s="138" t="s">
        <v>127</v>
      </c>
      <c r="AR66" s="138">
        <v>128</v>
      </c>
      <c r="AS66" s="138">
        <v>18930</v>
      </c>
      <c r="AV66" s="146" t="s">
        <v>132</v>
      </c>
      <c r="AW66" s="141">
        <v>393</v>
      </c>
      <c r="AX66" s="146">
        <v>56060</v>
      </c>
    </row>
    <row r="67" spans="43:50" x14ac:dyDescent="0.35">
      <c r="AQ67" s="138" t="s">
        <v>163</v>
      </c>
      <c r="AR67" s="138">
        <v>89</v>
      </c>
      <c r="AS67" s="138">
        <v>89</v>
      </c>
      <c r="AV67" s="141" t="s">
        <v>203</v>
      </c>
      <c r="AW67" s="141">
        <v>217</v>
      </c>
      <c r="AX67" s="141">
        <v>32170</v>
      </c>
    </row>
    <row r="68" spans="43:50" ht="13.9" x14ac:dyDescent="0.4">
      <c r="AQ68" s="138" t="s">
        <v>164</v>
      </c>
      <c r="AR68" s="138">
        <v>488</v>
      </c>
      <c r="AS68" s="138">
        <v>488</v>
      </c>
      <c r="AV68" s="146" t="s">
        <v>136</v>
      </c>
      <c r="AW68" s="141">
        <v>217</v>
      </c>
      <c r="AX68" s="146">
        <v>32170</v>
      </c>
    </row>
    <row r="69" spans="43:50" ht="13.9" x14ac:dyDescent="0.4">
      <c r="AV69" s="146" t="s">
        <v>162</v>
      </c>
      <c r="AW69" s="141">
        <v>126</v>
      </c>
      <c r="AX69" s="146">
        <v>18470</v>
      </c>
    </row>
    <row r="70" spans="43:50" x14ac:dyDescent="0.35">
      <c r="AV70" s="141" t="s">
        <v>127</v>
      </c>
      <c r="AW70" s="141">
        <v>126</v>
      </c>
      <c r="AX70" s="141">
        <v>18470</v>
      </c>
    </row>
    <row r="71" spans="43:50" ht="13.9" x14ac:dyDescent="0.4">
      <c r="AV71" s="146" t="s">
        <v>204</v>
      </c>
      <c r="AW71" s="141">
        <v>217</v>
      </c>
      <c r="AX71" s="146">
        <v>32620</v>
      </c>
    </row>
    <row r="72" spans="43:50" x14ac:dyDescent="0.35">
      <c r="AV72" s="141" t="s">
        <v>127</v>
      </c>
      <c r="AW72" s="141">
        <v>217</v>
      </c>
      <c r="AX72" s="141">
        <v>32620</v>
      </c>
    </row>
    <row r="73" spans="43:50" x14ac:dyDescent="0.35">
      <c r="AV73" s="141" t="s">
        <v>205</v>
      </c>
      <c r="AW73" s="141">
        <v>95</v>
      </c>
      <c r="AX73" s="141">
        <v>95</v>
      </c>
    </row>
  </sheetData>
  <autoFilter ref="A1:O74" xr:uid="{00000000-0001-0000-0000-000000000000}"/>
  <mergeCells count="3">
    <mergeCell ref="AA1:AB1"/>
    <mergeCell ref="AC1:AD1"/>
    <mergeCell ref="AE1:AF1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  <pageSetUpPr fitToPage="1"/>
  </sheetPr>
  <dimension ref="A1:AB71"/>
  <sheetViews>
    <sheetView topLeftCell="F4" zoomScale="70" zoomScaleNormal="70" workbookViewId="0">
      <selection activeCell="X8" sqref="X8"/>
    </sheetView>
  </sheetViews>
  <sheetFormatPr defaultColWidth="12.5" defaultRowHeight="12.75" x14ac:dyDescent="0.35"/>
  <cols>
    <col min="1" max="1" width="14.4375" style="10" customWidth="1"/>
    <col min="2" max="2" width="20.4375" style="10" customWidth="1"/>
    <col min="3" max="3" width="23.9375" style="10" customWidth="1"/>
    <col min="4" max="4" width="21.75" style="10" customWidth="1"/>
    <col min="5" max="5" width="16.1875" style="10" customWidth="1"/>
    <col min="6" max="6" width="19.0625" style="10" customWidth="1"/>
    <col min="7" max="7" width="16.812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2" width="6.1875" style="10" customWidth="1"/>
    <col min="23" max="23" width="9.5625" style="10" bestFit="1" customWidth="1"/>
    <col min="24" max="24" width="4.5625" style="10" bestFit="1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32640</v>
      </c>
      <c r="F1" s="11" t="s">
        <v>55</v>
      </c>
      <c r="G1" s="15">
        <f>E1/C1</f>
        <v>1.0880000000000001</v>
      </c>
      <c r="H1" s="11" t="s">
        <v>56</v>
      </c>
      <c r="I1" s="16">
        <f>(G1/K1)</f>
        <v>1.0880000000000001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32140</v>
      </c>
      <c r="AA1" s="150" t="s">
        <v>207</v>
      </c>
      <c r="AB1" s="148">
        <v>500</v>
      </c>
    </row>
    <row r="2" spans="1:28" ht="12.75" customHeight="1" x14ac:dyDescent="0.35">
      <c r="A2" s="241"/>
      <c r="B2" s="244" t="s">
        <v>58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1.0880000000000001</v>
      </c>
      <c r="F5" s="28">
        <v>1</v>
      </c>
      <c r="G5" s="29">
        <f>D5*E5</f>
        <v>10.88</v>
      </c>
      <c r="H5" s="208">
        <f>G5*F5</f>
        <v>10.88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10.88</v>
      </c>
      <c r="L5" s="31">
        <f>K5*J5</f>
        <v>62.56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>$G$1</f>
        <v>1.0880000000000001</v>
      </c>
      <c r="F6" s="28">
        <v>1</v>
      </c>
      <c r="G6" s="29">
        <f>D6*E6</f>
        <v>32640.000000000004</v>
      </c>
      <c r="H6" s="209">
        <f>G6*F6</f>
        <v>32640.000000000004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32.64</v>
      </c>
      <c r="L6" s="31">
        <f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1.0880000000000001</v>
      </c>
      <c r="F7" s="28">
        <v>1</v>
      </c>
      <c r="G7" s="29">
        <f>D7*E7</f>
        <v>163.20000000000002</v>
      </c>
      <c r="H7" s="210">
        <f>G7*F7</f>
        <v>163.20000000000002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0">(H7/I7)/1000</f>
        <v>0.16320000000000001</v>
      </c>
      <c r="L7" s="31">
        <f t="shared" ref="L7:L9" si="1">K7*J7</f>
        <v>4.8960000000000008</v>
      </c>
      <c r="V7" s="251"/>
    </row>
    <row r="8" spans="1:28" ht="13.15" x14ac:dyDescent="0.4">
      <c r="B8" s="24" t="s">
        <v>22</v>
      </c>
      <c r="C8" s="25" t="s">
        <v>17</v>
      </c>
      <c r="D8" s="26">
        <v>400</v>
      </c>
      <c r="E8" s="27">
        <f>$G$1</f>
        <v>1.0880000000000001</v>
      </c>
      <c r="F8" s="28">
        <v>1</v>
      </c>
      <c r="G8" s="29">
        <f>D8*E8</f>
        <v>435.20000000000005</v>
      </c>
      <c r="H8" s="210">
        <f>G8*F8</f>
        <v>435.20000000000005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0"/>
        <v>0.43520000000000003</v>
      </c>
      <c r="L8" s="31">
        <f t="shared" si="1"/>
        <v>0.322048</v>
      </c>
      <c r="V8" s="215" t="s">
        <v>17</v>
      </c>
      <c r="W8" s="216">
        <v>1</v>
      </c>
      <c r="X8" s="215" t="s">
        <v>250</v>
      </c>
      <c r="Y8" s="217">
        <f>(N16/N15)*W8</f>
        <v>2.0972E-3</v>
      </c>
    </row>
    <row r="9" spans="1:28" ht="12" customHeight="1" x14ac:dyDescent="0.35">
      <c r="B9" s="24" t="s">
        <v>27</v>
      </c>
      <c r="C9" s="33" t="s">
        <v>17</v>
      </c>
      <c r="D9" s="34">
        <v>20</v>
      </c>
      <c r="E9" s="35">
        <f>$G$1</f>
        <v>1.0880000000000001</v>
      </c>
      <c r="F9" s="36">
        <v>1</v>
      </c>
      <c r="G9" s="37">
        <f>D9*E9</f>
        <v>21.76</v>
      </c>
      <c r="H9" s="211">
        <f>G9*F9</f>
        <v>21.76</v>
      </c>
      <c r="I9" s="12">
        <f>VLOOKUP(B9,Ordering!$A$1:$J$45,6,FALSE)</f>
        <v>1</v>
      </c>
      <c r="J9" s="59">
        <f>VLOOKUP(B9,Ordering!$A$1:$J$45,10,FALSE)</f>
        <v>31</v>
      </c>
      <c r="K9" s="59">
        <f t="shared" si="0"/>
        <v>2.1760000000000002E-2</v>
      </c>
      <c r="L9" s="31">
        <f t="shared" si="1"/>
        <v>0.67456000000000005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  <c r="W10" s="226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118</v>
      </c>
      <c r="N11" s="243"/>
    </row>
    <row r="12" spans="1:28" ht="13.5" customHeight="1" x14ac:dyDescent="0.35">
      <c r="B12" s="48" t="s">
        <v>71</v>
      </c>
      <c r="C12" s="49">
        <f>I1</f>
        <v>1.0880000000000001</v>
      </c>
      <c r="D12" s="50">
        <f>E1</f>
        <v>32640</v>
      </c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73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72</v>
      </c>
      <c r="N13" s="130">
        <f>$Z$1</f>
        <v>32140</v>
      </c>
    </row>
    <row r="14" spans="1:28" ht="14.25" customHeight="1" x14ac:dyDescent="0.35">
      <c r="B14" s="48" t="s">
        <v>75</v>
      </c>
      <c r="C14" s="51">
        <f>MIN(MAX($C$12-C13,0),1)</f>
        <v>8.8000000000000078E-2</v>
      </c>
      <c r="D14" s="50">
        <f>C14*$C$1</f>
        <v>2640.0000000000023</v>
      </c>
      <c r="E14" s="18"/>
      <c r="F14" s="18"/>
      <c r="I14" s="18"/>
      <c r="J14" s="18"/>
      <c r="K14" s="18"/>
      <c r="M14" s="48" t="s">
        <v>74</v>
      </c>
      <c r="N14" s="129">
        <f>$AB$1</f>
        <v>500</v>
      </c>
    </row>
    <row r="15" spans="1:28" ht="14.25" customHeight="1" thickBot="1" x14ac:dyDescent="0.4">
      <c r="B15" s="48" t="s">
        <v>76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71</v>
      </c>
      <c r="N15" s="54">
        <f>N13+N14</f>
        <v>32640</v>
      </c>
    </row>
    <row r="16" spans="1:28" ht="13.5" thickBot="1" x14ac:dyDescent="0.45">
      <c r="M16" s="213" t="s">
        <v>250</v>
      </c>
      <c r="N16" s="214">
        <f>SUM(L5:L9)</f>
        <v>68.452607999999998</v>
      </c>
    </row>
    <row r="20" spans="14:15" ht="13.5" customHeight="1" x14ac:dyDescent="0.35">
      <c r="N20" s="245"/>
      <c r="O20" s="245"/>
    </row>
    <row r="40" spans="1:9" ht="17.649999999999999" x14ac:dyDescent="0.35">
      <c r="A40" s="134"/>
      <c r="B40" s="240" t="str">
        <f>"      رز أبيض   1 / " &amp; COUNTIF($C$13:$C$15, "&gt;0")</f>
        <v xml:space="preserve">      رز أبيض   1 / 2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 White Rice   1 / " &amp; COUNTIF($C$13:$C$15, "&gt;0")</f>
        <v xml:space="preserve">  White Rice   1 / 2</v>
      </c>
      <c r="C41" s="240"/>
      <c r="D41" s="240"/>
      <c r="E41" s="240"/>
      <c r="F41" s="240"/>
      <c r="G41" s="240"/>
      <c r="H41" s="240"/>
      <c r="I41" s="240"/>
    </row>
    <row r="42" spans="1:9" ht="37.25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25.5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8" customHeight="1" x14ac:dyDescent="0.35">
      <c r="A52" s="134"/>
      <c r="B52" s="240" t="str">
        <f>"      رز أبيض   2 / " &amp; COUNTIF($C$13:$C$15, "&gt;0")</f>
        <v xml:space="preserve">      رز أبيض   2 / 2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White Rice   2 / " &amp; COUNTIF($C$13:$C$15, "&gt;0")</f>
        <v xml:space="preserve">  White Rice   2 / 2</v>
      </c>
      <c r="C53" s="240"/>
      <c r="D53" s="240"/>
      <c r="E53" s="240"/>
      <c r="F53" s="240"/>
      <c r="G53" s="240"/>
      <c r="H53" s="240"/>
      <c r="I53" s="240"/>
    </row>
    <row r="54" spans="1:9" ht="60" customHeight="1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104" t="s">
        <v>65</v>
      </c>
      <c r="I54" s="23" t="s">
        <v>79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8.8000000000000078E-2</v>
      </c>
      <c r="F55" s="58">
        <f>$D$14</f>
        <v>2640.0000000000023</v>
      </c>
      <c r="G55" s="28">
        <f>F5</f>
        <v>1</v>
      </c>
      <c r="H55" s="84">
        <f>D55*E55</f>
        <v>0.88000000000000078</v>
      </c>
      <c r="I55" s="30">
        <f>H55*G55</f>
        <v>0.88000000000000078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8.8000000000000078E-2</v>
      </c>
      <c r="F56" s="58">
        <f>$D$14</f>
        <v>2640.0000000000023</v>
      </c>
      <c r="G56" s="28">
        <f>F6</f>
        <v>1</v>
      </c>
      <c r="H56" s="84">
        <f>D56*E56</f>
        <v>2640.0000000000023</v>
      </c>
      <c r="I56" s="32">
        <f>H56*G56</f>
        <v>2640.0000000000023</v>
      </c>
    </row>
    <row r="57" spans="1:9" ht="24" customHeight="1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8.8000000000000078E-2</v>
      </c>
      <c r="F57" s="58">
        <f>$D$14</f>
        <v>2640.0000000000023</v>
      </c>
      <c r="G57" s="28">
        <f>F7</f>
        <v>1</v>
      </c>
      <c r="H57" s="84">
        <f>D57*E57</f>
        <v>13.200000000000012</v>
      </c>
      <c r="I57" s="32">
        <f>H57*G57</f>
        <v>13.200000000000012</v>
      </c>
    </row>
    <row r="58" spans="1:9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8.8000000000000078E-2</v>
      </c>
      <c r="F58" s="58">
        <f>$D$14</f>
        <v>2640.0000000000023</v>
      </c>
      <c r="G58" s="28">
        <f>F8</f>
        <v>1</v>
      </c>
      <c r="H58" s="84">
        <f>D58*E58</f>
        <v>35.200000000000031</v>
      </c>
      <c r="I58" s="32">
        <f>H58*G58</f>
        <v>35.200000000000031</v>
      </c>
    </row>
    <row r="59" spans="1:9" ht="25.5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8.8000000000000078E-2</v>
      </c>
      <c r="F59" s="58">
        <f>$D$14</f>
        <v>2640.0000000000023</v>
      </c>
      <c r="G59" s="28">
        <f>F9</f>
        <v>1</v>
      </c>
      <c r="H59" s="84">
        <f>D59*E59</f>
        <v>1.7600000000000016</v>
      </c>
      <c r="I59" s="32">
        <f>H59*G59</f>
        <v>1.7600000000000016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8" customHeight="1" x14ac:dyDescent="0.35">
      <c r="B64" s="240" t="str">
        <f>"      رز أبيض  3 / " &amp; COUNTIF($C$13:$C$15, "&gt;0")</f>
        <v xml:space="preserve">      رز أبيض  3 / 2</v>
      </c>
      <c r="C64" s="240"/>
      <c r="D64" s="240"/>
      <c r="E64" s="240"/>
      <c r="F64" s="240"/>
      <c r="G64" s="240"/>
      <c r="H64" s="240"/>
      <c r="I64" s="240"/>
    </row>
    <row r="65" spans="2:9" ht="17.649999999999999" x14ac:dyDescent="0.35">
      <c r="B65" s="240" t="str">
        <f>"  White Rice   3 / " &amp; COUNTIF($C$13:$C$15, "&gt;0")</f>
        <v xml:space="preserve">  White Rice   3 / 2</v>
      </c>
      <c r="C65" s="240"/>
      <c r="D65" s="240"/>
      <c r="E65" s="240"/>
      <c r="F65" s="240"/>
      <c r="G65" s="240"/>
      <c r="H65" s="240"/>
      <c r="I65" s="240"/>
    </row>
    <row r="66" spans="2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104" t="s">
        <v>65</v>
      </c>
      <c r="I66" s="23" t="s">
        <v>66</v>
      </c>
    </row>
    <row r="67" spans="2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5.5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65:I65"/>
    <mergeCell ref="A2:A3"/>
    <mergeCell ref="M11:N11"/>
    <mergeCell ref="B2:H3"/>
    <mergeCell ref="N20:O20"/>
    <mergeCell ref="B52:I52"/>
    <mergeCell ref="B64:I64"/>
    <mergeCell ref="B53:I53"/>
    <mergeCell ref="B40:I40"/>
    <mergeCell ref="B41:I41"/>
  </mergeCells>
  <printOptions horizontalCentered="1"/>
  <pageMargins left="0.5" right="0.5" top="1" bottom="0.5" header="0.3" footer="0.511811023622047"/>
  <pageSetup paperSize="9" scale="22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D60"/>
  <sheetViews>
    <sheetView topLeftCell="H1" zoomScale="70" zoomScaleNormal="70" workbookViewId="0">
      <selection activeCell="W8" sqref="W8"/>
    </sheetView>
  </sheetViews>
  <sheetFormatPr defaultColWidth="12.5" defaultRowHeight="12.75" x14ac:dyDescent="0.35"/>
  <cols>
    <col min="1" max="1" width="8.0625" style="10" customWidth="1"/>
    <col min="2" max="2" width="30.5" style="10" customWidth="1"/>
    <col min="3" max="3" width="16.5" style="10" customWidth="1"/>
    <col min="4" max="4" width="21.75" style="10" customWidth="1"/>
    <col min="5" max="5" width="16.1875" style="10" customWidth="1"/>
    <col min="6" max="6" width="23" style="10" customWidth="1"/>
    <col min="7" max="7" width="25.1875" style="10" customWidth="1"/>
    <col min="8" max="8" width="18.4375" style="10" customWidth="1"/>
    <col min="9" max="9" width="21.0625" style="10" customWidth="1"/>
    <col min="10" max="12" width="12.5" style="10"/>
    <col min="13" max="13" width="30.5" style="10" customWidth="1"/>
    <col min="14" max="14" width="12.5" style="10"/>
    <col min="15" max="23" width="6.1875" style="10" customWidth="1"/>
    <col min="24" max="24" width="7.125" style="10" bestFit="1" customWidth="1"/>
    <col min="25" max="25" width="8.75" style="10" customWidth="1"/>
    <col min="26" max="16384" width="12.5" style="10"/>
  </cols>
  <sheetData>
    <row r="1" spans="1:30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29940</v>
      </c>
      <c r="F1" s="11" t="s">
        <v>55</v>
      </c>
      <c r="G1" s="15">
        <f>E1/C1</f>
        <v>0.998</v>
      </c>
      <c r="H1" s="11" t="s">
        <v>56</v>
      </c>
      <c r="I1" s="16">
        <f>(G1/K1)</f>
        <v>0.998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9">
        <v>29440</v>
      </c>
      <c r="AA1" s="151" t="s">
        <v>207</v>
      </c>
      <c r="AB1" s="149">
        <v>500</v>
      </c>
      <c r="AC1" s="114"/>
      <c r="AD1" s="114"/>
    </row>
    <row r="2" spans="1:30" ht="12.75" customHeight="1" x14ac:dyDescent="0.35">
      <c r="A2" s="241"/>
      <c r="B2" s="244" t="s">
        <v>80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30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30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30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0.998</v>
      </c>
      <c r="F5" s="28">
        <v>1</v>
      </c>
      <c r="G5" s="29">
        <f t="shared" ref="G5:G10" si="1">D5*E5</f>
        <v>9.98</v>
      </c>
      <c r="H5" s="208">
        <f t="shared" ref="H5:H10" si="2">G5*F5</f>
        <v>9.98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9.98</v>
      </c>
      <c r="L5" s="25">
        <f>K5*J5</f>
        <v>57.385000000000005</v>
      </c>
    </row>
    <row r="6" spans="1:30" x14ac:dyDescent="0.35">
      <c r="B6" s="24" t="s">
        <v>11</v>
      </c>
      <c r="C6" s="25" t="s">
        <v>213</v>
      </c>
      <c r="D6" s="26">
        <v>30000</v>
      </c>
      <c r="E6" s="27">
        <f t="shared" si="0"/>
        <v>0.998</v>
      </c>
      <c r="F6" s="28">
        <v>1</v>
      </c>
      <c r="G6" s="29">
        <f t="shared" si="1"/>
        <v>29940</v>
      </c>
      <c r="H6" s="209">
        <f t="shared" si="2"/>
        <v>29940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29.94</v>
      </c>
      <c r="L6" s="25">
        <f t="shared" ref="L6:L9" si="3">K6*J6</f>
        <v>0</v>
      </c>
    </row>
    <row r="7" spans="1:30" x14ac:dyDescent="0.35">
      <c r="B7" s="24" t="s">
        <v>16</v>
      </c>
      <c r="C7" s="25" t="s">
        <v>17</v>
      </c>
      <c r="D7" s="26">
        <v>150</v>
      </c>
      <c r="E7" s="27">
        <f t="shared" si="0"/>
        <v>0.998</v>
      </c>
      <c r="F7" s="28">
        <v>1</v>
      </c>
      <c r="G7" s="29">
        <f t="shared" si="1"/>
        <v>149.69999999999999</v>
      </c>
      <c r="H7" s="210">
        <f t="shared" si="2"/>
        <v>149.69999999999999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0.1497</v>
      </c>
      <c r="L7" s="25">
        <f t="shared" si="3"/>
        <v>4.4909999999999997</v>
      </c>
      <c r="U7" s="251"/>
    </row>
    <row r="8" spans="1:30" ht="13.15" x14ac:dyDescent="0.4">
      <c r="B8" s="24" t="s">
        <v>22</v>
      </c>
      <c r="C8" s="25" t="s">
        <v>17</v>
      </c>
      <c r="D8" s="26">
        <v>400</v>
      </c>
      <c r="E8" s="27">
        <f t="shared" si="0"/>
        <v>0.998</v>
      </c>
      <c r="F8" s="28">
        <v>1</v>
      </c>
      <c r="G8" s="29">
        <f t="shared" si="1"/>
        <v>399.2</v>
      </c>
      <c r="H8" s="210">
        <f t="shared" si="2"/>
        <v>399.2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0.3992</v>
      </c>
      <c r="L8" s="25">
        <f t="shared" si="3"/>
        <v>0.295408</v>
      </c>
      <c r="U8" s="215" t="s">
        <v>17</v>
      </c>
      <c r="V8" s="216">
        <v>1</v>
      </c>
      <c r="W8" s="215" t="s">
        <v>250</v>
      </c>
      <c r="X8" s="250">
        <f>(N16/N15)*V8</f>
        <v>2.0972000000000005E-3</v>
      </c>
    </row>
    <row r="9" spans="1:30" x14ac:dyDescent="0.35">
      <c r="B9" s="24" t="s">
        <v>27</v>
      </c>
      <c r="C9" s="25" t="s">
        <v>17</v>
      </c>
      <c r="D9" s="26">
        <v>20</v>
      </c>
      <c r="E9" s="27">
        <f t="shared" si="0"/>
        <v>0.998</v>
      </c>
      <c r="F9" s="28">
        <v>1</v>
      </c>
      <c r="G9" s="29">
        <f t="shared" si="1"/>
        <v>19.96</v>
      </c>
      <c r="H9" s="210">
        <f t="shared" si="2"/>
        <v>19.96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1.9960000000000002E-2</v>
      </c>
      <c r="L9" s="25">
        <f t="shared" si="3"/>
        <v>0.61876000000000009</v>
      </c>
    </row>
    <row r="10" spans="1:30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0.998</v>
      </c>
      <c r="F10" s="28">
        <v>1</v>
      </c>
      <c r="G10" s="29">
        <f t="shared" si="1"/>
        <v>19.96</v>
      </c>
      <c r="H10" s="210">
        <f t="shared" si="2"/>
        <v>19.96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1.9960000000000002E-2</v>
      </c>
      <c r="L10" s="25">
        <f t="shared" ref="L10" si="6">K10*J10</f>
        <v>0.44910000000000005</v>
      </c>
    </row>
    <row r="11" spans="1:30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80</v>
      </c>
      <c r="N11" s="242"/>
    </row>
    <row r="12" spans="1:30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30" ht="13.5" customHeight="1" x14ac:dyDescent="0.35">
      <c r="B13" s="48" t="s">
        <v>71</v>
      </c>
      <c r="C13" s="49">
        <f>I1</f>
        <v>0.998</v>
      </c>
      <c r="D13" s="50">
        <f>E1</f>
        <v>29940</v>
      </c>
      <c r="F13" s="18"/>
      <c r="I13" s="18"/>
      <c r="J13" s="18"/>
      <c r="K13" s="18"/>
      <c r="M13" s="48" t="s">
        <v>81</v>
      </c>
      <c r="N13" s="130">
        <f>$Z$1</f>
        <v>29440</v>
      </c>
    </row>
    <row r="14" spans="1:30" ht="13.5" customHeight="1" x14ac:dyDescent="0.35">
      <c r="B14" s="48" t="s">
        <v>73</v>
      </c>
      <c r="C14" s="51">
        <f>MIN($C$13,1)</f>
        <v>0.998</v>
      </c>
      <c r="D14" s="50">
        <f>C14*$C$1</f>
        <v>29940</v>
      </c>
      <c r="E14" s="18"/>
      <c r="F14" s="18"/>
      <c r="I14" s="18"/>
      <c r="J14" s="18"/>
      <c r="K14" s="18"/>
      <c r="M14" s="48" t="s">
        <v>82</v>
      </c>
      <c r="N14" s="129">
        <f>$AB$1</f>
        <v>500</v>
      </c>
    </row>
    <row r="15" spans="1:30" ht="14.25" customHeight="1" thickBot="1" x14ac:dyDescent="0.4">
      <c r="B15" s="48" t="s">
        <v>75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83</v>
      </c>
      <c r="N15" s="54">
        <f>N13+N14</f>
        <v>29940</v>
      </c>
    </row>
    <row r="16" spans="1:30" ht="14.25" customHeight="1" thickBot="1" x14ac:dyDescent="0.4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250</v>
      </c>
      <c r="N16" s="214">
        <f>SUM(L5:L9)</f>
        <v>62.790168000000008</v>
      </c>
    </row>
    <row r="21" spans="14:15" ht="13.5" customHeight="1" x14ac:dyDescent="0.35">
      <c r="N21" s="245"/>
      <c r="O21" s="245"/>
    </row>
    <row r="40" spans="1:9" ht="13.5" customHeight="1" x14ac:dyDescent="0.35">
      <c r="A40" s="134"/>
      <c r="B40" s="240" t="str">
        <f>"        رز بريانى-رز زعفران   1 / " &amp; COUNTIF($C$14:$C$16, "&gt;0")</f>
        <v xml:space="preserve">        رز بريانى-رز زعفران  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Biryani - Saffron Rice 1 / " &amp; COUNTIF($C$14:$C$16, "&gt;0")</f>
        <v xml:space="preserve">  Biryani - Saffron Rice 1 / 1</v>
      </c>
      <c r="C41" s="240"/>
      <c r="D41" s="240"/>
      <c r="E41" s="240"/>
      <c r="F41" s="240"/>
      <c r="G41" s="240"/>
      <c r="H41" s="240"/>
      <c r="I41" s="240"/>
    </row>
    <row r="42" spans="1:9" ht="52.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0.998</v>
      </c>
      <c r="F43" s="58">
        <f t="shared" ref="F43:F48" si="9">$D$14</f>
        <v>29940</v>
      </c>
      <c r="G43" s="28">
        <f t="shared" ref="G43:G48" si="10">F5</f>
        <v>1</v>
      </c>
      <c r="H43" s="120">
        <f t="shared" ref="H43:H48" si="11">D43*E43</f>
        <v>9.98</v>
      </c>
      <c r="I43" s="32">
        <f t="shared" ref="I43:I48" si="12">H43*G43</f>
        <v>9.98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0.998</v>
      </c>
      <c r="F44" s="58">
        <f t="shared" si="9"/>
        <v>29940</v>
      </c>
      <c r="G44" s="28">
        <f t="shared" si="10"/>
        <v>1</v>
      </c>
      <c r="H44" s="120">
        <f t="shared" si="11"/>
        <v>29940</v>
      </c>
      <c r="I44" s="32">
        <f t="shared" si="12"/>
        <v>29940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0.998</v>
      </c>
      <c r="F45" s="58">
        <f t="shared" si="9"/>
        <v>29940</v>
      </c>
      <c r="G45" s="28">
        <f t="shared" si="10"/>
        <v>1</v>
      </c>
      <c r="H45" s="120">
        <f t="shared" si="11"/>
        <v>149.69999999999999</v>
      </c>
      <c r="I45" s="32">
        <f t="shared" si="12"/>
        <v>149.69999999999999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0.998</v>
      </c>
      <c r="F46" s="58">
        <f t="shared" si="9"/>
        <v>29940</v>
      </c>
      <c r="G46" s="28">
        <f t="shared" si="10"/>
        <v>1</v>
      </c>
      <c r="H46" s="120">
        <f t="shared" si="11"/>
        <v>399.2</v>
      </c>
      <c r="I46" s="32">
        <f t="shared" si="12"/>
        <v>399.2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0.998</v>
      </c>
      <c r="F47" s="58">
        <f t="shared" si="9"/>
        <v>29940</v>
      </c>
      <c r="G47" s="28">
        <f t="shared" si="10"/>
        <v>1</v>
      </c>
      <c r="H47" s="120">
        <f t="shared" si="11"/>
        <v>19.96</v>
      </c>
      <c r="I47" s="32">
        <f t="shared" si="12"/>
        <v>19.96</v>
      </c>
    </row>
    <row r="48" spans="1:9" ht="25.5" x14ac:dyDescent="0.35">
      <c r="B48" s="24" t="str">
        <f t="shared" si="7"/>
        <v>لون صفار زعفران بودر - Saffron yellow color powder</v>
      </c>
      <c r="C48" s="24" t="str">
        <f t="shared" si="7"/>
        <v>gm</v>
      </c>
      <c r="D48" s="24">
        <f t="shared" si="7"/>
        <v>20</v>
      </c>
      <c r="E48" s="57">
        <f t="shared" si="8"/>
        <v>0.998</v>
      </c>
      <c r="F48" s="58">
        <f t="shared" si="9"/>
        <v>29940</v>
      </c>
      <c r="G48" s="28">
        <f t="shared" si="10"/>
        <v>1</v>
      </c>
      <c r="H48" s="120">
        <f t="shared" si="11"/>
        <v>19.96</v>
      </c>
      <c r="I48" s="32">
        <f t="shared" si="12"/>
        <v>19.96</v>
      </c>
    </row>
    <row r="52" spans="1:9" ht="17.649999999999999" x14ac:dyDescent="0.35">
      <c r="A52" s="134"/>
      <c r="B52" s="240" t="str">
        <f>"        رز بريانى-رز زعفران   2 / " &amp; COUNTIF($C$14:$C$16, "&gt;0")</f>
        <v xml:space="preserve">        رز بريانى-رز زعفران   2 / 1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Biryani - Saffron Rice  2 / " &amp; COUNTIF($C$14:$C$16, "&gt;0")</f>
        <v xml:space="preserve">  Biryani - Saffron Rice  2 / 1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55" t="s">
        <v>78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ht="24" customHeight="1" x14ac:dyDescent="0.35">
      <c r="B60" s="24" t="str">
        <f t="shared" si="13"/>
        <v>لون صفار زعفران بودر - Saffron yellow color powder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 (2)&amp;R&amp;B&amp;14Day 1</oddHeader>
    <oddFooter>&amp;C&amp;B&amp;10Page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50"/>
    <pageSetUpPr fitToPage="1"/>
  </sheetPr>
  <dimension ref="A1:AB74"/>
  <sheetViews>
    <sheetView topLeftCell="F1" zoomScale="70" zoomScaleNormal="70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30.6875" style="10" customWidth="1"/>
    <col min="3" max="3" width="13.1875" style="10" customWidth="1"/>
    <col min="4" max="4" width="21.75" style="10" customWidth="1"/>
    <col min="5" max="5" width="16.1875" style="10" customWidth="1"/>
    <col min="6" max="6" width="12.25" style="10" customWidth="1"/>
    <col min="7" max="7" width="25.1875" style="10" customWidth="1"/>
    <col min="8" max="8" width="16.1875" style="10" customWidth="1"/>
    <col min="9" max="9" width="18.4375" style="10" customWidth="1"/>
    <col min="10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40560</v>
      </c>
      <c r="F1" s="11" t="s">
        <v>55</v>
      </c>
      <c r="G1" s="15">
        <f>E1/C1</f>
        <v>1.3520000000000001</v>
      </c>
      <c r="H1" s="11" t="s">
        <v>56</v>
      </c>
      <c r="I1" s="16">
        <f>(G1/K1)</f>
        <v>1.3520000000000001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40060</v>
      </c>
      <c r="AA1" s="150" t="s">
        <v>207</v>
      </c>
      <c r="AB1" s="148">
        <v>500</v>
      </c>
    </row>
    <row r="2" spans="1:28" ht="12.75" customHeight="1" x14ac:dyDescent="0.35">
      <c r="A2" s="241"/>
      <c r="B2" s="241" t="s">
        <v>84</v>
      </c>
      <c r="C2" s="241"/>
      <c r="D2" s="241"/>
      <c r="E2" s="241"/>
      <c r="F2" s="241"/>
      <c r="G2" s="241"/>
      <c r="H2" s="241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82"/>
      <c r="C3" s="82"/>
      <c r="D3" s="82"/>
      <c r="E3" s="82"/>
      <c r="F3" s="82"/>
      <c r="G3" s="82"/>
      <c r="H3" s="82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ht="13.15" x14ac:dyDescent="0.35">
      <c r="B5" s="108" t="s">
        <v>5</v>
      </c>
      <c r="C5" s="25" t="s">
        <v>6</v>
      </c>
      <c r="D5" s="109">
        <v>8.33</v>
      </c>
      <c r="E5" s="27">
        <f t="shared" ref="E5:E17" si="0">$G$1</f>
        <v>1.3520000000000001</v>
      </c>
      <c r="F5" s="28">
        <v>1</v>
      </c>
      <c r="G5" s="29">
        <f t="shared" ref="G5:G17" si="1">D5*E5</f>
        <v>11.262160000000002</v>
      </c>
      <c r="H5" s="208">
        <f t="shared" ref="H5:H17" si="2">G5*F5</f>
        <v>11.262160000000002</v>
      </c>
      <c r="I5" s="212">
        <f>VLOOKUP(B5,Ordering!$A$1:$J$45,6,FALSE)</f>
        <v>1</v>
      </c>
      <c r="J5" s="212">
        <f>VLOOKUP(B5,Ordering!$A$1:$J$45,10,FALSE)</f>
        <v>5.75</v>
      </c>
      <c r="K5" s="212">
        <f>(H5/I5)</f>
        <v>11.262160000000002</v>
      </c>
      <c r="L5" s="32">
        <f>K5*J5</f>
        <v>64.75742000000001</v>
      </c>
    </row>
    <row r="6" spans="1:28" ht="13.15" x14ac:dyDescent="0.35">
      <c r="B6" s="108" t="s">
        <v>11</v>
      </c>
      <c r="C6" s="25" t="s">
        <v>213</v>
      </c>
      <c r="D6" s="26">
        <v>30000</v>
      </c>
      <c r="E6" s="27">
        <f t="shared" si="0"/>
        <v>1.3520000000000001</v>
      </c>
      <c r="F6" s="28">
        <v>1</v>
      </c>
      <c r="G6" s="29">
        <f t="shared" si="1"/>
        <v>40560</v>
      </c>
      <c r="H6" s="209">
        <f t="shared" si="2"/>
        <v>40560</v>
      </c>
      <c r="I6" s="212">
        <f>VLOOKUP(B6,Ordering!$A$1:$J$45,6,FALSE)</f>
        <v>1</v>
      </c>
      <c r="J6" s="212">
        <f>VLOOKUP(B6,Ordering!$A$1:$J$45,10,FALSE)</f>
        <v>0</v>
      </c>
      <c r="K6" s="59">
        <f t="shared" ref="K6:K17" si="3">(H6/I6)/1000</f>
        <v>40.56</v>
      </c>
      <c r="L6" s="32">
        <f t="shared" ref="L6:L17" si="4">K6*J6</f>
        <v>0</v>
      </c>
    </row>
    <row r="7" spans="1:28" ht="13.15" x14ac:dyDescent="0.35">
      <c r="B7" s="108" t="s">
        <v>16</v>
      </c>
      <c r="C7" s="25" t="s">
        <v>17</v>
      </c>
      <c r="D7" s="109">
        <v>300</v>
      </c>
      <c r="E7" s="27">
        <f t="shared" si="0"/>
        <v>1.3520000000000001</v>
      </c>
      <c r="F7" s="28">
        <v>1</v>
      </c>
      <c r="G7" s="29">
        <f t="shared" si="1"/>
        <v>405.6</v>
      </c>
      <c r="H7" s="210">
        <f t="shared" si="2"/>
        <v>405.6</v>
      </c>
      <c r="I7" s="212">
        <f>VLOOKUP(B7,Ordering!$A$1:$J$45,6,FALSE)</f>
        <v>1</v>
      </c>
      <c r="J7" s="212">
        <f>VLOOKUP(B7,Ordering!$A$1:$J$45,10,FALSE)</f>
        <v>30</v>
      </c>
      <c r="K7" s="59">
        <f t="shared" si="3"/>
        <v>0.40560000000000002</v>
      </c>
      <c r="L7" s="32">
        <f t="shared" si="4"/>
        <v>12.168000000000001</v>
      </c>
      <c r="V7" s="251"/>
    </row>
    <row r="8" spans="1:28" ht="13.15" x14ac:dyDescent="0.4">
      <c r="B8" s="108" t="s">
        <v>22</v>
      </c>
      <c r="C8" s="25" t="s">
        <v>17</v>
      </c>
      <c r="D8" s="109">
        <v>400</v>
      </c>
      <c r="E8" s="27">
        <f t="shared" si="0"/>
        <v>1.3520000000000001</v>
      </c>
      <c r="F8" s="28">
        <v>1</v>
      </c>
      <c r="G8" s="29">
        <f t="shared" si="1"/>
        <v>540.80000000000007</v>
      </c>
      <c r="H8" s="210">
        <f t="shared" si="2"/>
        <v>540.80000000000007</v>
      </c>
      <c r="I8" s="212">
        <f>VLOOKUP(B8,Ordering!$A$1:$J$45,6,FALSE)</f>
        <v>1</v>
      </c>
      <c r="J8" s="212">
        <f>VLOOKUP(B8,Ordering!$A$1:$J$45,10,FALSE)</f>
        <v>0.74</v>
      </c>
      <c r="K8" s="59">
        <f t="shared" si="3"/>
        <v>0.54080000000000006</v>
      </c>
      <c r="L8" s="32">
        <f t="shared" si="4"/>
        <v>0.40019200000000005</v>
      </c>
      <c r="V8" s="215" t="s">
        <v>17</v>
      </c>
      <c r="W8" s="216">
        <v>1</v>
      </c>
      <c r="X8" s="215" t="s">
        <v>250</v>
      </c>
      <c r="Y8" s="250">
        <f>(N16*W8)/N15</f>
        <v>3.1140148148148155E-3</v>
      </c>
    </row>
    <row r="9" spans="1:28" ht="13.15" x14ac:dyDescent="0.35">
      <c r="B9" s="108" t="s">
        <v>27</v>
      </c>
      <c r="C9" s="25" t="s">
        <v>17</v>
      </c>
      <c r="D9" s="109">
        <v>20</v>
      </c>
      <c r="E9" s="27">
        <f t="shared" si="0"/>
        <v>1.3520000000000001</v>
      </c>
      <c r="F9" s="28">
        <v>1</v>
      </c>
      <c r="G9" s="29">
        <f t="shared" si="1"/>
        <v>27.040000000000003</v>
      </c>
      <c r="H9" s="210">
        <f t="shared" si="2"/>
        <v>27.040000000000003</v>
      </c>
      <c r="I9" s="212">
        <f>VLOOKUP(B9,Ordering!$A$1:$J$45,6,FALSE)</f>
        <v>1</v>
      </c>
      <c r="J9" s="212">
        <f>VLOOKUP(B9,Ordering!$A$1:$J$45,10,FALSE)</f>
        <v>31</v>
      </c>
      <c r="K9" s="59">
        <f t="shared" si="3"/>
        <v>2.7040000000000002E-2</v>
      </c>
      <c r="L9" s="32">
        <f t="shared" si="4"/>
        <v>0.8382400000000001</v>
      </c>
    </row>
    <row r="10" spans="1:28" ht="13.15" x14ac:dyDescent="0.35">
      <c r="B10" s="108" t="s">
        <v>218</v>
      </c>
      <c r="C10" s="25" t="s">
        <v>17</v>
      </c>
      <c r="D10" s="109">
        <v>1200</v>
      </c>
      <c r="E10" s="27">
        <f t="shared" si="0"/>
        <v>1.3520000000000001</v>
      </c>
      <c r="F10" s="28">
        <v>1</v>
      </c>
      <c r="G10" s="29">
        <f t="shared" si="1"/>
        <v>1622.4</v>
      </c>
      <c r="H10" s="210">
        <f t="shared" si="2"/>
        <v>1622.4</v>
      </c>
      <c r="I10" s="212">
        <f>VLOOKUP(B10,Ordering!$A$1:$J$45,6,FALSE)</f>
        <v>1</v>
      </c>
      <c r="J10" s="212">
        <f>VLOOKUP(B10,Ordering!$A$1:$J$45,10,FALSE)</f>
        <v>8.1520833333333336</v>
      </c>
      <c r="K10" s="59">
        <f t="shared" si="3"/>
        <v>1.6224000000000001</v>
      </c>
      <c r="L10" s="32">
        <f t="shared" si="4"/>
        <v>13.225940000000001</v>
      </c>
    </row>
    <row r="11" spans="1:28" ht="13.5" customHeight="1" x14ac:dyDescent="0.35">
      <c r="B11" s="108" t="s">
        <v>24</v>
      </c>
      <c r="C11" s="25" t="s">
        <v>17</v>
      </c>
      <c r="D11" s="109">
        <v>40</v>
      </c>
      <c r="E11" s="27">
        <f t="shared" si="0"/>
        <v>1.3520000000000001</v>
      </c>
      <c r="F11" s="28">
        <v>1</v>
      </c>
      <c r="G11" s="29">
        <f t="shared" si="1"/>
        <v>54.080000000000005</v>
      </c>
      <c r="H11" s="32">
        <f t="shared" si="2"/>
        <v>54.080000000000005</v>
      </c>
      <c r="I11" s="212">
        <f>VLOOKUP(B11,Ordering!$A$1:$J$45,6,FALSE)</f>
        <v>1</v>
      </c>
      <c r="J11" s="212">
        <f>VLOOKUP(B11,Ordering!$A$1:$J$45,10,FALSE)</f>
        <v>15.277777777777779</v>
      </c>
      <c r="K11" s="218">
        <f t="shared" si="3"/>
        <v>5.4080000000000003E-2</v>
      </c>
      <c r="L11" s="32">
        <f t="shared" si="4"/>
        <v>0.8262222222222223</v>
      </c>
      <c r="M11" s="242" t="s">
        <v>84</v>
      </c>
      <c r="N11" s="242"/>
    </row>
    <row r="12" spans="1:28" ht="13.5" customHeight="1" x14ac:dyDescent="0.35">
      <c r="B12" s="108" t="s">
        <v>30</v>
      </c>
      <c r="C12" s="25" t="s">
        <v>17</v>
      </c>
      <c r="D12" s="109">
        <v>20</v>
      </c>
      <c r="E12" s="27">
        <f t="shared" si="0"/>
        <v>1.3520000000000001</v>
      </c>
      <c r="F12" s="28">
        <v>1</v>
      </c>
      <c r="G12" s="29">
        <f t="shared" si="1"/>
        <v>27.040000000000003</v>
      </c>
      <c r="H12" s="32">
        <f t="shared" si="2"/>
        <v>27.040000000000003</v>
      </c>
      <c r="I12" s="212">
        <f>VLOOKUP(B12,Ordering!$A$1:$J$45,6,FALSE)</f>
        <v>1</v>
      </c>
      <c r="J12" s="212">
        <f>VLOOKUP(B12,Ordering!$A$1:$J$45,10,FALSE)</f>
        <v>15</v>
      </c>
      <c r="K12" s="218">
        <f t="shared" si="3"/>
        <v>2.7040000000000002E-2</v>
      </c>
      <c r="L12" s="32">
        <f t="shared" si="4"/>
        <v>0.40560000000000002</v>
      </c>
      <c r="M12" s="48" t="s">
        <v>69</v>
      </c>
      <c r="N12" s="48" t="s">
        <v>70</v>
      </c>
    </row>
    <row r="13" spans="1:28" ht="13.5" customHeight="1" x14ac:dyDescent="0.35">
      <c r="B13" s="108" t="s">
        <v>32</v>
      </c>
      <c r="C13" s="25" t="s">
        <v>17</v>
      </c>
      <c r="D13" s="109">
        <v>10</v>
      </c>
      <c r="E13" s="27">
        <f t="shared" si="0"/>
        <v>1.3520000000000001</v>
      </c>
      <c r="F13" s="28">
        <v>1</v>
      </c>
      <c r="G13" s="29">
        <f t="shared" si="1"/>
        <v>13.520000000000001</v>
      </c>
      <c r="H13" s="32">
        <f t="shared" si="2"/>
        <v>13.520000000000001</v>
      </c>
      <c r="I13" s="212">
        <f>VLOOKUP(B13,Ordering!$A$1:$J$45,6,FALSE)</f>
        <v>1</v>
      </c>
      <c r="J13" s="212">
        <f>VLOOKUP(B13,Ordering!$A$1:$J$45,10,FALSE)</f>
        <v>15</v>
      </c>
      <c r="K13" s="59">
        <f t="shared" si="3"/>
        <v>1.3520000000000001E-2</v>
      </c>
      <c r="L13" s="32">
        <f t="shared" si="4"/>
        <v>0.20280000000000001</v>
      </c>
      <c r="M13" s="48" t="s">
        <v>72</v>
      </c>
      <c r="N13" s="130">
        <f>$Z$1</f>
        <v>40060</v>
      </c>
    </row>
    <row r="14" spans="1:28" ht="13.5" customHeight="1" x14ac:dyDescent="0.35">
      <c r="B14" s="108" t="s">
        <v>210</v>
      </c>
      <c r="C14" s="25" t="s">
        <v>17</v>
      </c>
      <c r="D14" s="109">
        <v>20</v>
      </c>
      <c r="E14" s="27">
        <f t="shared" si="0"/>
        <v>1.3520000000000001</v>
      </c>
      <c r="F14" s="28">
        <v>1</v>
      </c>
      <c r="G14" s="29">
        <f t="shared" si="1"/>
        <v>27.040000000000003</v>
      </c>
      <c r="H14" s="32">
        <f t="shared" si="2"/>
        <v>27.040000000000003</v>
      </c>
      <c r="I14" s="212">
        <f>VLOOKUP(B14,Ordering!$A$1:$J$45,6,FALSE)</f>
        <v>1</v>
      </c>
      <c r="J14" s="212">
        <f>VLOOKUP(B14,Ordering!$A$1:$J$45,10,FALSE)</f>
        <v>8</v>
      </c>
      <c r="K14" s="59">
        <f t="shared" si="3"/>
        <v>2.7040000000000002E-2</v>
      </c>
      <c r="L14" s="32">
        <f t="shared" si="4"/>
        <v>0.21632000000000001</v>
      </c>
      <c r="M14" s="48" t="s">
        <v>74</v>
      </c>
      <c r="N14" s="129">
        <f>$AB$1</f>
        <v>500</v>
      </c>
    </row>
    <row r="15" spans="1:28" ht="14.25" customHeight="1" thickBot="1" x14ac:dyDescent="0.4">
      <c r="B15" s="108" t="s">
        <v>35</v>
      </c>
      <c r="C15" s="25" t="s">
        <v>17</v>
      </c>
      <c r="D15" s="109">
        <v>5</v>
      </c>
      <c r="E15" s="27">
        <f t="shared" si="0"/>
        <v>1.3520000000000001</v>
      </c>
      <c r="F15" s="28">
        <v>1</v>
      </c>
      <c r="G15" s="29">
        <f t="shared" si="1"/>
        <v>6.7600000000000007</v>
      </c>
      <c r="H15" s="32">
        <f t="shared" si="2"/>
        <v>6.7600000000000007</v>
      </c>
      <c r="I15" s="212">
        <f>VLOOKUP(B15,Ordering!$A$1:$J$45,6,FALSE)</f>
        <v>1</v>
      </c>
      <c r="J15" s="212">
        <f>VLOOKUP(B15,Ordering!$A$1:$J$45,10,FALSE)</f>
        <v>14</v>
      </c>
      <c r="K15" s="59">
        <f t="shared" si="3"/>
        <v>6.7600000000000004E-3</v>
      </c>
      <c r="L15" s="32">
        <f t="shared" si="4"/>
        <v>9.4640000000000002E-2</v>
      </c>
      <c r="M15" s="48" t="s">
        <v>71</v>
      </c>
      <c r="N15" s="52">
        <f>N13+N14</f>
        <v>40560</v>
      </c>
    </row>
    <row r="16" spans="1:28" ht="14.25" customHeight="1" thickBot="1" x14ac:dyDescent="0.45">
      <c r="B16" s="108" t="s">
        <v>49</v>
      </c>
      <c r="C16" s="25" t="s">
        <v>17</v>
      </c>
      <c r="D16" s="109">
        <v>6000</v>
      </c>
      <c r="E16" s="27">
        <f t="shared" si="0"/>
        <v>1.3520000000000001</v>
      </c>
      <c r="F16" s="28">
        <v>1</v>
      </c>
      <c r="G16" s="29">
        <f t="shared" si="1"/>
        <v>8112.0000000000009</v>
      </c>
      <c r="H16" s="32">
        <f t="shared" si="2"/>
        <v>8112.0000000000009</v>
      </c>
      <c r="I16" s="212">
        <f>VLOOKUP(B16,Ordering!$A$1:$J$45,6,FALSE)</f>
        <v>0.9</v>
      </c>
      <c r="J16" s="212">
        <f>VLOOKUP(B16,Ordering!$A$1:$J$45,10,FALSE)</f>
        <v>3</v>
      </c>
      <c r="K16" s="59">
        <f t="shared" si="3"/>
        <v>9.0133333333333336</v>
      </c>
      <c r="L16" s="32">
        <f t="shared" si="4"/>
        <v>27.04</v>
      </c>
      <c r="M16" s="213" t="s">
        <v>250</v>
      </c>
      <c r="N16" s="214">
        <f>SUM(L5:L17)</f>
        <v>126.30444088888892</v>
      </c>
    </row>
    <row r="17" spans="2:15" ht="13.5" customHeight="1" x14ac:dyDescent="0.35">
      <c r="B17" s="24" t="s">
        <v>104</v>
      </c>
      <c r="C17" s="25" t="s">
        <v>213</v>
      </c>
      <c r="D17" s="26">
        <v>200</v>
      </c>
      <c r="E17" s="27">
        <f t="shared" si="0"/>
        <v>1.3520000000000001</v>
      </c>
      <c r="F17" s="28">
        <v>1</v>
      </c>
      <c r="G17" s="29">
        <f t="shared" si="1"/>
        <v>270.40000000000003</v>
      </c>
      <c r="H17" s="32">
        <f t="shared" si="2"/>
        <v>270.40000000000003</v>
      </c>
      <c r="I17" s="212">
        <f>VLOOKUP(B17,Ordering!$A$1:$J$45,6,FALSE)</f>
        <v>1</v>
      </c>
      <c r="J17" s="212">
        <f>VLOOKUP(B17,Ordering!$A$1:$J$45,10,FALSE)</f>
        <v>22.666666666666668</v>
      </c>
      <c r="K17" s="59">
        <f t="shared" si="3"/>
        <v>0.27040000000000003</v>
      </c>
      <c r="L17" s="32">
        <f t="shared" si="4"/>
        <v>6.1290666666666676</v>
      </c>
    </row>
    <row r="18" spans="2:15" x14ac:dyDescent="0.35">
      <c r="B18" s="40"/>
      <c r="C18" s="41"/>
      <c r="D18" s="42"/>
      <c r="E18" s="43"/>
      <c r="F18" s="44"/>
      <c r="G18" s="45"/>
      <c r="H18" s="46"/>
      <c r="I18" s="18"/>
      <c r="J18" s="18"/>
      <c r="K18" s="18"/>
    </row>
    <row r="19" spans="2:15" ht="13.5" x14ac:dyDescent="0.35">
      <c r="B19" s="47"/>
      <c r="C19" s="47" t="s">
        <v>55</v>
      </c>
      <c r="D19" s="47" t="s">
        <v>68</v>
      </c>
      <c r="E19" s="18"/>
      <c r="F19" s="18"/>
      <c r="I19" s="18"/>
      <c r="J19" s="18"/>
      <c r="K19" s="18"/>
    </row>
    <row r="20" spans="2:15" ht="13.5" customHeight="1" x14ac:dyDescent="0.35">
      <c r="B20" s="48" t="s">
        <v>71</v>
      </c>
      <c r="C20" s="49">
        <f>I1</f>
        <v>1.3520000000000001</v>
      </c>
      <c r="D20" s="50">
        <f>E1</f>
        <v>40560</v>
      </c>
      <c r="G20" s="18"/>
      <c r="I20" s="18"/>
      <c r="J20" s="18"/>
      <c r="K20" s="18"/>
    </row>
    <row r="21" spans="2:15" ht="13.5" customHeight="1" x14ac:dyDescent="0.35">
      <c r="B21" s="48" t="s">
        <v>73</v>
      </c>
      <c r="C21" s="51">
        <f>MIN($C$20,1)</f>
        <v>1</v>
      </c>
      <c r="D21" s="50">
        <f>C21*$C$1</f>
        <v>30000</v>
      </c>
      <c r="E21" s="18"/>
      <c r="F21" s="18"/>
      <c r="G21" s="18"/>
      <c r="J21" s="18"/>
      <c r="K21" s="18"/>
    </row>
    <row r="22" spans="2:15" ht="13.5" customHeight="1" x14ac:dyDescent="0.35">
      <c r="B22" s="48" t="s">
        <v>75</v>
      </c>
      <c r="C22" s="51">
        <f>MIN(MAX($C$20-C21,0),30)</f>
        <v>0.35200000000000009</v>
      </c>
      <c r="D22" s="50">
        <f>C22*$C$1</f>
        <v>10560.000000000002</v>
      </c>
      <c r="E22" s="18"/>
      <c r="F22" s="18"/>
      <c r="G22" s="18"/>
    </row>
    <row r="23" spans="2:15" ht="13.5" customHeight="1" x14ac:dyDescent="0.35">
      <c r="B23" s="48"/>
      <c r="C23" s="66">
        <f>MIN(MAX($C$20-C21-C22,0),10)</f>
        <v>0</v>
      </c>
      <c r="D23" s="67">
        <f>C23*$K$1</f>
        <v>0</v>
      </c>
      <c r="E23" s="18"/>
      <c r="F23" s="18"/>
      <c r="G23" s="18"/>
    </row>
    <row r="24" spans="2:15" ht="13.5" customHeight="1" x14ac:dyDescent="0.35">
      <c r="B24" s="18"/>
      <c r="E24" s="18"/>
      <c r="F24" s="18"/>
      <c r="G24" s="18"/>
    </row>
    <row r="26" spans="2:15" ht="18" customHeight="1" x14ac:dyDescent="0.35"/>
    <row r="27" spans="2:15" ht="33.5" customHeight="1" x14ac:dyDescent="0.35"/>
    <row r="28" spans="2:15" ht="13.5" x14ac:dyDescent="0.35">
      <c r="N28" s="245"/>
      <c r="O28" s="245"/>
    </row>
    <row r="40" spans="1:9" ht="17.649999999999999" x14ac:dyDescent="0.35">
      <c r="A40" s="134"/>
      <c r="B40" s="240" t="str">
        <f>"    رز صيادية   1 / " &amp; COUNTIF($C$21:$C$23, "&gt;0")</f>
        <v xml:space="preserve">    رز صيادية   1 / 2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Sayadieh Rice   1 / " &amp; COUNTIF($C$21:$C$23, "&gt;0")</f>
        <v xml:space="preserve">  Sayadieh Rice   1 / 2</v>
      </c>
      <c r="C41" s="240"/>
      <c r="D41" s="240"/>
      <c r="E41" s="240"/>
      <c r="F41" s="240"/>
      <c r="G41" s="240"/>
      <c r="H41" s="240"/>
      <c r="I41" s="240"/>
    </row>
    <row r="42" spans="1:9" ht="65.650000000000006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ht="13.5" customHeight="1" x14ac:dyDescent="0.35">
      <c r="B43" s="86" t="str">
        <f t="shared" ref="B43:D55" si="5">B5</f>
        <v>Rice - رز</v>
      </c>
      <c r="C43" s="86" t="str">
        <f t="shared" si="5"/>
        <v>KG</v>
      </c>
      <c r="D43" s="86">
        <f t="shared" si="5"/>
        <v>8.33</v>
      </c>
      <c r="E43" s="87">
        <f t="shared" ref="E43:E55" si="6">$C$21</f>
        <v>1</v>
      </c>
      <c r="F43" s="88">
        <f t="shared" ref="F43:F55" si="7">$D$21</f>
        <v>30000</v>
      </c>
      <c r="G43" s="89">
        <f t="shared" ref="G43:G55" si="8">F5</f>
        <v>1</v>
      </c>
      <c r="H43" s="107">
        <f t="shared" ref="H43:H55" si="9">D43*E43</f>
        <v>8.33</v>
      </c>
      <c r="I43" s="90">
        <f t="shared" ref="I43:I52" si="10">H43*G43</f>
        <v>8.33</v>
      </c>
    </row>
    <row r="44" spans="1:9" ht="18" customHeight="1" x14ac:dyDescent="0.35">
      <c r="B44" s="86" t="str">
        <f t="shared" si="5"/>
        <v>Water - ماء</v>
      </c>
      <c r="C44" s="86" t="str">
        <f t="shared" si="5"/>
        <v>ml</v>
      </c>
      <c r="D44" s="86">
        <f t="shared" si="5"/>
        <v>30000</v>
      </c>
      <c r="E44" s="87">
        <f t="shared" si="6"/>
        <v>1</v>
      </c>
      <c r="F44" s="88">
        <f t="shared" si="7"/>
        <v>30000</v>
      </c>
      <c r="G44" s="89">
        <f t="shared" si="8"/>
        <v>1</v>
      </c>
      <c r="H44" s="107">
        <f t="shared" si="9"/>
        <v>30000</v>
      </c>
      <c r="I44" s="90">
        <f t="shared" si="10"/>
        <v>30000</v>
      </c>
    </row>
    <row r="45" spans="1:9" ht="18" customHeight="1" x14ac:dyDescent="0.35">
      <c r="B45" s="86" t="str">
        <f t="shared" si="5"/>
        <v>Butter - زبدة</v>
      </c>
      <c r="C45" s="86" t="str">
        <f t="shared" si="5"/>
        <v>gm</v>
      </c>
      <c r="D45" s="86">
        <f t="shared" si="5"/>
        <v>300</v>
      </c>
      <c r="E45" s="57">
        <f t="shared" si="6"/>
        <v>1</v>
      </c>
      <c r="F45" s="58">
        <f t="shared" si="7"/>
        <v>30000</v>
      </c>
      <c r="G45" s="89">
        <f t="shared" si="8"/>
        <v>1</v>
      </c>
      <c r="H45" s="107">
        <f t="shared" si="9"/>
        <v>300</v>
      </c>
      <c r="I45" s="90">
        <f t="shared" si="10"/>
        <v>300</v>
      </c>
    </row>
    <row r="46" spans="1:9" x14ac:dyDescent="0.35">
      <c r="B46" s="86" t="str">
        <f t="shared" si="5"/>
        <v>Salt - ملح</v>
      </c>
      <c r="C46" s="86" t="str">
        <f t="shared" si="5"/>
        <v>gm</v>
      </c>
      <c r="D46" s="86">
        <f t="shared" si="5"/>
        <v>400</v>
      </c>
      <c r="E46" s="57">
        <f t="shared" si="6"/>
        <v>1</v>
      </c>
      <c r="F46" s="58">
        <f t="shared" si="7"/>
        <v>30000</v>
      </c>
      <c r="G46" s="89">
        <f t="shared" si="8"/>
        <v>1</v>
      </c>
      <c r="H46" s="107">
        <f t="shared" si="9"/>
        <v>400</v>
      </c>
      <c r="I46" s="90">
        <f t="shared" si="10"/>
        <v>400</v>
      </c>
    </row>
    <row r="47" spans="1:9" ht="18.75" customHeight="1" x14ac:dyDescent="0.35">
      <c r="B47" s="86" t="str">
        <f t="shared" si="5"/>
        <v>Cardamom Whole - هيل حب</v>
      </c>
      <c r="C47" s="86" t="str">
        <f t="shared" si="5"/>
        <v>gm</v>
      </c>
      <c r="D47" s="86">
        <f t="shared" si="5"/>
        <v>20</v>
      </c>
      <c r="E47" s="57">
        <f t="shared" si="6"/>
        <v>1</v>
      </c>
      <c r="F47" s="58">
        <f t="shared" si="7"/>
        <v>30000</v>
      </c>
      <c r="G47" s="89">
        <f t="shared" si="8"/>
        <v>1</v>
      </c>
      <c r="H47" s="107">
        <f t="shared" si="9"/>
        <v>20</v>
      </c>
      <c r="I47" s="90">
        <f t="shared" si="10"/>
        <v>20</v>
      </c>
    </row>
    <row r="48" spans="1:9" x14ac:dyDescent="0.35">
      <c r="B48" s="86" t="str">
        <f t="shared" si="5"/>
        <v>Tomato Paste - صلصة طماطم</v>
      </c>
      <c r="C48" s="86" t="str">
        <f t="shared" si="5"/>
        <v>gm</v>
      </c>
      <c r="D48" s="86">
        <f t="shared" si="5"/>
        <v>1200</v>
      </c>
      <c r="E48" s="57">
        <f t="shared" si="6"/>
        <v>1</v>
      </c>
      <c r="F48" s="58">
        <f t="shared" si="7"/>
        <v>30000</v>
      </c>
      <c r="G48" s="89">
        <f t="shared" si="8"/>
        <v>1</v>
      </c>
      <c r="H48" s="107">
        <f t="shared" si="9"/>
        <v>1200</v>
      </c>
      <c r="I48" s="90">
        <f t="shared" si="10"/>
        <v>1200</v>
      </c>
    </row>
    <row r="49" spans="1:9" x14ac:dyDescent="0.35">
      <c r="B49" s="86" t="str">
        <f t="shared" si="5"/>
        <v>Maggi Cubes - مكعبات ماجي</v>
      </c>
      <c r="C49" s="86" t="str">
        <f t="shared" si="5"/>
        <v>gm</v>
      </c>
      <c r="D49" s="86">
        <f t="shared" si="5"/>
        <v>40</v>
      </c>
      <c r="E49" s="57">
        <f t="shared" si="6"/>
        <v>1</v>
      </c>
      <c r="F49" s="58">
        <f t="shared" si="7"/>
        <v>30000</v>
      </c>
      <c r="G49" s="89">
        <f t="shared" si="8"/>
        <v>1</v>
      </c>
      <c r="H49" s="107">
        <f t="shared" si="9"/>
        <v>40</v>
      </c>
      <c r="I49" s="90">
        <f t="shared" si="10"/>
        <v>40</v>
      </c>
    </row>
    <row r="50" spans="1:9" x14ac:dyDescent="0.35">
      <c r="B50" s="86" t="str">
        <f t="shared" si="5"/>
        <v>Cumin Powder - كمون مطحون</v>
      </c>
      <c r="C50" s="86" t="str">
        <f t="shared" si="5"/>
        <v>gm</v>
      </c>
      <c r="D50" s="86">
        <f t="shared" si="5"/>
        <v>20</v>
      </c>
      <c r="E50" s="57">
        <f t="shared" si="6"/>
        <v>1</v>
      </c>
      <c r="F50" s="58">
        <f t="shared" si="7"/>
        <v>30000</v>
      </c>
      <c r="G50" s="89">
        <f t="shared" si="8"/>
        <v>1</v>
      </c>
      <c r="H50" s="107">
        <f t="shared" si="9"/>
        <v>20</v>
      </c>
      <c r="I50" s="90">
        <f t="shared" si="10"/>
        <v>20</v>
      </c>
    </row>
    <row r="51" spans="1:9" x14ac:dyDescent="0.35">
      <c r="B51" s="86" t="str">
        <f t="shared" si="5"/>
        <v>Coriander Powder - كزبرة مطحونة</v>
      </c>
      <c r="C51" s="86" t="str">
        <f t="shared" si="5"/>
        <v>gm</v>
      </c>
      <c r="D51" s="86">
        <f t="shared" si="5"/>
        <v>10</v>
      </c>
      <c r="E51" s="57">
        <f t="shared" si="6"/>
        <v>1</v>
      </c>
      <c r="F51" s="58">
        <f t="shared" si="7"/>
        <v>30000</v>
      </c>
      <c r="G51" s="89">
        <f t="shared" si="8"/>
        <v>1</v>
      </c>
      <c r="H51" s="107">
        <f t="shared" si="9"/>
        <v>10</v>
      </c>
      <c r="I51" s="90">
        <f t="shared" si="10"/>
        <v>10</v>
      </c>
    </row>
    <row r="52" spans="1:9" x14ac:dyDescent="0.35">
      <c r="B52" s="86" t="str">
        <f t="shared" si="5"/>
        <v>Cinnamon Powder - قرفة مطحونة</v>
      </c>
      <c r="C52" s="86" t="str">
        <f t="shared" si="5"/>
        <v>gm</v>
      </c>
      <c r="D52" s="86">
        <f t="shared" si="5"/>
        <v>20</v>
      </c>
      <c r="E52" s="57">
        <f t="shared" si="6"/>
        <v>1</v>
      </c>
      <c r="F52" s="58">
        <f t="shared" si="7"/>
        <v>30000</v>
      </c>
      <c r="G52" s="89">
        <f t="shared" si="8"/>
        <v>1</v>
      </c>
      <c r="H52" s="107">
        <f t="shared" si="9"/>
        <v>20</v>
      </c>
      <c r="I52" s="90">
        <f t="shared" si="10"/>
        <v>20</v>
      </c>
    </row>
    <row r="53" spans="1:9" x14ac:dyDescent="0.35">
      <c r="B53" s="86" t="str">
        <f t="shared" si="5"/>
        <v>Black Pepper Powder - فلفل أسود مطحون</v>
      </c>
      <c r="C53" s="86" t="str">
        <f t="shared" si="5"/>
        <v>gm</v>
      </c>
      <c r="D53" s="86">
        <f t="shared" si="5"/>
        <v>5</v>
      </c>
      <c r="E53" s="57">
        <f t="shared" si="6"/>
        <v>1</v>
      </c>
      <c r="F53" s="58">
        <f t="shared" si="7"/>
        <v>30000</v>
      </c>
      <c r="G53" s="89">
        <f t="shared" si="8"/>
        <v>1</v>
      </c>
      <c r="H53" s="107">
        <f t="shared" si="9"/>
        <v>5</v>
      </c>
      <c r="I53" s="90">
        <f t="shared" ref="I53:I55" si="11">H53*G53</f>
        <v>5</v>
      </c>
    </row>
    <row r="54" spans="1:9" x14ac:dyDescent="0.35">
      <c r="B54" s="86" t="str">
        <f t="shared" si="5"/>
        <v>Onion - بصل</v>
      </c>
      <c r="C54" s="86" t="str">
        <f t="shared" si="5"/>
        <v>gm</v>
      </c>
      <c r="D54" s="86">
        <f t="shared" si="5"/>
        <v>6000</v>
      </c>
      <c r="E54" s="57">
        <f t="shared" si="6"/>
        <v>1</v>
      </c>
      <c r="F54" s="58">
        <f t="shared" si="7"/>
        <v>30000</v>
      </c>
      <c r="G54" s="89">
        <f t="shared" si="8"/>
        <v>1</v>
      </c>
      <c r="H54" s="107">
        <f t="shared" si="9"/>
        <v>6000</v>
      </c>
      <c r="I54" s="90">
        <f t="shared" si="11"/>
        <v>6000</v>
      </c>
    </row>
    <row r="55" spans="1:9" x14ac:dyDescent="0.35">
      <c r="B55" s="86" t="str">
        <f t="shared" si="5"/>
        <v>Sweet Soy Sauce - صويا صوص حلو</v>
      </c>
      <c r="C55" s="86" t="str">
        <f t="shared" si="5"/>
        <v>ml</v>
      </c>
      <c r="D55" s="86">
        <f t="shared" si="5"/>
        <v>200</v>
      </c>
      <c r="E55" s="87">
        <f t="shared" si="6"/>
        <v>1</v>
      </c>
      <c r="F55" s="88">
        <f t="shared" si="7"/>
        <v>30000</v>
      </c>
      <c r="G55" s="89">
        <f t="shared" si="8"/>
        <v>1</v>
      </c>
      <c r="H55" s="107">
        <f t="shared" si="9"/>
        <v>200</v>
      </c>
      <c r="I55" s="90">
        <f t="shared" si="11"/>
        <v>200</v>
      </c>
    </row>
    <row r="56" spans="1:9" x14ac:dyDescent="0.35">
      <c r="B56" s="18"/>
      <c r="E56" s="18"/>
      <c r="F56" s="18"/>
      <c r="H56" s="103"/>
    </row>
    <row r="58" spans="1:9" x14ac:dyDescent="0.35">
      <c r="B58" s="18"/>
      <c r="E58" s="18"/>
      <c r="F58" s="18"/>
    </row>
    <row r="59" spans="1:9" ht="17.649999999999999" x14ac:dyDescent="0.35">
      <c r="A59" s="134"/>
      <c r="B59" s="240" t="str">
        <f>"    رز صيادية   2 / " &amp; COUNTIF($C$21:$C$23, "&gt;0")</f>
        <v xml:space="preserve">    رز صيادية   2 / 2</v>
      </c>
      <c r="C59" s="240"/>
      <c r="D59" s="240"/>
      <c r="E59" s="240"/>
      <c r="F59" s="240"/>
      <c r="G59" s="240"/>
      <c r="H59" s="240"/>
      <c r="I59" s="240"/>
    </row>
    <row r="60" spans="1:9" ht="17.649999999999999" x14ac:dyDescent="0.35">
      <c r="A60" s="134"/>
      <c r="B60" s="240" t="str">
        <f>"  Sayadieh Rice   2 / " &amp; COUNTIF($C$21:$C$23, "&gt;0")</f>
        <v xml:space="preserve">  Sayadieh Rice   2 / 2</v>
      </c>
      <c r="C60" s="240"/>
      <c r="D60" s="240"/>
      <c r="E60" s="240"/>
      <c r="F60" s="240"/>
      <c r="G60" s="240"/>
      <c r="H60" s="240"/>
      <c r="I60" s="240"/>
    </row>
    <row r="61" spans="1:9" ht="65.650000000000006" x14ac:dyDescent="0.35">
      <c r="B61" s="19" t="s">
        <v>60</v>
      </c>
      <c r="C61" s="20" t="s">
        <v>61</v>
      </c>
      <c r="D61" s="19" t="s">
        <v>62</v>
      </c>
      <c r="E61" s="21" t="s">
        <v>63</v>
      </c>
      <c r="F61" s="55" t="s">
        <v>77</v>
      </c>
      <c r="G61" s="21" t="s">
        <v>64</v>
      </c>
      <c r="H61" s="104" t="s">
        <v>65</v>
      </c>
      <c r="I61" s="23" t="s">
        <v>66</v>
      </c>
    </row>
    <row r="62" spans="1:9" ht="13.5" customHeight="1" x14ac:dyDescent="0.35">
      <c r="B62" s="24" t="str">
        <f t="shared" ref="B62:D74" si="12">B5</f>
        <v>Rice - رز</v>
      </c>
      <c r="C62" s="24" t="str">
        <f t="shared" si="12"/>
        <v>KG</v>
      </c>
      <c r="D62" s="24">
        <f t="shared" si="12"/>
        <v>8.33</v>
      </c>
      <c r="E62" s="27">
        <f t="shared" ref="E62:E74" si="13">$C$22</f>
        <v>0.35200000000000009</v>
      </c>
      <c r="F62" s="68">
        <f t="shared" ref="F62:F74" si="14">$D$22</f>
        <v>10560.000000000002</v>
      </c>
      <c r="G62" s="28">
        <f t="shared" ref="G62:G74" si="15">F5</f>
        <v>1</v>
      </c>
      <c r="H62" s="84">
        <f t="shared" ref="H62:H74" si="16">D62*E62</f>
        <v>2.932160000000001</v>
      </c>
      <c r="I62" s="32">
        <f t="shared" ref="I62:I74" si="17">H62*G62</f>
        <v>2.932160000000001</v>
      </c>
    </row>
    <row r="63" spans="1:9" x14ac:dyDescent="0.35">
      <c r="B63" s="24" t="str">
        <f t="shared" si="12"/>
        <v>Water - ماء</v>
      </c>
      <c r="C63" s="24" t="str">
        <f t="shared" si="12"/>
        <v>ml</v>
      </c>
      <c r="D63" s="24">
        <f t="shared" si="12"/>
        <v>30000</v>
      </c>
      <c r="E63" s="27">
        <f t="shared" si="13"/>
        <v>0.35200000000000009</v>
      </c>
      <c r="F63" s="68">
        <f t="shared" si="14"/>
        <v>10560.000000000002</v>
      </c>
      <c r="G63" s="28">
        <f t="shared" si="15"/>
        <v>1</v>
      </c>
      <c r="H63" s="84">
        <f t="shared" si="16"/>
        <v>10560.000000000002</v>
      </c>
      <c r="I63" s="32">
        <f t="shared" si="17"/>
        <v>10560.000000000002</v>
      </c>
    </row>
    <row r="64" spans="1:9" x14ac:dyDescent="0.35">
      <c r="B64" s="24" t="str">
        <f t="shared" si="12"/>
        <v>Butter - زبدة</v>
      </c>
      <c r="C64" s="24" t="str">
        <f t="shared" si="12"/>
        <v>gm</v>
      </c>
      <c r="D64" s="24">
        <f t="shared" si="12"/>
        <v>300</v>
      </c>
      <c r="E64" s="27">
        <f t="shared" si="13"/>
        <v>0.35200000000000009</v>
      </c>
      <c r="F64" s="68">
        <f t="shared" si="14"/>
        <v>10560.000000000002</v>
      </c>
      <c r="G64" s="28">
        <f t="shared" si="15"/>
        <v>1</v>
      </c>
      <c r="H64" s="84">
        <f t="shared" si="16"/>
        <v>105.60000000000002</v>
      </c>
      <c r="I64" s="32">
        <f t="shared" si="17"/>
        <v>105.60000000000002</v>
      </c>
    </row>
    <row r="65" spans="2:9" x14ac:dyDescent="0.35">
      <c r="B65" s="24" t="str">
        <f t="shared" si="12"/>
        <v>Salt - ملح</v>
      </c>
      <c r="C65" s="24" t="str">
        <f t="shared" si="12"/>
        <v>gm</v>
      </c>
      <c r="D65" s="24">
        <f t="shared" si="12"/>
        <v>400</v>
      </c>
      <c r="E65" s="27">
        <f t="shared" si="13"/>
        <v>0.35200000000000009</v>
      </c>
      <c r="F65" s="68">
        <f t="shared" si="14"/>
        <v>10560.000000000002</v>
      </c>
      <c r="G65" s="28">
        <f t="shared" si="15"/>
        <v>1</v>
      </c>
      <c r="H65" s="84">
        <f t="shared" si="16"/>
        <v>140.80000000000004</v>
      </c>
      <c r="I65" s="32">
        <f t="shared" si="17"/>
        <v>140.80000000000004</v>
      </c>
    </row>
    <row r="66" spans="2:9" x14ac:dyDescent="0.35">
      <c r="B66" s="24" t="str">
        <f t="shared" si="12"/>
        <v>Cardamom Whole - هيل حب</v>
      </c>
      <c r="C66" s="24" t="str">
        <f t="shared" si="12"/>
        <v>gm</v>
      </c>
      <c r="D66" s="24">
        <f t="shared" si="12"/>
        <v>20</v>
      </c>
      <c r="E66" s="27">
        <f t="shared" si="13"/>
        <v>0.35200000000000009</v>
      </c>
      <c r="F66" s="68">
        <f t="shared" si="14"/>
        <v>10560.000000000002</v>
      </c>
      <c r="G66" s="28">
        <f t="shared" si="15"/>
        <v>1</v>
      </c>
      <c r="H66" s="84">
        <f t="shared" si="16"/>
        <v>7.0400000000000018</v>
      </c>
      <c r="I66" s="32">
        <f t="shared" si="17"/>
        <v>7.0400000000000018</v>
      </c>
    </row>
    <row r="67" spans="2:9" x14ac:dyDescent="0.35">
      <c r="B67" s="24" t="str">
        <f t="shared" si="12"/>
        <v>Tomato Paste - صلصة طماطم</v>
      </c>
      <c r="C67" s="24" t="str">
        <f t="shared" si="12"/>
        <v>gm</v>
      </c>
      <c r="D67" s="24">
        <f t="shared" si="12"/>
        <v>1200</v>
      </c>
      <c r="E67" s="27">
        <f t="shared" si="13"/>
        <v>0.35200000000000009</v>
      </c>
      <c r="F67" s="68">
        <f t="shared" si="14"/>
        <v>10560.000000000002</v>
      </c>
      <c r="G67" s="28">
        <f t="shared" si="15"/>
        <v>1</v>
      </c>
      <c r="H67" s="84">
        <f t="shared" si="16"/>
        <v>422.40000000000009</v>
      </c>
      <c r="I67" s="32">
        <f t="shared" si="17"/>
        <v>422.40000000000009</v>
      </c>
    </row>
    <row r="68" spans="2:9" x14ac:dyDescent="0.35">
      <c r="B68" s="24" t="str">
        <f t="shared" si="12"/>
        <v>Maggi Cubes - مكعبات ماجي</v>
      </c>
      <c r="C68" s="24" t="str">
        <f t="shared" si="12"/>
        <v>gm</v>
      </c>
      <c r="D68" s="24">
        <f t="shared" si="12"/>
        <v>40</v>
      </c>
      <c r="E68" s="27">
        <f t="shared" si="13"/>
        <v>0.35200000000000009</v>
      </c>
      <c r="F68" s="68">
        <f t="shared" si="14"/>
        <v>10560.000000000002</v>
      </c>
      <c r="G68" s="28">
        <f t="shared" si="15"/>
        <v>1</v>
      </c>
      <c r="H68" s="84">
        <f t="shared" si="16"/>
        <v>14.080000000000004</v>
      </c>
      <c r="I68" s="32">
        <f t="shared" si="17"/>
        <v>14.080000000000004</v>
      </c>
    </row>
    <row r="69" spans="2:9" x14ac:dyDescent="0.35">
      <c r="B69" s="24" t="str">
        <f t="shared" si="12"/>
        <v>Cumin Powder - كمون مطحون</v>
      </c>
      <c r="C69" s="24" t="str">
        <f t="shared" si="12"/>
        <v>gm</v>
      </c>
      <c r="D69" s="24">
        <f t="shared" si="12"/>
        <v>20</v>
      </c>
      <c r="E69" s="27">
        <f t="shared" si="13"/>
        <v>0.35200000000000009</v>
      </c>
      <c r="F69" s="68">
        <f t="shared" si="14"/>
        <v>10560.000000000002</v>
      </c>
      <c r="G69" s="28">
        <f t="shared" si="15"/>
        <v>1</v>
      </c>
      <c r="H69" s="84">
        <f t="shared" si="16"/>
        <v>7.0400000000000018</v>
      </c>
      <c r="I69" s="32">
        <f t="shared" si="17"/>
        <v>7.0400000000000018</v>
      </c>
    </row>
    <row r="70" spans="2:9" x14ac:dyDescent="0.35">
      <c r="B70" s="24" t="str">
        <f t="shared" si="12"/>
        <v>Coriander Powder - كزبرة مطحونة</v>
      </c>
      <c r="C70" s="24" t="str">
        <f t="shared" si="12"/>
        <v>gm</v>
      </c>
      <c r="D70" s="24">
        <f t="shared" si="12"/>
        <v>10</v>
      </c>
      <c r="E70" s="27">
        <f t="shared" si="13"/>
        <v>0.35200000000000009</v>
      </c>
      <c r="F70" s="68">
        <f t="shared" si="14"/>
        <v>10560.000000000002</v>
      </c>
      <c r="G70" s="28">
        <f t="shared" si="15"/>
        <v>1</v>
      </c>
      <c r="H70" s="84">
        <f t="shared" si="16"/>
        <v>3.5200000000000009</v>
      </c>
      <c r="I70" s="32">
        <f t="shared" si="17"/>
        <v>3.5200000000000009</v>
      </c>
    </row>
    <row r="71" spans="2:9" x14ac:dyDescent="0.35">
      <c r="B71" s="24" t="str">
        <f t="shared" si="12"/>
        <v>Cinnamon Powder - قرفة مطحونة</v>
      </c>
      <c r="C71" s="24" t="str">
        <f t="shared" si="12"/>
        <v>gm</v>
      </c>
      <c r="D71" s="24">
        <f t="shared" si="12"/>
        <v>20</v>
      </c>
      <c r="E71" s="27">
        <f t="shared" si="13"/>
        <v>0.35200000000000009</v>
      </c>
      <c r="F71" s="68">
        <f t="shared" si="14"/>
        <v>10560.000000000002</v>
      </c>
      <c r="G71" s="28">
        <f t="shared" si="15"/>
        <v>1</v>
      </c>
      <c r="H71" s="84">
        <f t="shared" si="16"/>
        <v>7.0400000000000018</v>
      </c>
      <c r="I71" s="32">
        <f t="shared" si="17"/>
        <v>7.0400000000000018</v>
      </c>
    </row>
    <row r="72" spans="2:9" x14ac:dyDescent="0.35">
      <c r="B72" s="24" t="str">
        <f t="shared" si="12"/>
        <v>Black Pepper Powder - فلفل أسود مطحون</v>
      </c>
      <c r="C72" s="24" t="str">
        <f t="shared" si="12"/>
        <v>gm</v>
      </c>
      <c r="D72" s="24">
        <f t="shared" si="12"/>
        <v>5</v>
      </c>
      <c r="E72" s="27">
        <f t="shared" si="13"/>
        <v>0.35200000000000009</v>
      </c>
      <c r="F72" s="68">
        <f t="shared" si="14"/>
        <v>10560.000000000002</v>
      </c>
      <c r="G72" s="28">
        <f t="shared" si="15"/>
        <v>1</v>
      </c>
      <c r="H72" s="84">
        <f t="shared" si="16"/>
        <v>1.7600000000000005</v>
      </c>
      <c r="I72" s="32">
        <f t="shared" si="17"/>
        <v>1.7600000000000005</v>
      </c>
    </row>
    <row r="73" spans="2:9" x14ac:dyDescent="0.35">
      <c r="B73" s="24" t="str">
        <f t="shared" si="12"/>
        <v>Onion - بصل</v>
      </c>
      <c r="C73" s="24" t="str">
        <f t="shared" si="12"/>
        <v>gm</v>
      </c>
      <c r="D73" s="24">
        <f t="shared" si="12"/>
        <v>6000</v>
      </c>
      <c r="E73" s="27">
        <f t="shared" si="13"/>
        <v>0.35200000000000009</v>
      </c>
      <c r="F73" s="68">
        <f t="shared" si="14"/>
        <v>10560.000000000002</v>
      </c>
      <c r="G73" s="28">
        <f t="shared" si="15"/>
        <v>1</v>
      </c>
      <c r="H73" s="84">
        <f t="shared" si="16"/>
        <v>2112.0000000000005</v>
      </c>
      <c r="I73" s="32">
        <f t="shared" si="17"/>
        <v>2112.0000000000005</v>
      </c>
    </row>
    <row r="74" spans="2:9" x14ac:dyDescent="0.35">
      <c r="B74" s="24" t="str">
        <f t="shared" si="12"/>
        <v>Sweet Soy Sauce - صويا صوص حلو</v>
      </c>
      <c r="C74" s="24" t="str">
        <f t="shared" si="12"/>
        <v>ml</v>
      </c>
      <c r="D74" s="24">
        <f t="shared" si="12"/>
        <v>200</v>
      </c>
      <c r="E74" s="27">
        <f t="shared" si="13"/>
        <v>0.35200000000000009</v>
      </c>
      <c r="F74" s="68">
        <f t="shared" si="14"/>
        <v>10560.000000000002</v>
      </c>
      <c r="G74" s="28">
        <f t="shared" si="15"/>
        <v>1</v>
      </c>
      <c r="H74" s="84">
        <f t="shared" si="16"/>
        <v>70.40000000000002</v>
      </c>
      <c r="I74" s="32">
        <f t="shared" si="17"/>
        <v>70.40000000000002</v>
      </c>
    </row>
  </sheetData>
  <mergeCells count="8">
    <mergeCell ref="B59:I59"/>
    <mergeCell ref="B60:I60"/>
    <mergeCell ref="N28:O28"/>
    <mergeCell ref="A2:A3"/>
    <mergeCell ref="M11:N11"/>
    <mergeCell ref="B2:H2"/>
    <mergeCell ref="B40:I40"/>
    <mergeCell ref="B41:I4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F4050-A553-4BBA-808E-60981B901E89}">
  <sheetPr codeName="Sheet32">
    <tabColor rgb="FFFF0000"/>
    <pageSetUpPr fitToPage="1"/>
  </sheetPr>
  <dimension ref="A1:AB75"/>
  <sheetViews>
    <sheetView zoomScale="85" zoomScaleNormal="85" workbookViewId="0">
      <selection activeCell="J7" sqref="J7"/>
    </sheetView>
  </sheetViews>
  <sheetFormatPr defaultColWidth="12.5" defaultRowHeight="12.75" x14ac:dyDescent="0.35"/>
  <cols>
    <col min="1" max="1" width="8.0625" style="10" customWidth="1"/>
    <col min="2" max="2" width="37.5625" style="10" customWidth="1"/>
    <col min="3" max="3" width="23.9375" style="10" customWidth="1"/>
    <col min="4" max="4" width="21.75" style="10" customWidth="1"/>
    <col min="5" max="5" width="16.1875" style="10" customWidth="1"/>
    <col min="6" max="6" width="15.9375" style="10" customWidth="1"/>
    <col min="7" max="7" width="16.8125" style="10" customWidth="1"/>
    <col min="8" max="8" width="19" style="10" customWidth="1"/>
    <col min="9" max="9" width="26.43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32150</v>
      </c>
      <c r="F1" s="11" t="s">
        <v>55</v>
      </c>
      <c r="G1" s="15">
        <f>E1/C1</f>
        <v>1.0716666666666668</v>
      </c>
      <c r="H1" s="11" t="s">
        <v>56</v>
      </c>
      <c r="I1" s="16">
        <f>(G1/K1)</f>
        <v>1.0716666666666668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31650</v>
      </c>
      <c r="AA1" s="150" t="s">
        <v>207</v>
      </c>
      <c r="AB1" s="148">
        <v>500</v>
      </c>
    </row>
    <row r="2" spans="1:28" ht="17.75" customHeight="1" x14ac:dyDescent="0.35">
      <c r="A2" s="241"/>
      <c r="B2" s="241" t="s">
        <v>245</v>
      </c>
      <c r="C2" s="241"/>
      <c r="D2" s="241"/>
      <c r="E2" s="241"/>
      <c r="F2" s="241"/>
      <c r="G2" s="241"/>
      <c r="H2" s="82"/>
      <c r="L2" s="18"/>
      <c r="M2" s="18"/>
      <c r="N2" s="18"/>
    </row>
    <row r="3" spans="1:28" ht="12.75" customHeight="1" x14ac:dyDescent="0.35">
      <c r="A3" s="241"/>
      <c r="B3" s="82"/>
      <c r="C3" s="77"/>
      <c r="D3" s="82"/>
      <c r="E3" s="82"/>
      <c r="F3" s="82"/>
      <c r="G3" s="82"/>
      <c r="H3" s="82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A5" s="228"/>
      <c r="B5" s="227" t="s">
        <v>5</v>
      </c>
      <c r="C5" s="237" t="s">
        <v>6</v>
      </c>
      <c r="D5" s="238">
        <v>10.5</v>
      </c>
      <c r="E5" s="27">
        <f t="shared" ref="E5:E15" si="0">$G$1</f>
        <v>1.0716666666666668</v>
      </c>
      <c r="F5" s="28">
        <v>1</v>
      </c>
      <c r="G5" s="29">
        <f t="shared" ref="G5" si="1">D5*E5</f>
        <v>11.252500000000001</v>
      </c>
      <c r="H5" s="30">
        <f t="shared" ref="H5" si="2">G5*F5</f>
        <v>11.252500000000001</v>
      </c>
      <c r="I5" s="12">
        <f>VLOOKUP(B5,Ordering!$A$1:$J$45,6,FALSE)</f>
        <v>1</v>
      </c>
      <c r="J5" s="12">
        <f>VLOOKUP(B5,Ordering!$A$1:$J$45,10,FALSE)</f>
        <v>5.75</v>
      </c>
      <c r="K5" s="212">
        <f>(H5/I5)</f>
        <v>11.252500000000001</v>
      </c>
      <c r="L5" s="32">
        <f>K5*J5</f>
        <v>64.701875000000001</v>
      </c>
    </row>
    <row r="6" spans="1:28" ht="13.5" x14ac:dyDescent="0.35">
      <c r="A6" s="228" t="s">
        <v>223</v>
      </c>
      <c r="B6" s="233" t="s">
        <v>49</v>
      </c>
      <c r="C6" s="230" t="s">
        <v>17</v>
      </c>
      <c r="D6" s="231">
        <v>3000</v>
      </c>
      <c r="E6" s="27">
        <f t="shared" si="0"/>
        <v>1.0716666666666668</v>
      </c>
      <c r="F6" s="28">
        <v>1</v>
      </c>
      <c r="G6" s="29">
        <f t="shared" ref="G6:G13" si="3">D6*E6</f>
        <v>3215.0000000000005</v>
      </c>
      <c r="H6" s="30">
        <f t="shared" ref="H6:H13" si="4">G6*F6</f>
        <v>3215.0000000000005</v>
      </c>
      <c r="I6" s="12">
        <f>VLOOKUP(B6,Ordering!$A$1:$J$45,6,FALSE)</f>
        <v>0.9</v>
      </c>
      <c r="J6" s="12">
        <f>VLOOKUP(B6,Ordering!$A$1:$J$45,10,FALSE)</f>
        <v>3</v>
      </c>
      <c r="K6" s="59">
        <f t="shared" ref="K6:K15" si="5">(H6/I6)/1000</f>
        <v>3.5722222222222224</v>
      </c>
      <c r="L6" s="32">
        <f t="shared" ref="L6:L12" si="6">K6*J6</f>
        <v>10.716666666666667</v>
      </c>
    </row>
    <row r="7" spans="1:28" ht="13.5" customHeight="1" x14ac:dyDescent="0.35">
      <c r="A7" s="228" t="s">
        <v>223</v>
      </c>
      <c r="B7" s="234" t="s">
        <v>253</v>
      </c>
      <c r="C7" s="230" t="s">
        <v>17</v>
      </c>
      <c r="D7" s="231">
        <v>300</v>
      </c>
      <c r="E7" s="27">
        <f t="shared" si="0"/>
        <v>1.0716666666666668</v>
      </c>
      <c r="F7" s="28">
        <v>1</v>
      </c>
      <c r="G7" s="29">
        <f t="shared" si="3"/>
        <v>321.50000000000006</v>
      </c>
      <c r="H7" s="30">
        <f t="shared" si="4"/>
        <v>321.50000000000006</v>
      </c>
      <c r="I7" s="12">
        <f>VLOOKUP(B7,Ordering!$A$1:$J$45,6,FALSE)</f>
        <v>1</v>
      </c>
      <c r="J7" s="12">
        <f>VLOOKUP(B7,Ordering!$A$1:$J$45,10,FALSE)</f>
        <v>10500</v>
      </c>
      <c r="K7" s="59">
        <f t="shared" si="5"/>
        <v>0.32150000000000006</v>
      </c>
      <c r="L7" s="32">
        <f t="shared" si="6"/>
        <v>3375.7500000000005</v>
      </c>
    </row>
    <row r="8" spans="1:28" ht="13.9" x14ac:dyDescent="0.4">
      <c r="A8" s="228" t="s">
        <v>223</v>
      </c>
      <c r="B8" s="234" t="s">
        <v>254</v>
      </c>
      <c r="C8" s="230" t="s">
        <v>17</v>
      </c>
      <c r="D8" s="231">
        <v>10</v>
      </c>
      <c r="E8" s="27">
        <f t="shared" si="0"/>
        <v>1.0716666666666668</v>
      </c>
      <c r="F8" s="28">
        <v>1</v>
      </c>
      <c r="G8" s="29">
        <f t="shared" si="3"/>
        <v>10.716666666666669</v>
      </c>
      <c r="H8" s="30">
        <f t="shared" si="4"/>
        <v>10.716666666666669</v>
      </c>
      <c r="I8" s="12">
        <f>VLOOKUP(B8,Ordering!$A$1:$J$45,6,FALSE)</f>
        <v>0.87</v>
      </c>
      <c r="J8" s="12">
        <f>VLOOKUP(B8,Ordering!$A$1:$J$45,10,FALSE)</f>
        <v>3200</v>
      </c>
      <c r="K8" s="59">
        <f t="shared" si="5"/>
        <v>1.2318007662835251E-2</v>
      </c>
      <c r="L8" s="32">
        <f t="shared" si="6"/>
        <v>39.417624521072803</v>
      </c>
      <c r="V8" s="215" t="s">
        <v>17</v>
      </c>
      <c r="W8" s="216">
        <v>1</v>
      </c>
      <c r="X8" s="215" t="s">
        <v>250</v>
      </c>
      <c r="Y8" s="217">
        <f>(N16*W8)/N15</f>
        <v>0.31675591819011129</v>
      </c>
    </row>
    <row r="9" spans="1:28" ht="13.5" x14ac:dyDescent="0.35">
      <c r="A9" s="228" t="s">
        <v>223</v>
      </c>
      <c r="B9" s="234" t="s">
        <v>255</v>
      </c>
      <c r="C9" s="230" t="s">
        <v>17</v>
      </c>
      <c r="D9" s="231">
        <v>166</v>
      </c>
      <c r="E9" s="27">
        <f t="shared" si="0"/>
        <v>1.0716666666666668</v>
      </c>
      <c r="F9" s="28">
        <v>1</v>
      </c>
      <c r="G9" s="29">
        <f t="shared" si="3"/>
        <v>177.89666666666668</v>
      </c>
      <c r="H9" s="30">
        <f t="shared" si="4"/>
        <v>177.89666666666668</v>
      </c>
      <c r="I9" s="12">
        <f>VLOOKUP(B9,Ordering!$A$1:$J$45,6,FALSE)</f>
        <v>0.98</v>
      </c>
      <c r="J9" s="12">
        <f>VLOOKUP(B9,Ordering!$A$1:$J$45,10,FALSE)</f>
        <v>3500</v>
      </c>
      <c r="K9" s="59">
        <f t="shared" si="5"/>
        <v>0.18152721088435375</v>
      </c>
      <c r="L9" s="32">
        <f t="shared" si="6"/>
        <v>635.34523809523807</v>
      </c>
    </row>
    <row r="10" spans="1:28" ht="13.5" customHeight="1" x14ac:dyDescent="0.35">
      <c r="A10" s="228" t="s">
        <v>224</v>
      </c>
      <c r="B10" s="234" t="s">
        <v>50</v>
      </c>
      <c r="C10" s="230" t="s">
        <v>17</v>
      </c>
      <c r="D10" s="231">
        <v>1800</v>
      </c>
      <c r="E10" s="27">
        <f t="shared" si="0"/>
        <v>1.0716666666666668</v>
      </c>
      <c r="F10" s="28">
        <v>1</v>
      </c>
      <c r="G10" s="29">
        <f t="shared" si="3"/>
        <v>1929.0000000000002</v>
      </c>
      <c r="H10" s="30">
        <f t="shared" si="4"/>
        <v>1929.0000000000002</v>
      </c>
      <c r="I10" s="12">
        <f>VLOOKUP(B10,Ordering!$A$1:$J$45,6,FALSE)</f>
        <v>0.84</v>
      </c>
      <c r="J10" s="12">
        <f>VLOOKUP(B10,Ordering!$A$1:$J$45,10,FALSE)</f>
        <v>2600</v>
      </c>
      <c r="K10" s="59">
        <f t="shared" si="5"/>
        <v>2.2964285714285717</v>
      </c>
      <c r="L10" s="32">
        <f t="shared" si="6"/>
        <v>5970.7142857142862</v>
      </c>
    </row>
    <row r="11" spans="1:28" ht="13.5" x14ac:dyDescent="0.35">
      <c r="A11" s="228" t="s">
        <v>223</v>
      </c>
      <c r="B11" s="234" t="s">
        <v>105</v>
      </c>
      <c r="C11" s="230" t="s">
        <v>17</v>
      </c>
      <c r="D11" s="231">
        <v>1500</v>
      </c>
      <c r="E11" s="27">
        <f t="shared" si="0"/>
        <v>1.0716666666666668</v>
      </c>
      <c r="F11" s="28">
        <v>1</v>
      </c>
      <c r="G11" s="29">
        <f t="shared" si="3"/>
        <v>1607.5000000000002</v>
      </c>
      <c r="H11" s="30">
        <f t="shared" si="4"/>
        <v>1607.5000000000002</v>
      </c>
      <c r="I11" s="12">
        <f>VLOOKUP(B11,Ordering!$A$1:$J$45,6,FALSE)</f>
        <v>1</v>
      </c>
      <c r="J11" s="12">
        <f>VLOOKUP(B11,Ordering!$A$1:$J$45,10,FALSE)</f>
        <v>17.5</v>
      </c>
      <c r="K11" s="59">
        <f t="shared" si="5"/>
        <v>1.6075000000000002</v>
      </c>
      <c r="L11" s="32">
        <f t="shared" si="6"/>
        <v>28.131250000000001</v>
      </c>
      <c r="M11" s="243" t="s">
        <v>245</v>
      </c>
      <c r="N11" s="242"/>
    </row>
    <row r="12" spans="1:28" ht="13.5" customHeight="1" x14ac:dyDescent="0.35">
      <c r="A12" s="228" t="s">
        <v>223</v>
      </c>
      <c r="B12" s="234" t="s">
        <v>218</v>
      </c>
      <c r="C12" s="230" t="s">
        <v>17</v>
      </c>
      <c r="D12" s="231">
        <v>2400</v>
      </c>
      <c r="E12" s="27">
        <f t="shared" si="0"/>
        <v>1.0716666666666668</v>
      </c>
      <c r="F12" s="28">
        <v>1</v>
      </c>
      <c r="G12" s="29">
        <f t="shared" si="3"/>
        <v>2572.0000000000005</v>
      </c>
      <c r="H12" s="30">
        <f t="shared" si="4"/>
        <v>2572.0000000000005</v>
      </c>
      <c r="I12" s="12">
        <f>VLOOKUP(B12,Ordering!$A$1:$J$45,6,FALSE)</f>
        <v>1</v>
      </c>
      <c r="J12" s="12">
        <f>VLOOKUP(B12,Ordering!$A$1:$J$45,10,FALSE)</f>
        <v>8.1520833333333336</v>
      </c>
      <c r="K12" s="59">
        <f t="shared" si="5"/>
        <v>2.5720000000000005</v>
      </c>
      <c r="L12" s="32">
        <f t="shared" si="6"/>
        <v>20.967158333333337</v>
      </c>
      <c r="M12" s="205"/>
      <c r="N12" s="48" t="s">
        <v>70</v>
      </c>
    </row>
    <row r="13" spans="1:28" ht="13.5" customHeight="1" x14ac:dyDescent="0.35">
      <c r="A13" s="228" t="s">
        <v>223</v>
      </c>
      <c r="B13" s="234" t="s">
        <v>256</v>
      </c>
      <c r="C13" s="230" t="s">
        <v>17</v>
      </c>
      <c r="D13" s="232">
        <v>300</v>
      </c>
      <c r="E13" s="27">
        <f t="shared" si="0"/>
        <v>1.0716666666666668</v>
      </c>
      <c r="F13" s="28">
        <v>1</v>
      </c>
      <c r="G13" s="29">
        <f t="shared" si="3"/>
        <v>321.50000000000006</v>
      </c>
      <c r="H13" s="30">
        <f t="shared" si="4"/>
        <v>321.50000000000006</v>
      </c>
      <c r="I13" s="12">
        <f>VLOOKUP(B13,Ordering!$A$1:$J$45,6,FALSE)</f>
        <v>1</v>
      </c>
      <c r="J13" s="12">
        <f>VLOOKUP(B13,Ordering!$A$1:$J$45,10,FALSE)</f>
        <v>43.75</v>
      </c>
      <c r="K13" s="59">
        <f t="shared" si="5"/>
        <v>0.32150000000000006</v>
      </c>
      <c r="L13" s="32">
        <f t="shared" ref="L13" si="7">K13*J13</f>
        <v>14.065625000000002</v>
      </c>
      <c r="M13" s="205" t="s">
        <v>86</v>
      </c>
      <c r="N13" s="130">
        <f>$Z$1</f>
        <v>31650</v>
      </c>
    </row>
    <row r="14" spans="1:28" ht="14.25" customHeight="1" x14ac:dyDescent="0.35">
      <c r="B14" s="236" t="s">
        <v>260</v>
      </c>
      <c r="C14" s="230" t="s">
        <v>17</v>
      </c>
      <c r="D14" s="231">
        <v>480</v>
      </c>
      <c r="E14" s="27">
        <f t="shared" si="0"/>
        <v>1.0716666666666668</v>
      </c>
      <c r="F14" s="28">
        <v>1</v>
      </c>
      <c r="G14" s="29">
        <f t="shared" ref="G14:G15" si="8">D14*E14</f>
        <v>514.40000000000009</v>
      </c>
      <c r="H14" s="30">
        <f t="shared" ref="H14:H15" si="9">G14*F14</f>
        <v>514.40000000000009</v>
      </c>
      <c r="I14" s="12">
        <f>VLOOKUP(B14,Ordering!$A$1:$J$45,6,FALSE)</f>
        <v>1</v>
      </c>
      <c r="J14" s="12">
        <f>VLOOKUP(B14,Ordering!$A$1:$J$45,10,FALSE)</f>
        <v>46.193749999999994</v>
      </c>
      <c r="K14" s="59">
        <f t="shared" si="5"/>
        <v>0.51440000000000008</v>
      </c>
      <c r="L14" s="32">
        <f t="shared" ref="L14:L15" si="10">K14*J14</f>
        <v>23.762065</v>
      </c>
      <c r="M14" s="205" t="s">
        <v>87</v>
      </c>
      <c r="N14" s="133">
        <f>$AB$1</f>
        <v>500</v>
      </c>
    </row>
    <row r="15" spans="1:28" ht="14.25" customHeight="1" thickBot="1" x14ac:dyDescent="0.4">
      <c r="B15" s="235" t="s">
        <v>24</v>
      </c>
      <c r="C15" s="230" t="s">
        <v>17</v>
      </c>
      <c r="D15" s="232">
        <v>8</v>
      </c>
      <c r="E15" s="27">
        <f t="shared" si="0"/>
        <v>1.0716666666666668</v>
      </c>
      <c r="F15" s="28">
        <v>1</v>
      </c>
      <c r="G15" s="29">
        <f t="shared" si="8"/>
        <v>8.5733333333333341</v>
      </c>
      <c r="H15" s="30">
        <f t="shared" si="9"/>
        <v>8.5733333333333341</v>
      </c>
      <c r="I15" s="12">
        <f>VLOOKUP(B15,Ordering!$A$1:$J$45,6,FALSE)</f>
        <v>1</v>
      </c>
      <c r="J15" s="12">
        <f>VLOOKUP(B15,Ordering!$A$1:$J$45,10,FALSE)</f>
        <v>15.277777777777779</v>
      </c>
      <c r="K15" s="59">
        <f t="shared" si="5"/>
        <v>8.5733333333333338E-3</v>
      </c>
      <c r="L15" s="32">
        <f t="shared" si="10"/>
        <v>0.1309814814814815</v>
      </c>
      <c r="M15" s="48" t="s">
        <v>88</v>
      </c>
      <c r="N15" s="52">
        <f>N13+N14</f>
        <v>32150</v>
      </c>
    </row>
    <row r="16" spans="1:28" ht="13.5" customHeight="1" thickBot="1" x14ac:dyDescent="0.45">
      <c r="M16" s="213" t="s">
        <v>250</v>
      </c>
      <c r="N16" s="219">
        <f>SUM(L5:L15)</f>
        <v>10183.702769812078</v>
      </c>
    </row>
    <row r="18" spans="2:15" ht="13.5" x14ac:dyDescent="0.35">
      <c r="B18" s="47"/>
      <c r="C18" s="47" t="s">
        <v>55</v>
      </c>
      <c r="D18" s="47" t="s">
        <v>68</v>
      </c>
    </row>
    <row r="19" spans="2:15" ht="13.5" x14ac:dyDescent="0.35">
      <c r="B19" s="48" t="s">
        <v>71</v>
      </c>
      <c r="C19" s="49">
        <f>I1</f>
        <v>1.0716666666666668</v>
      </c>
      <c r="D19" s="50">
        <f>E1</f>
        <v>32150</v>
      </c>
    </row>
    <row r="20" spans="2:15" ht="13.5" x14ac:dyDescent="0.35">
      <c r="B20" s="48" t="s">
        <v>73</v>
      </c>
      <c r="C20" s="51">
        <f>MIN($C$19,1)</f>
        <v>1</v>
      </c>
      <c r="D20" s="50">
        <f>C20*$C$1</f>
        <v>30000</v>
      </c>
      <c r="N20" s="245"/>
      <c r="O20" s="245"/>
    </row>
    <row r="21" spans="2:15" ht="13.5" x14ac:dyDescent="0.35">
      <c r="B21" s="48" t="s">
        <v>75</v>
      </c>
      <c r="C21" s="51">
        <f>MIN(MAX($C$19-C20,0),1)</f>
        <v>7.1666666666666767E-2</v>
      </c>
      <c r="D21" s="50">
        <f>C21*$C$1</f>
        <v>2150.0000000000032</v>
      </c>
    </row>
    <row r="22" spans="2:15" ht="13.5" x14ac:dyDescent="0.35">
      <c r="B22" s="48" t="s">
        <v>76</v>
      </c>
      <c r="C22" s="51">
        <f>MIN(MAX($C$19-C20-C21,0),1)</f>
        <v>0</v>
      </c>
      <c r="D22" s="50">
        <f>C22*$C$1</f>
        <v>0</v>
      </c>
      <c r="N22" s="10">
        <v>3</v>
      </c>
    </row>
    <row r="23" spans="2:15" x14ac:dyDescent="0.35">
      <c r="L23" s="227"/>
      <c r="M23" s="10" t="s">
        <v>262</v>
      </c>
    </row>
    <row r="24" spans="2:15" x14ac:dyDescent="0.35">
      <c r="L24" s="227" t="s">
        <v>5</v>
      </c>
      <c r="M24" s="10">
        <v>3500</v>
      </c>
      <c r="N24" s="10">
        <f>M24*$N$22</f>
        <v>10500</v>
      </c>
    </row>
    <row r="25" spans="2:15" ht="13.5" x14ac:dyDescent="0.35">
      <c r="L25" s="234" t="s">
        <v>50</v>
      </c>
      <c r="M25" s="10">
        <v>600</v>
      </c>
      <c r="N25" s="10">
        <f t="shared" ref="N25:N31" si="11">M25*$N$22</f>
        <v>1800</v>
      </c>
    </row>
    <row r="26" spans="2:15" ht="13.5" x14ac:dyDescent="0.35">
      <c r="L26" s="234" t="s">
        <v>256</v>
      </c>
      <c r="M26" s="10">
        <v>100</v>
      </c>
      <c r="N26" s="10">
        <f t="shared" si="11"/>
        <v>300</v>
      </c>
    </row>
    <row r="27" spans="2:15" ht="13.5" x14ac:dyDescent="0.35">
      <c r="L27" s="234" t="s">
        <v>218</v>
      </c>
      <c r="M27" s="10">
        <v>800</v>
      </c>
      <c r="N27" s="10">
        <f t="shared" si="11"/>
        <v>2400</v>
      </c>
    </row>
    <row r="28" spans="2:15" ht="13.15" x14ac:dyDescent="0.35">
      <c r="L28" s="233" t="s">
        <v>49</v>
      </c>
      <c r="M28" s="10">
        <v>1000</v>
      </c>
      <c r="N28" s="10">
        <f t="shared" si="11"/>
        <v>3000</v>
      </c>
    </row>
    <row r="29" spans="2:15" ht="13.5" x14ac:dyDescent="0.35">
      <c r="L29" s="236" t="s">
        <v>260</v>
      </c>
      <c r="M29" s="10">
        <v>160</v>
      </c>
      <c r="N29" s="10">
        <f t="shared" si="11"/>
        <v>480</v>
      </c>
    </row>
    <row r="30" spans="2:15" ht="13.5" x14ac:dyDescent="0.35">
      <c r="L30" s="234" t="s">
        <v>253</v>
      </c>
      <c r="M30" s="10">
        <v>100</v>
      </c>
      <c r="N30" s="10">
        <f t="shared" si="11"/>
        <v>300</v>
      </c>
    </row>
    <row r="31" spans="2:15" ht="13.5" x14ac:dyDescent="0.35">
      <c r="L31" s="234" t="s">
        <v>105</v>
      </c>
      <c r="M31" s="10">
        <v>500</v>
      </c>
      <c r="N31" s="10">
        <f t="shared" si="11"/>
        <v>1500</v>
      </c>
    </row>
    <row r="39" spans="1:8" ht="17.649999999999999" x14ac:dyDescent="0.35">
      <c r="A39" s="134"/>
      <c r="B39" s="240" t="s">
        <v>245</v>
      </c>
      <c r="C39" s="240"/>
      <c r="D39" s="240"/>
      <c r="E39" s="240"/>
      <c r="F39" s="240"/>
      <c r="G39" s="240"/>
      <c r="H39" s="240"/>
    </row>
    <row r="40" spans="1:8" ht="17.649999999999999" x14ac:dyDescent="0.35">
      <c r="A40" s="134"/>
      <c r="B40" s="247" t="s">
        <v>245</v>
      </c>
      <c r="C40" s="247"/>
      <c r="D40" s="247"/>
      <c r="E40" s="247"/>
      <c r="F40" s="247"/>
      <c r="G40" s="247"/>
      <c r="H40" s="247"/>
    </row>
    <row r="41" spans="1:8" ht="42" customHeight="1" x14ac:dyDescent="0.35">
      <c r="B41" s="19" t="s">
        <v>60</v>
      </c>
      <c r="C41" s="20" t="s">
        <v>61</v>
      </c>
      <c r="D41" s="19" t="s">
        <v>62</v>
      </c>
      <c r="E41" s="21" t="s">
        <v>63</v>
      </c>
      <c r="F41" s="21" t="s">
        <v>64</v>
      </c>
      <c r="G41" s="22" t="s">
        <v>65</v>
      </c>
      <c r="H41" s="23" t="s">
        <v>66</v>
      </c>
    </row>
    <row r="42" spans="1:8" x14ac:dyDescent="0.35">
      <c r="B42" s="24" t="str">
        <f t="shared" ref="B42:H48" si="12">B5</f>
        <v>Rice - رز</v>
      </c>
      <c r="C42" s="24" t="str">
        <f t="shared" si="12"/>
        <v>KG</v>
      </c>
      <c r="D42" s="24">
        <f t="shared" si="12"/>
        <v>10.5</v>
      </c>
      <c r="E42" s="57">
        <f t="shared" si="12"/>
        <v>1.0716666666666668</v>
      </c>
      <c r="F42" s="203">
        <f t="shared" si="12"/>
        <v>1</v>
      </c>
      <c r="G42" s="50">
        <f t="shared" si="12"/>
        <v>11.252500000000001</v>
      </c>
      <c r="H42" s="83">
        <f t="shared" si="12"/>
        <v>11.252500000000001</v>
      </c>
    </row>
    <row r="43" spans="1:8" ht="16.25" customHeight="1" x14ac:dyDescent="0.35">
      <c r="B43" s="24" t="str">
        <f t="shared" si="12"/>
        <v>Onion - بصل</v>
      </c>
      <c r="C43" s="24" t="str">
        <f t="shared" si="12"/>
        <v>gm</v>
      </c>
      <c r="D43" s="24">
        <f t="shared" si="12"/>
        <v>3000</v>
      </c>
      <c r="E43" s="57">
        <f t="shared" si="12"/>
        <v>1.0716666666666668</v>
      </c>
      <c r="F43" s="203">
        <f t="shared" si="12"/>
        <v>1</v>
      </c>
      <c r="G43" s="50">
        <f t="shared" si="12"/>
        <v>3215.0000000000005</v>
      </c>
      <c r="H43" s="83">
        <f t="shared" si="12"/>
        <v>3215.0000000000005</v>
      </c>
    </row>
    <row r="44" spans="1:8" x14ac:dyDescent="0.35">
      <c r="B44" s="24" t="str">
        <f t="shared" si="12"/>
        <v>Garlic - ثوم مقشر</v>
      </c>
      <c r="C44" s="24" t="str">
        <f t="shared" si="12"/>
        <v>gm</v>
      </c>
      <c r="D44" s="24">
        <f t="shared" si="12"/>
        <v>300</v>
      </c>
      <c r="E44" s="57">
        <f t="shared" si="12"/>
        <v>1.0716666666666668</v>
      </c>
      <c r="F44" s="203">
        <f t="shared" si="12"/>
        <v>1</v>
      </c>
      <c r="G44" s="50">
        <f t="shared" si="12"/>
        <v>321.50000000000006</v>
      </c>
      <c r="H44" s="83">
        <f t="shared" si="12"/>
        <v>321.50000000000006</v>
      </c>
    </row>
    <row r="45" spans="1:8" x14ac:dyDescent="0.35">
      <c r="B45" s="24" t="str">
        <f t="shared" si="12"/>
        <v>Ginger - زنجبيل</v>
      </c>
      <c r="C45" s="24" t="str">
        <f t="shared" si="12"/>
        <v>gm</v>
      </c>
      <c r="D45" s="24">
        <f t="shared" si="12"/>
        <v>10</v>
      </c>
      <c r="E45" s="57">
        <f t="shared" si="12"/>
        <v>1.0716666666666668</v>
      </c>
      <c r="F45" s="203">
        <f t="shared" si="12"/>
        <v>1</v>
      </c>
      <c r="G45" s="50">
        <f t="shared" si="12"/>
        <v>10.716666666666669</v>
      </c>
      <c r="H45" s="83">
        <f t="shared" si="12"/>
        <v>10.716666666666669</v>
      </c>
    </row>
    <row r="46" spans="1:8" x14ac:dyDescent="0.35">
      <c r="B46" s="24" t="str">
        <f t="shared" si="12"/>
        <v>Tomato - طماطم</v>
      </c>
      <c r="C46" s="24" t="str">
        <f t="shared" si="12"/>
        <v>gm</v>
      </c>
      <c r="D46" s="24">
        <f t="shared" si="12"/>
        <v>166</v>
      </c>
      <c r="E46" s="57">
        <f t="shared" si="12"/>
        <v>1.0716666666666668</v>
      </c>
      <c r="F46" s="203">
        <f t="shared" si="12"/>
        <v>1</v>
      </c>
      <c r="G46" s="50">
        <f t="shared" si="12"/>
        <v>177.89666666666668</v>
      </c>
      <c r="H46" s="83">
        <f t="shared" si="12"/>
        <v>177.89666666666668</v>
      </c>
    </row>
    <row r="47" spans="1:8" x14ac:dyDescent="0.35">
      <c r="B47" s="24" t="str">
        <f t="shared" si="12"/>
        <v>Carrot - جزر</v>
      </c>
      <c r="C47" s="24" t="str">
        <f t="shared" si="12"/>
        <v>gm</v>
      </c>
      <c r="D47" s="24">
        <f t="shared" si="12"/>
        <v>1800</v>
      </c>
      <c r="E47" s="57">
        <f t="shared" si="12"/>
        <v>1.0716666666666668</v>
      </c>
      <c r="F47" s="203">
        <f t="shared" si="12"/>
        <v>1</v>
      </c>
      <c r="G47" s="50">
        <f t="shared" si="12"/>
        <v>1929.0000000000002</v>
      </c>
      <c r="H47" s="83">
        <f t="shared" si="12"/>
        <v>1929.0000000000002</v>
      </c>
    </row>
    <row r="48" spans="1:8" x14ac:dyDescent="0.35">
      <c r="B48" s="24" t="str">
        <f t="shared" si="12"/>
        <v>Raisin - زبيب</v>
      </c>
      <c r="C48" s="24" t="str">
        <f t="shared" si="12"/>
        <v>gm</v>
      </c>
      <c r="D48" s="24">
        <f t="shared" si="12"/>
        <v>1500</v>
      </c>
      <c r="E48" s="57">
        <f t="shared" si="12"/>
        <v>1.0716666666666668</v>
      </c>
      <c r="F48" s="203">
        <f t="shared" si="12"/>
        <v>1</v>
      </c>
      <c r="G48" s="50">
        <f t="shared" si="12"/>
        <v>1607.5000000000002</v>
      </c>
      <c r="H48" s="83">
        <f t="shared" si="12"/>
        <v>1607.5000000000002</v>
      </c>
    </row>
    <row r="49" spans="1:9" x14ac:dyDescent="0.35">
      <c r="B49" s="24" t="str">
        <f t="shared" ref="B49:H49" si="13">B12</f>
        <v>Tomato Paste - صلصة طماطم</v>
      </c>
      <c r="C49" s="24" t="str">
        <f t="shared" si="13"/>
        <v>gm</v>
      </c>
      <c r="D49" s="24">
        <f t="shared" si="13"/>
        <v>2400</v>
      </c>
      <c r="E49" s="57">
        <f t="shared" si="13"/>
        <v>1.0716666666666668</v>
      </c>
      <c r="F49" s="203">
        <f t="shared" si="13"/>
        <v>1</v>
      </c>
      <c r="G49" s="50">
        <f t="shared" si="13"/>
        <v>2572.0000000000005</v>
      </c>
      <c r="H49" s="83">
        <f t="shared" si="13"/>
        <v>2572.0000000000005</v>
      </c>
    </row>
    <row r="50" spans="1:9" x14ac:dyDescent="0.35">
      <c r="B50" s="24" t="str">
        <f t="shared" ref="B50:H50" si="14">B13</f>
        <v>Kabsa Spices Powder - توابل كبسة بودر</v>
      </c>
      <c r="C50" s="24" t="str">
        <f t="shared" si="14"/>
        <v>gm</v>
      </c>
      <c r="D50" s="24">
        <f t="shared" si="14"/>
        <v>300</v>
      </c>
      <c r="E50" s="57">
        <f t="shared" si="14"/>
        <v>1.0716666666666668</v>
      </c>
      <c r="F50" s="203">
        <f t="shared" si="14"/>
        <v>1</v>
      </c>
      <c r="G50" s="50">
        <f t="shared" si="14"/>
        <v>321.50000000000006</v>
      </c>
      <c r="H50" s="83">
        <f t="shared" si="14"/>
        <v>321.50000000000006</v>
      </c>
    </row>
    <row r="51" spans="1:9" ht="17.649999999999999" x14ac:dyDescent="0.35">
      <c r="A51" s="183"/>
      <c r="B51" s="24" t="str">
        <f t="shared" ref="B51:H51" si="15">B14</f>
        <v>Ghee - سمن</v>
      </c>
      <c r="C51" s="24" t="str">
        <f t="shared" si="15"/>
        <v>gm</v>
      </c>
      <c r="D51" s="24">
        <f t="shared" si="15"/>
        <v>480</v>
      </c>
      <c r="E51" s="57">
        <f t="shared" si="15"/>
        <v>1.0716666666666668</v>
      </c>
      <c r="F51" s="203">
        <f t="shared" si="15"/>
        <v>1</v>
      </c>
      <c r="G51" s="50">
        <f t="shared" si="15"/>
        <v>514.40000000000009</v>
      </c>
      <c r="H51" s="83">
        <f t="shared" si="15"/>
        <v>514.40000000000009</v>
      </c>
      <c r="I51" s="229"/>
    </row>
    <row r="52" spans="1:9" ht="17.649999999999999" x14ac:dyDescent="0.35">
      <c r="A52" s="183"/>
      <c r="B52" s="24" t="str">
        <f t="shared" ref="B52:H52" si="16">B15</f>
        <v>Maggi Cubes - مكعبات ماجي</v>
      </c>
      <c r="C52" s="24" t="str">
        <f t="shared" si="16"/>
        <v>gm</v>
      </c>
      <c r="D52" s="24">
        <f t="shared" si="16"/>
        <v>8</v>
      </c>
      <c r="E52" s="57">
        <f t="shared" si="16"/>
        <v>1.0716666666666668</v>
      </c>
      <c r="F52" s="203">
        <f t="shared" si="16"/>
        <v>1</v>
      </c>
      <c r="G52" s="50">
        <f t="shared" si="16"/>
        <v>8.5733333333333341</v>
      </c>
      <c r="H52" s="83">
        <f t="shared" si="16"/>
        <v>8.5733333333333341</v>
      </c>
      <c r="I52" s="229"/>
    </row>
    <row r="53" spans="1:9" ht="13.15" x14ac:dyDescent="0.35">
      <c r="A53" s="183"/>
      <c r="B53" s="190"/>
      <c r="C53" s="190"/>
      <c r="D53" s="190"/>
      <c r="E53" s="191"/>
      <c r="F53" s="192"/>
      <c r="G53" s="193"/>
      <c r="H53" s="194"/>
      <c r="I53" s="189"/>
    </row>
    <row r="54" spans="1:9" x14ac:dyDescent="0.35">
      <c r="A54" s="183"/>
      <c r="B54" s="190"/>
      <c r="C54" s="190"/>
      <c r="D54" s="190"/>
      <c r="E54" s="191"/>
      <c r="F54" s="192"/>
      <c r="G54" s="193"/>
      <c r="H54" s="194"/>
      <c r="I54" s="195"/>
    </row>
    <row r="55" spans="1:9" x14ac:dyDescent="0.35">
      <c r="A55" s="183"/>
      <c r="B55" s="190"/>
      <c r="C55" s="190"/>
      <c r="D55" s="190"/>
      <c r="E55" s="191"/>
      <c r="F55" s="192"/>
      <c r="G55" s="193"/>
      <c r="H55" s="194"/>
      <c r="I55" s="196"/>
    </row>
    <row r="56" spans="1:9" x14ac:dyDescent="0.35">
      <c r="A56" s="183"/>
      <c r="B56" s="190"/>
      <c r="C56" s="190"/>
      <c r="D56" s="190"/>
      <c r="E56" s="191"/>
      <c r="F56" s="192"/>
      <c r="G56" s="193"/>
      <c r="H56" s="194"/>
      <c r="I56" s="196"/>
    </row>
    <row r="57" spans="1:9" ht="24" customHeight="1" x14ac:dyDescent="0.35">
      <c r="A57" s="183"/>
      <c r="B57" s="190"/>
      <c r="C57" s="190"/>
      <c r="D57" s="190"/>
      <c r="E57" s="191"/>
      <c r="F57" s="192"/>
      <c r="G57" s="193"/>
      <c r="H57" s="194"/>
      <c r="I57" s="196"/>
    </row>
    <row r="58" spans="1:9" ht="28.5" customHeight="1" x14ac:dyDescent="0.35">
      <c r="A58" s="183"/>
      <c r="B58" s="190"/>
      <c r="C58" s="190"/>
      <c r="D58" s="190"/>
      <c r="E58" s="191"/>
      <c r="F58" s="192"/>
      <c r="G58" s="193"/>
      <c r="H58" s="194"/>
      <c r="I58" s="196"/>
    </row>
    <row r="59" spans="1:9" x14ac:dyDescent="0.35">
      <c r="A59" s="183"/>
      <c r="B59" s="190"/>
      <c r="C59" s="190"/>
      <c r="D59" s="190"/>
      <c r="E59" s="191"/>
      <c r="F59" s="192"/>
      <c r="G59" s="193"/>
      <c r="H59" s="194"/>
      <c r="I59" s="196"/>
    </row>
    <row r="60" spans="1:9" x14ac:dyDescent="0.35">
      <c r="A60" s="183"/>
      <c r="B60" s="197"/>
      <c r="C60" s="183"/>
      <c r="D60" s="183"/>
      <c r="E60" s="197"/>
      <c r="F60" s="197"/>
      <c r="G60" s="183"/>
      <c r="H60" s="183"/>
      <c r="I60" s="183"/>
    </row>
    <row r="61" spans="1:9" ht="13.5" x14ac:dyDescent="0.35">
      <c r="A61" s="183"/>
      <c r="B61" s="197"/>
      <c r="C61" s="198"/>
      <c r="D61" s="199"/>
      <c r="E61" s="200"/>
      <c r="F61" s="197"/>
      <c r="G61" s="183"/>
      <c r="H61" s="183"/>
      <c r="I61" s="183"/>
    </row>
    <row r="62" spans="1:9" x14ac:dyDescent="0.35">
      <c r="A62" s="183"/>
      <c r="B62" s="201"/>
      <c r="C62" s="183"/>
      <c r="D62" s="202"/>
      <c r="E62" s="201"/>
      <c r="F62" s="201"/>
      <c r="G62" s="202"/>
      <c r="H62" s="202"/>
      <c r="I62" s="202"/>
    </row>
    <row r="63" spans="1:9" ht="17.649999999999999" x14ac:dyDescent="0.35">
      <c r="A63" s="183"/>
      <c r="B63" s="246"/>
      <c r="C63" s="246"/>
      <c r="D63" s="246"/>
      <c r="E63" s="246"/>
      <c r="F63" s="246"/>
      <c r="G63" s="246"/>
      <c r="H63" s="246"/>
      <c r="I63" s="246"/>
    </row>
    <row r="64" spans="1:9" ht="17.649999999999999" x14ac:dyDescent="0.35">
      <c r="A64" s="183"/>
      <c r="B64" s="246"/>
      <c r="C64" s="246"/>
      <c r="D64" s="246"/>
      <c r="E64" s="246"/>
      <c r="F64" s="246"/>
      <c r="G64" s="246"/>
      <c r="H64" s="246"/>
      <c r="I64" s="246"/>
    </row>
    <row r="65" spans="1:9" ht="13.15" x14ac:dyDescent="0.35">
      <c r="A65" s="183"/>
      <c r="B65" s="184"/>
      <c r="C65" s="185"/>
      <c r="D65" s="184"/>
      <c r="E65" s="186"/>
      <c r="F65" s="187"/>
      <c r="G65" s="186"/>
      <c r="H65" s="188"/>
      <c r="I65" s="189"/>
    </row>
    <row r="66" spans="1:9" x14ac:dyDescent="0.35">
      <c r="A66" s="183"/>
      <c r="B66" s="190"/>
      <c r="C66" s="190"/>
      <c r="D66" s="190"/>
      <c r="E66" s="191"/>
      <c r="F66" s="192"/>
      <c r="G66" s="193"/>
      <c r="H66" s="194"/>
      <c r="I66" s="196"/>
    </row>
    <row r="67" spans="1:9" x14ac:dyDescent="0.35">
      <c r="A67" s="183"/>
      <c r="B67" s="190"/>
      <c r="C67" s="190"/>
      <c r="D67" s="190"/>
      <c r="E67" s="191"/>
      <c r="F67" s="192"/>
      <c r="G67" s="193"/>
      <c r="H67" s="194"/>
      <c r="I67" s="196"/>
    </row>
    <row r="68" spans="1:9" x14ac:dyDescent="0.35">
      <c r="A68" s="183"/>
      <c r="B68" s="190"/>
      <c r="C68" s="190"/>
      <c r="D68" s="190"/>
      <c r="E68" s="191"/>
      <c r="F68" s="192"/>
      <c r="G68" s="193"/>
      <c r="H68" s="194"/>
      <c r="I68" s="196"/>
    </row>
    <row r="69" spans="1:9" x14ac:dyDescent="0.35">
      <c r="A69" s="183"/>
      <c r="B69" s="190"/>
      <c r="C69" s="190"/>
      <c r="D69" s="190"/>
      <c r="E69" s="191"/>
      <c r="F69" s="192"/>
      <c r="G69" s="193"/>
      <c r="H69" s="194"/>
      <c r="I69" s="196"/>
    </row>
    <row r="70" spans="1:9" x14ac:dyDescent="0.35">
      <c r="A70" s="183"/>
      <c r="B70" s="190"/>
      <c r="C70" s="190"/>
      <c r="D70" s="190"/>
      <c r="E70" s="191"/>
      <c r="F70" s="192"/>
      <c r="G70" s="193"/>
      <c r="H70" s="194"/>
      <c r="I70" s="196"/>
    </row>
    <row r="71" spans="1:9" x14ac:dyDescent="0.35">
      <c r="A71" s="183"/>
      <c r="B71" s="190"/>
      <c r="C71" s="190"/>
      <c r="D71" s="190"/>
      <c r="E71" s="191"/>
      <c r="F71" s="192"/>
      <c r="G71" s="193"/>
      <c r="H71" s="194"/>
      <c r="I71" s="196"/>
    </row>
    <row r="72" spans="1:9" x14ac:dyDescent="0.35">
      <c r="A72" s="183"/>
      <c r="B72" s="183"/>
      <c r="C72" s="183"/>
      <c r="D72" s="183"/>
      <c r="E72" s="183"/>
      <c r="F72" s="183"/>
      <c r="G72" s="183"/>
      <c r="H72" s="183"/>
      <c r="I72" s="183"/>
    </row>
    <row r="73" spans="1:9" x14ac:dyDescent="0.35">
      <c r="A73" s="183"/>
      <c r="B73" s="183"/>
      <c r="C73" s="183"/>
      <c r="D73" s="183"/>
      <c r="E73" s="183"/>
      <c r="F73" s="183"/>
      <c r="G73" s="183"/>
      <c r="H73" s="183"/>
      <c r="I73" s="183"/>
    </row>
    <row r="74" spans="1:9" x14ac:dyDescent="0.35">
      <c r="A74" s="183"/>
      <c r="B74" s="183"/>
      <c r="C74" s="183"/>
      <c r="D74" s="183"/>
      <c r="E74" s="183"/>
      <c r="F74" s="183"/>
      <c r="G74" s="183"/>
      <c r="H74" s="183"/>
      <c r="I74" s="183"/>
    </row>
    <row r="75" spans="1:9" x14ac:dyDescent="0.35">
      <c r="A75" s="183"/>
      <c r="B75" s="183"/>
      <c r="C75" s="183"/>
      <c r="D75" s="183"/>
      <c r="E75" s="183"/>
      <c r="F75" s="183"/>
      <c r="G75" s="183"/>
      <c r="H75" s="183"/>
      <c r="I75" s="183"/>
    </row>
  </sheetData>
  <mergeCells count="8">
    <mergeCell ref="A2:A3"/>
    <mergeCell ref="M11:N11"/>
    <mergeCell ref="N20:O20"/>
    <mergeCell ref="B63:I63"/>
    <mergeCell ref="B64:I64"/>
    <mergeCell ref="B2:G2"/>
    <mergeCell ref="B39:H39"/>
    <mergeCell ref="B40:H40"/>
  </mergeCells>
  <printOptions horizontalCentered="1"/>
  <pageMargins left="0.5" right="0.5" top="1" bottom="0.5" header="0.3" footer="0.511811023622047"/>
  <pageSetup paperSize="9" scale="2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548235"/>
    <pageSetUpPr fitToPage="1"/>
  </sheetPr>
  <dimension ref="A1:AB71"/>
  <sheetViews>
    <sheetView topLeftCell="F1" zoomScale="70" zoomScaleNormal="70" workbookViewId="0">
      <selection activeCell="Y8" sqref="Y8"/>
    </sheetView>
  </sheetViews>
  <sheetFormatPr defaultColWidth="12.5" defaultRowHeight="12.75" x14ac:dyDescent="0.35"/>
  <cols>
    <col min="1" max="1" width="8.0625" style="10" customWidth="1"/>
    <col min="2" max="2" width="20.4375" style="10" customWidth="1"/>
    <col min="3" max="3" width="23.9375" style="10" customWidth="1"/>
    <col min="4" max="4" width="21.75" style="10" customWidth="1"/>
    <col min="5" max="5" width="16.1875" style="10" customWidth="1"/>
    <col min="6" max="6" width="19.0625" style="10" customWidth="1"/>
    <col min="7" max="7" width="16.812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22230</v>
      </c>
      <c r="F1" s="11" t="s">
        <v>55</v>
      </c>
      <c r="G1" s="15">
        <f>E1/C1</f>
        <v>0.74099999999999999</v>
      </c>
      <c r="H1" s="11" t="s">
        <v>56</v>
      </c>
      <c r="I1" s="16">
        <f>(G1/K1)</f>
        <v>0.74099999999999999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21730</v>
      </c>
      <c r="AA1" s="150" t="s">
        <v>207</v>
      </c>
      <c r="AB1" s="148">
        <v>500</v>
      </c>
    </row>
    <row r="2" spans="1:28" ht="12.75" customHeight="1" x14ac:dyDescent="0.35">
      <c r="A2" s="241"/>
      <c r="B2" s="244" t="s">
        <v>85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13</v>
      </c>
      <c r="E5" s="27">
        <f t="shared" ref="E5:E10" si="0">$G$1</f>
        <v>0.74099999999999999</v>
      </c>
      <c r="F5" s="28">
        <v>1</v>
      </c>
      <c r="G5" s="29">
        <f>D5*E5</f>
        <v>9.6329999999999991</v>
      </c>
      <c r="H5" s="208">
        <f>G5*F5</f>
        <v>9.6329999999999991</v>
      </c>
      <c r="I5" s="12">
        <f>VLOOKUP(B5,Ordering!$A$1:$J$45,6,FALSE)</f>
        <v>1</v>
      </c>
      <c r="J5" s="12">
        <f>VLOOKUP(B5,Ordering!$A$1:$J$45,10,FALSE)</f>
        <v>5.75</v>
      </c>
      <c r="K5" s="59">
        <f>(H5/I5)</f>
        <v>9.6329999999999991</v>
      </c>
      <c r="L5" s="31">
        <f>K5*J5</f>
        <v>55.389749999999992</v>
      </c>
    </row>
    <row r="6" spans="1:28" x14ac:dyDescent="0.35">
      <c r="B6" s="24" t="s">
        <v>11</v>
      </c>
      <c r="C6" s="25" t="s">
        <v>213</v>
      </c>
      <c r="D6" s="26">
        <v>25000</v>
      </c>
      <c r="E6" s="27">
        <f t="shared" si="0"/>
        <v>0.74099999999999999</v>
      </c>
      <c r="F6" s="28">
        <v>1</v>
      </c>
      <c r="G6" s="29">
        <f t="shared" ref="G6:G10" si="1">D6*E6</f>
        <v>18525</v>
      </c>
      <c r="H6" s="208">
        <f t="shared" ref="H6:H10" si="2">G6*F6</f>
        <v>18525</v>
      </c>
      <c r="I6" s="12">
        <f>VLOOKUP(B6,Ordering!$A$1:$J$45,6,FALSE)</f>
        <v>1</v>
      </c>
      <c r="J6" s="12">
        <f>VLOOKUP(B6,Ordering!$A$1:$J$45,10,FALSE)</f>
        <v>0</v>
      </c>
      <c r="K6" s="59">
        <f>(H6/I6)/1000</f>
        <v>18.524999999999999</v>
      </c>
      <c r="L6" s="31">
        <f t="shared" ref="L6:L8" si="3">K6*J6</f>
        <v>0</v>
      </c>
    </row>
    <row r="7" spans="1:28" x14ac:dyDescent="0.35">
      <c r="B7" s="24" t="s">
        <v>49</v>
      </c>
      <c r="C7" s="25" t="s">
        <v>17</v>
      </c>
      <c r="D7" s="26">
        <v>720</v>
      </c>
      <c r="E7" s="27">
        <f t="shared" si="0"/>
        <v>0.74099999999999999</v>
      </c>
      <c r="F7" s="28">
        <v>1</v>
      </c>
      <c r="G7" s="29">
        <f t="shared" si="1"/>
        <v>533.52</v>
      </c>
      <c r="H7" s="208">
        <f t="shared" si="2"/>
        <v>533.52</v>
      </c>
      <c r="I7" s="12">
        <f>VLOOKUP(B7,Ordering!$A$1:$J$45,6,FALSE)</f>
        <v>0.9</v>
      </c>
      <c r="J7" s="12">
        <f>VLOOKUP(B7,Ordering!$A$1:$J$45,10,FALSE)</f>
        <v>3</v>
      </c>
      <c r="K7" s="59">
        <f t="shared" ref="K7:K8" si="4">(H7/I7)/1000</f>
        <v>0.59279999999999999</v>
      </c>
      <c r="L7" s="31">
        <f t="shared" si="3"/>
        <v>1.7784</v>
      </c>
    </row>
    <row r="8" spans="1:28" ht="17" customHeight="1" x14ac:dyDescent="0.4">
      <c r="B8" s="24" t="s">
        <v>27</v>
      </c>
      <c r="C8" s="25" t="s">
        <v>17</v>
      </c>
      <c r="D8" s="26">
        <v>150</v>
      </c>
      <c r="E8" s="27">
        <f t="shared" si="0"/>
        <v>0.74099999999999999</v>
      </c>
      <c r="F8" s="28">
        <v>0.4</v>
      </c>
      <c r="G8" s="29">
        <f t="shared" si="1"/>
        <v>111.15</v>
      </c>
      <c r="H8" s="208">
        <f t="shared" si="2"/>
        <v>44.460000000000008</v>
      </c>
      <c r="I8" s="12">
        <f>VLOOKUP(B8,Ordering!$A$1:$J$45,6,FALSE)</f>
        <v>1</v>
      </c>
      <c r="J8" s="12">
        <f>VLOOKUP(B8,Ordering!$A$1:$J$45,10,FALSE)</f>
        <v>31</v>
      </c>
      <c r="K8" s="59">
        <f t="shared" si="4"/>
        <v>4.4460000000000006E-2</v>
      </c>
      <c r="L8" s="31">
        <f t="shared" si="3"/>
        <v>1.3782600000000003</v>
      </c>
      <c r="V8" s="215" t="s">
        <v>17</v>
      </c>
      <c r="W8" s="216">
        <v>1</v>
      </c>
      <c r="X8" s="215" t="s">
        <v>250</v>
      </c>
      <c r="Y8" s="217">
        <f>(N16*W8)/N15</f>
        <v>2.7935333333333327E-3</v>
      </c>
    </row>
    <row r="9" spans="1:28" x14ac:dyDescent="0.35">
      <c r="B9" s="24" t="s">
        <v>22</v>
      </c>
      <c r="C9" s="25" t="s">
        <v>17</v>
      </c>
      <c r="D9" s="26">
        <v>400</v>
      </c>
      <c r="E9" s="27">
        <f t="shared" si="0"/>
        <v>0.74099999999999999</v>
      </c>
      <c r="F9" s="28">
        <v>1</v>
      </c>
      <c r="G9" s="29">
        <f t="shared" si="1"/>
        <v>296.39999999999998</v>
      </c>
      <c r="H9" s="208">
        <f t="shared" si="2"/>
        <v>296.39999999999998</v>
      </c>
      <c r="I9" s="12">
        <f>VLOOKUP(B9,Ordering!$A$1:$J$45,6,FALSE)</f>
        <v>1</v>
      </c>
      <c r="J9" s="12">
        <f>VLOOKUP(B9,Ordering!$A$1:$J$45,10,FALSE)</f>
        <v>0.74</v>
      </c>
      <c r="K9" s="59">
        <f t="shared" ref="K9:K10" si="5">(H9/I9)/1000</f>
        <v>0.2964</v>
      </c>
      <c r="L9" s="31">
        <f t="shared" ref="L9:L10" si="6">K9*J9</f>
        <v>0.219336</v>
      </c>
    </row>
    <row r="10" spans="1:28" x14ac:dyDescent="0.35">
      <c r="B10" s="24" t="s">
        <v>16</v>
      </c>
      <c r="C10" s="33" t="s">
        <v>17</v>
      </c>
      <c r="D10" s="34">
        <v>150</v>
      </c>
      <c r="E10" s="35">
        <f t="shared" si="0"/>
        <v>0.74099999999999999</v>
      </c>
      <c r="F10" s="36">
        <v>1</v>
      </c>
      <c r="G10" s="29">
        <f t="shared" si="1"/>
        <v>111.15</v>
      </c>
      <c r="H10" s="208">
        <f t="shared" si="2"/>
        <v>111.15</v>
      </c>
      <c r="I10" s="12">
        <f>VLOOKUP(B10,Ordering!$A$1:$J$45,6,FALSE)</f>
        <v>1</v>
      </c>
      <c r="J10" s="12">
        <f>VLOOKUP(B10,Ordering!$A$1:$J$45,10,FALSE)</f>
        <v>30</v>
      </c>
      <c r="K10" s="59">
        <f t="shared" si="5"/>
        <v>0.11115</v>
      </c>
      <c r="L10" s="31">
        <f t="shared" si="6"/>
        <v>3.3344999999999998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85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/>
      <c r="N12" s="48" t="s">
        <v>70</v>
      </c>
    </row>
    <row r="13" spans="1:28" ht="13.5" customHeight="1" x14ac:dyDescent="0.35">
      <c r="B13" s="48" t="s">
        <v>71</v>
      </c>
      <c r="C13" s="49">
        <f>I1</f>
        <v>0.74099999999999999</v>
      </c>
      <c r="D13" s="50">
        <f>E1</f>
        <v>22230</v>
      </c>
      <c r="F13" s="18"/>
      <c r="I13" s="18"/>
      <c r="J13" s="18"/>
      <c r="K13" s="18"/>
      <c r="M13" s="48" t="s">
        <v>86</v>
      </c>
      <c r="N13" s="130">
        <f>$Z$1</f>
        <v>21730</v>
      </c>
    </row>
    <row r="14" spans="1:28" ht="13.5" customHeight="1" x14ac:dyDescent="0.35">
      <c r="B14" s="48" t="s">
        <v>73</v>
      </c>
      <c r="C14" s="51">
        <f>MIN($C$13,1)</f>
        <v>0.74099999999999999</v>
      </c>
      <c r="D14" s="50">
        <f>C14*$C$1</f>
        <v>22230</v>
      </c>
      <c r="E14" s="18"/>
      <c r="F14" s="18"/>
      <c r="I14" s="18"/>
      <c r="J14" s="18"/>
      <c r="K14" s="18"/>
      <c r="M14" s="48" t="s">
        <v>87</v>
      </c>
      <c r="N14" s="129">
        <f>$AB$1</f>
        <v>500</v>
      </c>
    </row>
    <row r="15" spans="1:28" ht="14.25" customHeight="1" thickBot="1" x14ac:dyDescent="0.4">
      <c r="B15" s="48" t="s">
        <v>75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88</v>
      </c>
      <c r="N15" s="54">
        <f>N13+N14</f>
        <v>22230</v>
      </c>
    </row>
    <row r="16" spans="1:28" ht="14.25" customHeight="1" thickBot="1" x14ac:dyDescent="0.45">
      <c r="B16" s="48" t="s">
        <v>76</v>
      </c>
      <c r="C16" s="51">
        <f>MIN(MAX($C$13-C14-C15,0),1)</f>
        <v>0</v>
      </c>
      <c r="D16" s="50">
        <f>C16*$C$1</f>
        <v>0</v>
      </c>
      <c r="E16" s="18"/>
      <c r="F16" s="18"/>
      <c r="M16" s="213" t="s">
        <v>250</v>
      </c>
      <c r="N16" s="214">
        <f>SUM(L5:L10)</f>
        <v>62.100245999999984</v>
      </c>
    </row>
    <row r="21" spans="14:15" ht="13.5" customHeight="1" x14ac:dyDescent="0.35">
      <c r="N21" s="245"/>
      <c r="O21" s="245"/>
    </row>
    <row r="40" spans="1:9" ht="17.649999999999999" x14ac:dyDescent="0.35">
      <c r="A40" s="134"/>
      <c r="B40" s="240" t="str">
        <f>"  رز  المندى 1 / " &amp; COUNTIF($C$14:$C$16, "&gt;0")</f>
        <v xml:space="preserve">  رز  المندى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Mandi Rice  1 / " &amp; COUNTIF($C$14:$C$16, "&gt;0")</f>
        <v xml:space="preserve">  Mandi Rice  1 / 1</v>
      </c>
      <c r="C41" s="240"/>
      <c r="D41" s="240"/>
      <c r="E41" s="240"/>
      <c r="F41" s="240"/>
      <c r="G41" s="240"/>
      <c r="H41" s="240"/>
      <c r="I41" s="240"/>
    </row>
    <row r="42" spans="1:9" ht="54.5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ht="18" customHeight="1" x14ac:dyDescent="0.35">
      <c r="B43" s="24" t="str">
        <f>B5</f>
        <v>Rice - رز</v>
      </c>
      <c r="C43" s="24" t="str">
        <f>C5</f>
        <v>KG</v>
      </c>
      <c r="D43" s="24">
        <f>D5</f>
        <v>13</v>
      </c>
      <c r="E43" s="57">
        <f>$C$14</f>
        <v>0.74099999999999999</v>
      </c>
      <c r="F43" s="58">
        <f>$D$14</f>
        <v>22230</v>
      </c>
      <c r="G43" s="28">
        <f>F5</f>
        <v>1</v>
      </c>
      <c r="H43" s="83">
        <f>D43*E43</f>
        <v>9.6329999999999991</v>
      </c>
      <c r="I43" s="32">
        <f>H43*G43</f>
        <v>9.6329999999999991</v>
      </c>
    </row>
    <row r="44" spans="1:9" x14ac:dyDescent="0.35">
      <c r="B44" s="24" t="str">
        <f t="shared" ref="B44:D47" si="7">B7</f>
        <v>Onion - بصل</v>
      </c>
      <c r="C44" s="24" t="str">
        <f t="shared" si="7"/>
        <v>gm</v>
      </c>
      <c r="D44" s="24">
        <f t="shared" si="7"/>
        <v>720</v>
      </c>
      <c r="E44" s="57">
        <f>$C$14</f>
        <v>0.74099999999999999</v>
      </c>
      <c r="F44" s="58">
        <f>$D$14</f>
        <v>22230</v>
      </c>
      <c r="G44" s="28">
        <f>F7</f>
        <v>1</v>
      </c>
      <c r="H44" s="83">
        <f>D44*E44</f>
        <v>533.52</v>
      </c>
      <c r="I44" s="32">
        <f>H44*G44</f>
        <v>533.52</v>
      </c>
    </row>
    <row r="45" spans="1:9" ht="25.5" x14ac:dyDescent="0.35">
      <c r="B45" s="24" t="str">
        <f t="shared" si="7"/>
        <v>Cardamom Whole - هيل حب</v>
      </c>
      <c r="C45" s="24" t="str">
        <f t="shared" si="7"/>
        <v>gm</v>
      </c>
      <c r="D45" s="24">
        <f t="shared" si="7"/>
        <v>150</v>
      </c>
      <c r="E45" s="57">
        <f>$C$14</f>
        <v>0.74099999999999999</v>
      </c>
      <c r="F45" s="58">
        <f>$D$14</f>
        <v>22230</v>
      </c>
      <c r="G45" s="28">
        <f>F8</f>
        <v>0.4</v>
      </c>
      <c r="H45" s="83">
        <f>D45*E45</f>
        <v>111.15</v>
      </c>
      <c r="I45" s="32">
        <f>H45*G45</f>
        <v>44.460000000000008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>$C$14</f>
        <v>0.74099999999999999</v>
      </c>
      <c r="F46" s="58">
        <f>$D$14</f>
        <v>22230</v>
      </c>
      <c r="G46" s="28">
        <f>F9</f>
        <v>1</v>
      </c>
      <c r="H46" s="83">
        <f>D46*E46</f>
        <v>296.39999999999998</v>
      </c>
      <c r="I46" s="32">
        <f>H46*G46</f>
        <v>296.39999999999998</v>
      </c>
    </row>
    <row r="47" spans="1:9" ht="12.5" customHeight="1" x14ac:dyDescent="0.35">
      <c r="B47" s="24" t="str">
        <f t="shared" si="7"/>
        <v>Butter - زبدة</v>
      </c>
      <c r="C47" s="24" t="str">
        <f t="shared" si="7"/>
        <v>gm</v>
      </c>
      <c r="D47" s="24">
        <f t="shared" si="7"/>
        <v>150</v>
      </c>
      <c r="E47" s="57">
        <f>$C$14</f>
        <v>0.74099999999999999</v>
      </c>
      <c r="F47" s="58">
        <f>$D$14</f>
        <v>22230</v>
      </c>
      <c r="G47" s="28">
        <f>F10</f>
        <v>1</v>
      </c>
      <c r="H47" s="83">
        <f>D47*E47</f>
        <v>111.15</v>
      </c>
      <c r="I47" s="32">
        <f>H47*G47</f>
        <v>111.15</v>
      </c>
    </row>
    <row r="52" spans="2:9" ht="17.649999999999999" x14ac:dyDescent="0.35">
      <c r="B52" s="240" t="str">
        <f>"  رز  المندى 2 / " &amp; COUNTIF($C$14:$C$16, "&gt;0")</f>
        <v xml:space="preserve">  رز  المندى 2 / 1</v>
      </c>
      <c r="C52" s="240"/>
      <c r="D52" s="240"/>
      <c r="E52" s="240"/>
      <c r="F52" s="240"/>
      <c r="G52" s="240"/>
      <c r="H52" s="240"/>
      <c r="I52" s="240"/>
    </row>
    <row r="53" spans="2:9" ht="17.649999999999999" x14ac:dyDescent="0.35">
      <c r="B53" s="240" t="str">
        <f>"  Mandi Rice  2 / " &amp; COUNTIF($C$14:$C$16, "&gt;0")</f>
        <v xml:space="preserve">  Mandi Rice  2 / 1</v>
      </c>
      <c r="C53" s="240"/>
      <c r="D53" s="240"/>
      <c r="E53" s="240"/>
      <c r="F53" s="240"/>
      <c r="G53" s="240"/>
      <c r="H53" s="240"/>
      <c r="I53" s="240"/>
    </row>
    <row r="54" spans="2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23" t="s">
        <v>79</v>
      </c>
    </row>
    <row r="55" spans="2:9" x14ac:dyDescent="0.35">
      <c r="B55" s="24" t="str">
        <f>B5</f>
        <v>Rice - رز</v>
      </c>
      <c r="C55" s="24" t="str">
        <f>C5</f>
        <v>KG</v>
      </c>
      <c r="D55" s="24">
        <f>D5</f>
        <v>13</v>
      </c>
      <c r="E55" s="27">
        <f>$C$15</f>
        <v>0</v>
      </c>
      <c r="F55" s="58">
        <f>$D$15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ref="B56:D59" si="8">B7</f>
        <v>Onion - بصل</v>
      </c>
      <c r="C56" s="24" t="str">
        <f t="shared" si="8"/>
        <v>gm</v>
      </c>
      <c r="D56" s="24">
        <f t="shared" si="8"/>
        <v>720</v>
      </c>
      <c r="E56" s="27">
        <f>$C$15</f>
        <v>0</v>
      </c>
      <c r="F56" s="58">
        <f>$D$15</f>
        <v>0</v>
      </c>
      <c r="G56" s="28">
        <f>F7</f>
        <v>1</v>
      </c>
      <c r="H56" s="84">
        <f>D56*E56</f>
        <v>0</v>
      </c>
      <c r="I56" s="32">
        <f>H56*G56</f>
        <v>0</v>
      </c>
    </row>
    <row r="57" spans="2:9" ht="25.5" x14ac:dyDescent="0.35">
      <c r="B57" s="24" t="str">
        <f t="shared" si="8"/>
        <v>Cardamom Whole - هيل حب</v>
      </c>
      <c r="C57" s="24" t="str">
        <f t="shared" si="8"/>
        <v>gm</v>
      </c>
      <c r="D57" s="24">
        <f t="shared" si="8"/>
        <v>150</v>
      </c>
      <c r="E57" s="27">
        <f>$C$15</f>
        <v>0</v>
      </c>
      <c r="F57" s="58">
        <f>$D$15</f>
        <v>0</v>
      </c>
      <c r="G57" s="28">
        <f>F8</f>
        <v>0.4</v>
      </c>
      <c r="H57" s="84">
        <f>D57*E57</f>
        <v>0</v>
      </c>
      <c r="I57" s="32">
        <f>H57*G57</f>
        <v>0</v>
      </c>
    </row>
    <row r="58" spans="2:9" ht="24" customHeight="1" x14ac:dyDescent="0.35">
      <c r="B58" s="24" t="str">
        <f t="shared" si="8"/>
        <v>Salt - ملح</v>
      </c>
      <c r="C58" s="24" t="str">
        <f t="shared" si="8"/>
        <v>gm</v>
      </c>
      <c r="D58" s="24">
        <f t="shared" si="8"/>
        <v>400</v>
      </c>
      <c r="E58" s="27">
        <f>$C$15</f>
        <v>0</v>
      </c>
      <c r="F58" s="58">
        <f>$D$15</f>
        <v>0</v>
      </c>
      <c r="G58" s="28">
        <f>F9</f>
        <v>1</v>
      </c>
      <c r="H58" s="84">
        <f>D58*E58</f>
        <v>0</v>
      </c>
      <c r="I58" s="32">
        <f>H58*G58</f>
        <v>0</v>
      </c>
    </row>
    <row r="59" spans="2:9" ht="28.5" customHeight="1" x14ac:dyDescent="0.35">
      <c r="B59" s="24" t="str">
        <f t="shared" si="8"/>
        <v>Butter - زبدة</v>
      </c>
      <c r="C59" s="24" t="str">
        <f t="shared" si="8"/>
        <v>gm</v>
      </c>
      <c r="D59" s="24">
        <f t="shared" si="8"/>
        <v>150</v>
      </c>
      <c r="E59" s="27">
        <f>$C$15</f>
        <v>0</v>
      </c>
      <c r="F59" s="58">
        <f>$D$15</f>
        <v>0</v>
      </c>
      <c r="G59" s="28">
        <f>F10</f>
        <v>1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</row>
    <row r="61" spans="2:9" x14ac:dyDescent="0.35">
      <c r="B61" s="60"/>
      <c r="C61" s="60"/>
      <c r="D61" s="60"/>
      <c r="E61" s="61"/>
      <c r="F61" s="62"/>
      <c r="G61" s="18"/>
      <c r="H61" s="63"/>
    </row>
    <row r="62" spans="2:9" x14ac:dyDescent="0.35">
      <c r="B62" s="18"/>
      <c r="E62" s="18"/>
      <c r="F62" s="18"/>
    </row>
    <row r="63" spans="2:9" x14ac:dyDescent="0.35">
      <c r="B63" s="91"/>
      <c r="C63" s="85"/>
      <c r="D63" s="85"/>
      <c r="E63" s="91"/>
      <c r="F63" s="91"/>
      <c r="G63" s="85"/>
      <c r="H63" s="85"/>
      <c r="I63" s="85"/>
    </row>
    <row r="64" spans="2:9" ht="17.649999999999999" x14ac:dyDescent="0.35">
      <c r="B64" s="240" t="str">
        <f>"  رز  المندى 3 / " &amp; COUNTIF($C$14:$C$16, "&gt;0")</f>
        <v xml:space="preserve">  رز  المندى 3 / 1</v>
      </c>
      <c r="C64" s="240"/>
      <c r="D64" s="240"/>
      <c r="E64" s="240"/>
      <c r="F64" s="240"/>
      <c r="G64" s="240"/>
      <c r="H64" s="240"/>
      <c r="I64" s="240"/>
    </row>
    <row r="65" spans="2:9" ht="17.649999999999999" x14ac:dyDescent="0.35">
      <c r="B65" s="240" t="str">
        <f>"  Mandi Rice  3 / " &amp; COUNTIF($C$14:$C$16, "&gt;0")</f>
        <v xml:space="preserve">  Mandi Rice  3 / 1</v>
      </c>
      <c r="C65" s="240"/>
      <c r="D65" s="240"/>
      <c r="E65" s="240"/>
      <c r="F65" s="240"/>
      <c r="G65" s="240"/>
      <c r="H65" s="240"/>
      <c r="I65" s="240"/>
    </row>
    <row r="66" spans="2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22" t="s">
        <v>65</v>
      </c>
      <c r="I66" s="23" t="s">
        <v>66</v>
      </c>
    </row>
    <row r="67" spans="2:9" x14ac:dyDescent="0.35">
      <c r="B67" s="24" t="str">
        <f>B5</f>
        <v>Rice - رز</v>
      </c>
      <c r="C67" s="24" t="str">
        <f>C5</f>
        <v>KG</v>
      </c>
      <c r="D67" s="24">
        <f>D5</f>
        <v>13</v>
      </c>
      <c r="E67" s="27">
        <f>$C$16</f>
        <v>0</v>
      </c>
      <c r="F67" s="58">
        <f>$D$16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ref="B68:D71" si="9">B7</f>
        <v>Onion - بصل</v>
      </c>
      <c r="C68" s="24" t="str">
        <f t="shared" si="9"/>
        <v>gm</v>
      </c>
      <c r="D68" s="24">
        <f t="shared" si="9"/>
        <v>720</v>
      </c>
      <c r="E68" s="27">
        <f>$C$16</f>
        <v>0</v>
      </c>
      <c r="F68" s="58">
        <f>$D$16</f>
        <v>0</v>
      </c>
      <c r="G68" s="28">
        <f>F7</f>
        <v>1</v>
      </c>
      <c r="H68" s="84">
        <f>D68*E68</f>
        <v>0</v>
      </c>
      <c r="I68" s="32">
        <f>H68*G68</f>
        <v>0</v>
      </c>
    </row>
    <row r="69" spans="2:9" ht="25.5" x14ac:dyDescent="0.35">
      <c r="B69" s="24" t="str">
        <f t="shared" si="9"/>
        <v>Cardamom Whole - هيل حب</v>
      </c>
      <c r="C69" s="24" t="str">
        <f t="shared" si="9"/>
        <v>gm</v>
      </c>
      <c r="D69" s="24">
        <f t="shared" si="9"/>
        <v>150</v>
      </c>
      <c r="E69" s="27">
        <f>$C$16</f>
        <v>0</v>
      </c>
      <c r="F69" s="58">
        <f>$D$16</f>
        <v>0</v>
      </c>
      <c r="G69" s="28">
        <f>F8</f>
        <v>0.4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9"/>
        <v>Salt - ملح</v>
      </c>
      <c r="C70" s="24" t="str">
        <f t="shared" si="9"/>
        <v>gm</v>
      </c>
      <c r="D70" s="24">
        <f t="shared" si="9"/>
        <v>400</v>
      </c>
      <c r="E70" s="27">
        <f>$C$16</f>
        <v>0</v>
      </c>
      <c r="F70" s="58">
        <f>$D$16</f>
        <v>0</v>
      </c>
      <c r="G70" s="28">
        <f>F9</f>
        <v>1</v>
      </c>
      <c r="H70" s="84">
        <f>D70*E70</f>
        <v>0</v>
      </c>
      <c r="I70" s="32">
        <f>H70*G70</f>
        <v>0</v>
      </c>
    </row>
    <row r="71" spans="2:9" x14ac:dyDescent="0.35">
      <c r="B71" s="24" t="str">
        <f t="shared" si="9"/>
        <v>Butter - زبدة</v>
      </c>
      <c r="C71" s="24" t="str">
        <f t="shared" si="9"/>
        <v>gm</v>
      </c>
      <c r="D71" s="24">
        <f t="shared" si="9"/>
        <v>150</v>
      </c>
      <c r="E71" s="27">
        <f>$C$16</f>
        <v>0</v>
      </c>
      <c r="F71" s="58">
        <f>$D$16</f>
        <v>0</v>
      </c>
      <c r="G71" s="28">
        <f>F10</f>
        <v>1</v>
      </c>
      <c r="H71" s="84">
        <f>D71*E71</f>
        <v>0</v>
      </c>
      <c r="I71" s="32">
        <f>H71*G71</f>
        <v>0</v>
      </c>
    </row>
  </sheetData>
  <mergeCells count="10">
    <mergeCell ref="B65:I65"/>
    <mergeCell ref="A2:A3"/>
    <mergeCell ref="M11:N11"/>
    <mergeCell ref="B2:H3"/>
    <mergeCell ref="B40:I40"/>
    <mergeCell ref="N21:O21"/>
    <mergeCell ref="B41:I41"/>
    <mergeCell ref="B52:I52"/>
    <mergeCell ref="B53:I53"/>
    <mergeCell ref="B64:I64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E75B6"/>
    <pageSetUpPr fitToPage="1"/>
  </sheetPr>
  <dimension ref="A1:AB83"/>
  <sheetViews>
    <sheetView zoomScale="70" zoomScaleNormal="70" workbookViewId="0">
      <selection activeCell="J5" sqref="I5:J9"/>
    </sheetView>
  </sheetViews>
  <sheetFormatPr defaultColWidth="12.5" defaultRowHeight="12.75" x14ac:dyDescent="0.35"/>
  <cols>
    <col min="1" max="1" width="11.4375" style="10" customWidth="1"/>
    <col min="2" max="2" width="20.5" style="10" customWidth="1"/>
    <col min="3" max="3" width="24" style="10" customWidth="1"/>
    <col min="4" max="4" width="21.8125" style="10" customWidth="1"/>
    <col min="5" max="5" width="16.1875" style="10" customWidth="1"/>
    <col min="6" max="6" width="19.1875" style="10" customWidth="1"/>
    <col min="7" max="7" width="16.7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91900</v>
      </c>
      <c r="F1" s="11" t="s">
        <v>55</v>
      </c>
      <c r="G1" s="15">
        <f>E1/C1</f>
        <v>3.0633333333333335</v>
      </c>
      <c r="H1" s="11" t="s">
        <v>56</v>
      </c>
      <c r="I1" s="16">
        <f>(G1/K1)</f>
        <v>3.0633333333333335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91400</v>
      </c>
      <c r="AA1" s="150" t="s">
        <v>207</v>
      </c>
      <c r="AB1" s="148">
        <v>500</v>
      </c>
    </row>
    <row r="2" spans="1:28" ht="12.75" customHeight="1" x14ac:dyDescent="0.35">
      <c r="A2" s="241"/>
      <c r="B2" s="244" t="s">
        <v>58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3.0633333333333335</v>
      </c>
      <c r="F5" s="28">
        <v>1</v>
      </c>
      <c r="G5" s="29">
        <f>D5*E5</f>
        <v>30.633333333333333</v>
      </c>
      <c r="H5" s="208">
        <f>G5*F5</f>
        <v>30.633333333333333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30.633333333333333</v>
      </c>
      <c r="L5" s="25">
        <f>K5*J5</f>
        <v>176.14166666666665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>$G$1</f>
        <v>3.0633333333333335</v>
      </c>
      <c r="F6" s="28">
        <v>1</v>
      </c>
      <c r="G6" s="29">
        <f>D6*E6</f>
        <v>91900</v>
      </c>
      <c r="H6" s="209">
        <f>G6*F6</f>
        <v>91900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91.9</v>
      </c>
      <c r="L6" s="25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3.0633333333333335</v>
      </c>
      <c r="F7" s="28">
        <v>1</v>
      </c>
      <c r="G7" s="29">
        <f>D7*E7</f>
        <v>459.5</v>
      </c>
      <c r="H7" s="210">
        <f>G7*F7</f>
        <v>459.5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0.45950000000000002</v>
      </c>
      <c r="L7" s="25">
        <f t="shared" si="0"/>
        <v>13.785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>$G$1</f>
        <v>3.0633333333333335</v>
      </c>
      <c r="F8" s="28">
        <v>1</v>
      </c>
      <c r="G8" s="29">
        <f>D8*E8</f>
        <v>1225.3333333333335</v>
      </c>
      <c r="H8" s="210">
        <f>G8*F8</f>
        <v>1225.3333333333335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1.2253333333333334</v>
      </c>
      <c r="L8" s="25">
        <f t="shared" si="0"/>
        <v>0.9067466666666667</v>
      </c>
    </row>
    <row r="9" spans="1:28" ht="25.5" x14ac:dyDescent="0.35">
      <c r="B9" s="24" t="s">
        <v>27</v>
      </c>
      <c r="C9" s="33" t="s">
        <v>17</v>
      </c>
      <c r="D9" s="34">
        <v>20</v>
      </c>
      <c r="E9" s="35">
        <f>$G$1</f>
        <v>3.0633333333333335</v>
      </c>
      <c r="F9" s="36">
        <v>1</v>
      </c>
      <c r="G9" s="37">
        <f>D9*E9</f>
        <v>61.266666666666666</v>
      </c>
      <c r="H9" s="211">
        <f>G9*F9</f>
        <v>61.266666666666666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6.1266666666666664E-2</v>
      </c>
      <c r="L9" s="25">
        <f t="shared" si="0"/>
        <v>1.8992666666666667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67</v>
      </c>
      <c r="N11" s="242"/>
    </row>
    <row r="12" spans="1:28" ht="13.5" customHeight="1" x14ac:dyDescent="0.35">
      <c r="B12" s="48" t="s">
        <v>71</v>
      </c>
      <c r="C12" s="49">
        <f>I1</f>
        <v>3.0633333333333335</v>
      </c>
      <c r="D12" s="50">
        <f>E1</f>
        <v>91900</v>
      </c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73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72</v>
      </c>
      <c r="N13" s="130">
        <f>$Z$1</f>
        <v>91400</v>
      </c>
    </row>
    <row r="14" spans="1:28" ht="14.25" customHeight="1" x14ac:dyDescent="0.35">
      <c r="B14" s="48" t="s">
        <v>75</v>
      </c>
      <c r="C14" s="51">
        <f>MIN(MAX($C$12-C13,0),1)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74</v>
      </c>
      <c r="N14" s="129">
        <f>$AB$1</f>
        <v>500</v>
      </c>
    </row>
    <row r="15" spans="1:28" ht="14.25" customHeight="1" x14ac:dyDescent="0.35">
      <c r="B15" s="48" t="s">
        <v>76</v>
      </c>
      <c r="C15" s="51">
        <f>MIN(MAX($C$12-C13-C14,0),1)</f>
        <v>1</v>
      </c>
      <c r="D15" s="50">
        <f>C15*$C$1</f>
        <v>30000</v>
      </c>
      <c r="E15" s="18"/>
      <c r="F15" s="18"/>
      <c r="I15" s="18"/>
      <c r="J15" s="18"/>
      <c r="K15" s="18"/>
      <c r="M15" s="53" t="s">
        <v>71</v>
      </c>
      <c r="N15" s="54">
        <f>N13+N14</f>
        <v>91900</v>
      </c>
    </row>
    <row r="16" spans="1:28" ht="13.5" x14ac:dyDescent="0.35">
      <c r="B16" s="48" t="s">
        <v>109</v>
      </c>
      <c r="C16" s="51">
        <f>MIN(MAX($C$12-C13-C14-C15,0),1)</f>
        <v>6.3333333333333464E-2</v>
      </c>
      <c r="D16" s="50">
        <f t="shared" ref="D16:D17" si="2">C16*$C$1</f>
        <v>1900.0000000000039</v>
      </c>
    </row>
    <row r="17" spans="2:15" ht="13.5" x14ac:dyDescent="0.35">
      <c r="B17" s="48" t="s">
        <v>110</v>
      </c>
      <c r="C17" s="51">
        <f>MIN(MAX($C$12-C13-C14-C15-C16,0),1)</f>
        <v>0</v>
      </c>
      <c r="D17" s="50">
        <f t="shared" si="2"/>
        <v>0</v>
      </c>
    </row>
    <row r="20" spans="2:15" ht="13.5" customHeight="1" x14ac:dyDescent="0.35">
      <c r="N20" s="245"/>
      <c r="O20" s="245"/>
    </row>
    <row r="40" spans="1:9" ht="18" customHeight="1" x14ac:dyDescent="0.35">
      <c r="A40" s="134"/>
      <c r="B40" s="240" t="str">
        <f>"      رز أبيض   1 / " &amp; COUNTIF($C$13:$C$17, "&gt;0")</f>
        <v xml:space="preserve">      رز أبيض   1 / 4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 White Rice   1 / " &amp; COUNTIF($C$13:$C$17, "&gt;0")</f>
        <v xml:space="preserve">  White Rice   1 / 4</v>
      </c>
      <c r="C41" s="240"/>
      <c r="D41" s="240"/>
      <c r="E41" s="240"/>
      <c r="F41" s="240"/>
      <c r="G41" s="240"/>
      <c r="H41" s="240"/>
      <c r="I41" s="240"/>
    </row>
    <row r="42" spans="1:9" ht="52.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x14ac:dyDescent="0.35">
      <c r="B43" s="24" t="str">
        <f t="shared" ref="B43:D47" si="3">B5</f>
        <v>Rice - رز</v>
      </c>
      <c r="C43" s="24" t="str">
        <f t="shared" si="3"/>
        <v>KG</v>
      </c>
      <c r="D43" s="24">
        <f t="shared" si="3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3"/>
        <v>Water - ماء</v>
      </c>
      <c r="C44" s="24" t="str">
        <f t="shared" si="3"/>
        <v>ml</v>
      </c>
      <c r="D44" s="24">
        <f t="shared" si="3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3"/>
        <v>Butter - زبدة</v>
      </c>
      <c r="C45" s="24" t="str">
        <f t="shared" si="3"/>
        <v>gm</v>
      </c>
      <c r="D45" s="24">
        <f t="shared" si="3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ht="12.5" customHeight="1" x14ac:dyDescent="0.35">
      <c r="B46" s="24" t="str">
        <f t="shared" si="3"/>
        <v>Salt - ملح</v>
      </c>
      <c r="C46" s="24" t="str">
        <f t="shared" si="3"/>
        <v>gm</v>
      </c>
      <c r="D46" s="24">
        <f t="shared" si="3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13.25" customHeight="1" x14ac:dyDescent="0.35">
      <c r="B47" s="24" t="str">
        <f t="shared" si="3"/>
        <v>Cardamom Whole - هيل حب</v>
      </c>
      <c r="C47" s="24" t="str">
        <f t="shared" si="3"/>
        <v>gm</v>
      </c>
      <c r="D47" s="24">
        <f t="shared" si="3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7.649999999999999" x14ac:dyDescent="0.35">
      <c r="A52" s="134"/>
      <c r="B52" s="240" t="str">
        <f>"      رز أبيض   2 / " &amp; COUNTIF($C$13:$C$17, "&gt;0")</f>
        <v xml:space="preserve">      رز أبيض   2 / 4</v>
      </c>
      <c r="C52" s="240"/>
      <c r="D52" s="240"/>
      <c r="E52" s="240"/>
      <c r="F52" s="240"/>
      <c r="G52" s="240"/>
      <c r="H52" s="240"/>
      <c r="I52" s="240"/>
    </row>
    <row r="53" spans="1:9" ht="18" customHeight="1" x14ac:dyDescent="0.35">
      <c r="A53" s="134"/>
      <c r="B53" s="240" t="str">
        <f>"  White Rice   2 / " &amp; COUNTIF($C$13:$C$17, "&gt;0")</f>
        <v xml:space="preserve">  White Rice   2 / 4</v>
      </c>
      <c r="C53" s="240"/>
      <c r="D53" s="240"/>
      <c r="E53" s="240"/>
      <c r="F53" s="240"/>
      <c r="G53" s="240"/>
      <c r="H53" s="240"/>
      <c r="I53" s="240"/>
    </row>
    <row r="54" spans="1:9" ht="24" customHeight="1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104" t="s">
        <v>65</v>
      </c>
      <c r="I54" s="23" t="s">
        <v>79</v>
      </c>
    </row>
    <row r="55" spans="1:9" ht="28.5" customHeight="1" x14ac:dyDescent="0.35">
      <c r="B55" s="24" t="str">
        <f t="shared" ref="B55:D59" si="4">B5</f>
        <v>Rice - رز</v>
      </c>
      <c r="C55" s="24" t="str">
        <f t="shared" si="4"/>
        <v>KG</v>
      </c>
      <c r="D55" s="24">
        <f t="shared" si="4"/>
        <v>10</v>
      </c>
      <c r="E55" s="27">
        <f>$C$14</f>
        <v>1</v>
      </c>
      <c r="F55" s="58">
        <f>$D$14</f>
        <v>30000</v>
      </c>
      <c r="G55" s="28">
        <f>F5</f>
        <v>1</v>
      </c>
      <c r="H55" s="84">
        <f>D55*E55</f>
        <v>10</v>
      </c>
      <c r="I55" s="30">
        <f>H55*G55</f>
        <v>10</v>
      </c>
    </row>
    <row r="56" spans="1:9" x14ac:dyDescent="0.35">
      <c r="B56" s="24" t="str">
        <f t="shared" si="4"/>
        <v>Water - ماء</v>
      </c>
      <c r="C56" s="24" t="str">
        <f t="shared" si="4"/>
        <v>ml</v>
      </c>
      <c r="D56" s="24">
        <f t="shared" si="4"/>
        <v>30000</v>
      </c>
      <c r="E56" s="27">
        <f>$C$14</f>
        <v>1</v>
      </c>
      <c r="F56" s="58">
        <f>$D$14</f>
        <v>30000</v>
      </c>
      <c r="G56" s="28">
        <f>F6</f>
        <v>1</v>
      </c>
      <c r="H56" s="84">
        <f>D56*E56</f>
        <v>30000</v>
      </c>
      <c r="I56" s="32">
        <f>H56*G56</f>
        <v>30000</v>
      </c>
    </row>
    <row r="57" spans="1:9" x14ac:dyDescent="0.35">
      <c r="B57" s="24" t="str">
        <f t="shared" si="4"/>
        <v>Butter - زبدة</v>
      </c>
      <c r="C57" s="24" t="str">
        <f t="shared" si="4"/>
        <v>gm</v>
      </c>
      <c r="D57" s="24">
        <f t="shared" si="4"/>
        <v>150</v>
      </c>
      <c r="E57" s="27">
        <f>$C$14</f>
        <v>1</v>
      </c>
      <c r="F57" s="58">
        <f>$D$14</f>
        <v>30000</v>
      </c>
      <c r="G57" s="28">
        <f>F7</f>
        <v>1</v>
      </c>
      <c r="H57" s="84">
        <f>D57*E57</f>
        <v>150</v>
      </c>
      <c r="I57" s="32">
        <f>H57*G57</f>
        <v>150</v>
      </c>
    </row>
    <row r="58" spans="1:9" x14ac:dyDescent="0.35">
      <c r="B58" s="24" t="str">
        <f t="shared" si="4"/>
        <v>Salt - ملح</v>
      </c>
      <c r="C58" s="24" t="str">
        <f t="shared" si="4"/>
        <v>gm</v>
      </c>
      <c r="D58" s="24">
        <f t="shared" si="4"/>
        <v>400</v>
      </c>
      <c r="E58" s="27">
        <f>$C$14</f>
        <v>1</v>
      </c>
      <c r="F58" s="58">
        <f>$D$14</f>
        <v>30000</v>
      </c>
      <c r="G58" s="28">
        <f>F8</f>
        <v>1</v>
      </c>
      <c r="H58" s="84">
        <f>D58*E58</f>
        <v>400</v>
      </c>
      <c r="I58" s="32">
        <f>H58*G58</f>
        <v>400</v>
      </c>
    </row>
    <row r="59" spans="1:9" ht="14" customHeight="1" x14ac:dyDescent="0.35">
      <c r="B59" s="24" t="str">
        <f t="shared" si="4"/>
        <v>Cardamom Whole - هيل حب</v>
      </c>
      <c r="C59" s="24" t="str">
        <f t="shared" si="4"/>
        <v>gm</v>
      </c>
      <c r="D59" s="24">
        <f t="shared" si="4"/>
        <v>20</v>
      </c>
      <c r="E59" s="27">
        <f>$C$14</f>
        <v>1</v>
      </c>
      <c r="F59" s="58">
        <f>$D$14</f>
        <v>30000</v>
      </c>
      <c r="G59" s="28">
        <f>F9</f>
        <v>1</v>
      </c>
      <c r="H59" s="84">
        <f>D59*E59</f>
        <v>20</v>
      </c>
      <c r="I59" s="32">
        <f>H59*G59</f>
        <v>20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8" customHeight="1" x14ac:dyDescent="0.35">
      <c r="A64" s="134"/>
      <c r="B64" s="240" t="str">
        <f>"      رز أبيض  3 / " &amp; COUNTIF($C$13:$C$17, "&gt;0")</f>
        <v xml:space="preserve">      رز أبيض  3 / 4</v>
      </c>
      <c r="C64" s="240"/>
      <c r="D64" s="240"/>
      <c r="E64" s="240"/>
      <c r="F64" s="240"/>
      <c r="G64" s="240"/>
      <c r="H64" s="240"/>
      <c r="I64" s="240"/>
    </row>
    <row r="65" spans="1:9" ht="17.649999999999999" x14ac:dyDescent="0.35">
      <c r="A65" s="134"/>
      <c r="B65" s="240" t="str">
        <f>"  White Rice   3 / " &amp; COUNTIF($C$13:$C$17, "&gt;0")</f>
        <v xml:space="preserve">  White Rice   3 / 4</v>
      </c>
      <c r="C65" s="240"/>
      <c r="D65" s="240"/>
      <c r="E65" s="240"/>
      <c r="F65" s="240"/>
      <c r="G65" s="240"/>
      <c r="H65" s="240"/>
      <c r="I65" s="240"/>
    </row>
    <row r="66" spans="1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104" t="s">
        <v>65</v>
      </c>
      <c r="I66" s="23" t="s">
        <v>66</v>
      </c>
    </row>
    <row r="67" spans="1:9" x14ac:dyDescent="0.35">
      <c r="B67" s="24" t="str">
        <f t="shared" ref="B67:D71" si="5">B5</f>
        <v>Rice - رز</v>
      </c>
      <c r="C67" s="24" t="str">
        <f t="shared" si="5"/>
        <v>KG</v>
      </c>
      <c r="D67" s="24">
        <f t="shared" si="5"/>
        <v>10</v>
      </c>
      <c r="E67" s="27">
        <f>$C$15</f>
        <v>1</v>
      </c>
      <c r="F67" s="58">
        <f>$D$15</f>
        <v>30000</v>
      </c>
      <c r="G67" s="28">
        <f>F5</f>
        <v>1</v>
      </c>
      <c r="H67" s="84">
        <f>D67*E67</f>
        <v>10</v>
      </c>
      <c r="I67" s="32">
        <f>H67*G67</f>
        <v>10</v>
      </c>
    </row>
    <row r="68" spans="1:9" x14ac:dyDescent="0.35">
      <c r="B68" s="24" t="str">
        <f t="shared" si="5"/>
        <v>Water - ماء</v>
      </c>
      <c r="C68" s="24" t="str">
        <f t="shared" si="5"/>
        <v>ml</v>
      </c>
      <c r="D68" s="24">
        <f t="shared" si="5"/>
        <v>30000</v>
      </c>
      <c r="E68" s="27">
        <f>$C$15</f>
        <v>1</v>
      </c>
      <c r="F68" s="58">
        <f>$D$15</f>
        <v>30000</v>
      </c>
      <c r="G68" s="28">
        <f>F6</f>
        <v>1</v>
      </c>
      <c r="H68" s="84">
        <f>D68*E68</f>
        <v>30000</v>
      </c>
      <c r="I68" s="32">
        <f>H68*G68</f>
        <v>30000</v>
      </c>
    </row>
    <row r="69" spans="1:9" x14ac:dyDescent="0.35">
      <c r="B69" s="24" t="str">
        <f t="shared" si="5"/>
        <v>Butter - زبدة</v>
      </c>
      <c r="C69" s="24" t="str">
        <f t="shared" si="5"/>
        <v>gm</v>
      </c>
      <c r="D69" s="24">
        <f t="shared" si="5"/>
        <v>150</v>
      </c>
      <c r="E69" s="27">
        <f>$C$15</f>
        <v>1</v>
      </c>
      <c r="F69" s="58">
        <f>$D$15</f>
        <v>30000</v>
      </c>
      <c r="G69" s="28">
        <f>F7</f>
        <v>1</v>
      </c>
      <c r="H69" s="84">
        <f>D69*E69</f>
        <v>150</v>
      </c>
      <c r="I69" s="32">
        <f>H69*G69</f>
        <v>150</v>
      </c>
    </row>
    <row r="70" spans="1:9" ht="13.25" customHeight="1" x14ac:dyDescent="0.35">
      <c r="B70" s="24" t="str">
        <f t="shared" si="5"/>
        <v>Salt - ملح</v>
      </c>
      <c r="C70" s="24" t="str">
        <f t="shared" si="5"/>
        <v>gm</v>
      </c>
      <c r="D70" s="24">
        <f t="shared" si="5"/>
        <v>400</v>
      </c>
      <c r="E70" s="27">
        <f>$C$15</f>
        <v>1</v>
      </c>
      <c r="F70" s="58">
        <f>$D$15</f>
        <v>30000</v>
      </c>
      <c r="G70" s="28">
        <f>F8</f>
        <v>1</v>
      </c>
      <c r="H70" s="84">
        <f>D70*E70</f>
        <v>400</v>
      </c>
      <c r="I70" s="32">
        <f>H70*G70</f>
        <v>400</v>
      </c>
    </row>
    <row r="71" spans="1:9" ht="12.5" customHeight="1" x14ac:dyDescent="0.35">
      <c r="B71" s="24" t="str">
        <f t="shared" si="5"/>
        <v>Cardamom Whole - هيل حب</v>
      </c>
      <c r="C71" s="24" t="str">
        <f t="shared" si="5"/>
        <v>gm</v>
      </c>
      <c r="D71" s="24">
        <f t="shared" si="5"/>
        <v>20</v>
      </c>
      <c r="E71" s="27">
        <f>$C$15</f>
        <v>1</v>
      </c>
      <c r="F71" s="58">
        <f>$D$15</f>
        <v>30000</v>
      </c>
      <c r="G71" s="28">
        <f>F9</f>
        <v>1</v>
      </c>
      <c r="H71" s="84">
        <f>D71*E71</f>
        <v>20</v>
      </c>
      <c r="I71" s="32">
        <f>H71*G71</f>
        <v>20</v>
      </c>
    </row>
    <row r="76" spans="1:9" ht="17.649999999999999" x14ac:dyDescent="0.35">
      <c r="A76" s="134"/>
      <c r="B76" s="240" t="str">
        <f>"      رز أبيض  4 / " &amp; COUNTIF($C$13:$C$17, "&gt;0")</f>
        <v xml:space="preserve">      رز أبيض  4 / 4</v>
      </c>
      <c r="C76" s="240"/>
      <c r="D76" s="240"/>
      <c r="E76" s="240"/>
      <c r="F76" s="240"/>
      <c r="G76" s="240"/>
      <c r="H76" s="240"/>
      <c r="I76" s="240"/>
    </row>
    <row r="77" spans="1:9" ht="17.649999999999999" x14ac:dyDescent="0.35">
      <c r="A77" s="134"/>
      <c r="B77" s="240" t="str">
        <f>"  White Rice   4 / " &amp; COUNTIF($C$13:$C$17, "&gt;0")</f>
        <v xml:space="preserve">  White Rice   4 / 4</v>
      </c>
      <c r="C77" s="240"/>
      <c r="D77" s="240"/>
      <c r="E77" s="240"/>
      <c r="F77" s="240"/>
      <c r="G77" s="240"/>
      <c r="H77" s="240"/>
      <c r="I77" s="240"/>
    </row>
    <row r="78" spans="1:9" ht="52.5" x14ac:dyDescent="0.35">
      <c r="B78" s="19" t="s">
        <v>60</v>
      </c>
      <c r="C78" s="20" t="s">
        <v>61</v>
      </c>
      <c r="D78" s="19" t="s">
        <v>62</v>
      </c>
      <c r="E78" s="21" t="s">
        <v>63</v>
      </c>
      <c r="F78" s="55" t="s">
        <v>77</v>
      </c>
      <c r="G78" s="21" t="s">
        <v>64</v>
      </c>
      <c r="H78" s="104" t="s">
        <v>65</v>
      </c>
      <c r="I78" s="23" t="s">
        <v>66</v>
      </c>
    </row>
    <row r="79" spans="1:9" x14ac:dyDescent="0.35">
      <c r="B79" s="24" t="str">
        <f>B5</f>
        <v>Rice - رز</v>
      </c>
      <c r="C79" s="24" t="str">
        <f t="shared" ref="C79:D79" si="6">C5</f>
        <v>KG</v>
      </c>
      <c r="D79" s="24">
        <f t="shared" si="6"/>
        <v>10</v>
      </c>
      <c r="E79" s="125">
        <f>$C$16</f>
        <v>6.3333333333333464E-2</v>
      </c>
      <c r="F79" s="58">
        <f>$D$16</f>
        <v>1900.0000000000039</v>
      </c>
      <c r="G79" s="28">
        <f>F5</f>
        <v>1</v>
      </c>
      <c r="H79" s="84">
        <f>D79*E79</f>
        <v>0.63333333333333464</v>
      </c>
      <c r="I79" s="32">
        <f>H79*G79</f>
        <v>0.63333333333333464</v>
      </c>
    </row>
    <row r="80" spans="1:9" x14ac:dyDescent="0.35">
      <c r="B80" s="24" t="str">
        <f t="shared" ref="B80:D80" si="7">B6</f>
        <v>Water - ماء</v>
      </c>
      <c r="C80" s="24" t="str">
        <f t="shared" si="7"/>
        <v>ml</v>
      </c>
      <c r="D80" s="24">
        <f t="shared" si="7"/>
        <v>30000</v>
      </c>
      <c r="E80" s="125">
        <f t="shared" ref="E80:E83" si="8">$C$16</f>
        <v>6.3333333333333464E-2</v>
      </c>
      <c r="F80" s="58">
        <f t="shared" ref="F80:F83" si="9">$D$16</f>
        <v>1900.0000000000039</v>
      </c>
      <c r="G80" s="28">
        <f t="shared" ref="G80:G83" si="10">F6</f>
        <v>1</v>
      </c>
      <c r="H80" s="84">
        <f t="shared" ref="H80:H83" si="11">D80*E80</f>
        <v>1900.0000000000039</v>
      </c>
      <c r="I80" s="32">
        <f t="shared" ref="I80:I83" si="12">H80*G80</f>
        <v>1900.0000000000039</v>
      </c>
    </row>
    <row r="81" spans="2:9" x14ac:dyDescent="0.35">
      <c r="B81" s="24" t="str">
        <f t="shared" ref="B81:D81" si="13">B7</f>
        <v>Butter - زبدة</v>
      </c>
      <c r="C81" s="24" t="str">
        <f t="shared" si="13"/>
        <v>gm</v>
      </c>
      <c r="D81" s="24">
        <f t="shared" si="13"/>
        <v>150</v>
      </c>
      <c r="E81" s="125">
        <f t="shared" si="8"/>
        <v>6.3333333333333464E-2</v>
      </c>
      <c r="F81" s="58">
        <f t="shared" si="9"/>
        <v>1900.0000000000039</v>
      </c>
      <c r="G81" s="28">
        <f t="shared" si="10"/>
        <v>1</v>
      </c>
      <c r="H81" s="84">
        <f t="shared" si="11"/>
        <v>9.5000000000000195</v>
      </c>
      <c r="I81" s="32">
        <f t="shared" si="12"/>
        <v>9.5000000000000195</v>
      </c>
    </row>
    <row r="82" spans="2:9" x14ac:dyDescent="0.35">
      <c r="B82" s="24" t="str">
        <f t="shared" ref="B82:D82" si="14">B8</f>
        <v>Salt - ملح</v>
      </c>
      <c r="C82" s="24" t="str">
        <f t="shared" si="14"/>
        <v>gm</v>
      </c>
      <c r="D82" s="24">
        <f t="shared" si="14"/>
        <v>400</v>
      </c>
      <c r="E82" s="125">
        <f t="shared" si="8"/>
        <v>6.3333333333333464E-2</v>
      </c>
      <c r="F82" s="58">
        <f t="shared" si="9"/>
        <v>1900.0000000000039</v>
      </c>
      <c r="G82" s="28">
        <f t="shared" si="10"/>
        <v>1</v>
      </c>
      <c r="H82" s="84">
        <f t="shared" si="11"/>
        <v>25.333333333333385</v>
      </c>
      <c r="I82" s="32">
        <f t="shared" si="12"/>
        <v>25.333333333333385</v>
      </c>
    </row>
    <row r="83" spans="2:9" ht="25.5" x14ac:dyDescent="0.35">
      <c r="B83" s="24" t="str">
        <f t="shared" ref="B83:D83" si="15">B9</f>
        <v>Cardamom Whole - هيل حب</v>
      </c>
      <c r="C83" s="24" t="str">
        <f t="shared" si="15"/>
        <v>gm</v>
      </c>
      <c r="D83" s="24">
        <f t="shared" si="15"/>
        <v>20</v>
      </c>
      <c r="E83" s="125">
        <f t="shared" si="8"/>
        <v>6.3333333333333464E-2</v>
      </c>
      <c r="F83" s="58">
        <f t="shared" si="9"/>
        <v>1900.0000000000039</v>
      </c>
      <c r="G83" s="28">
        <f t="shared" si="10"/>
        <v>1</v>
      </c>
      <c r="H83" s="84">
        <f t="shared" si="11"/>
        <v>1.2666666666666693</v>
      </c>
      <c r="I83" s="32">
        <f t="shared" si="12"/>
        <v>1.2666666666666693</v>
      </c>
    </row>
  </sheetData>
  <mergeCells count="12">
    <mergeCell ref="B76:I76"/>
    <mergeCell ref="B77:I77"/>
    <mergeCell ref="B65:I65"/>
    <mergeCell ref="A2:A3"/>
    <mergeCell ref="M11:N11"/>
    <mergeCell ref="B2:H3"/>
    <mergeCell ref="B40:I40"/>
    <mergeCell ref="B64:I64"/>
    <mergeCell ref="N20:O20"/>
    <mergeCell ref="B41:I41"/>
    <mergeCell ref="B52:I52"/>
    <mergeCell ref="B53:I53"/>
  </mergeCells>
  <phoneticPr fontId="20" type="noConversion"/>
  <printOptions horizontalCentered="1"/>
  <pageMargins left="0.5" right="0.5" top="1" bottom="0.5" header="0.3" footer="0.511811023622047"/>
  <pageSetup paperSize="9" scale="23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2E75B6"/>
    <pageSetUpPr fitToPage="1"/>
  </sheetPr>
  <dimension ref="A1:AB60"/>
  <sheetViews>
    <sheetView topLeftCell="I1" zoomScale="70" zoomScaleNormal="70" workbookViewId="0">
      <selection activeCell="J5" sqref="I5:J9"/>
    </sheetView>
  </sheetViews>
  <sheetFormatPr defaultColWidth="12.5" defaultRowHeight="12.75" x14ac:dyDescent="0.35"/>
  <cols>
    <col min="1" max="1" width="8.0625" style="10" customWidth="1"/>
    <col min="2" max="2" width="30.5625" style="10" customWidth="1"/>
    <col min="3" max="3" width="16.5625" style="10" customWidth="1"/>
    <col min="4" max="4" width="21.8125" style="10" customWidth="1"/>
    <col min="5" max="5" width="16.1875" style="10" customWidth="1"/>
    <col min="6" max="6" width="23" style="10" customWidth="1"/>
    <col min="7" max="7" width="25.1875" style="10" customWidth="1"/>
    <col min="8" max="8" width="36.1875" style="10" customWidth="1"/>
    <col min="9" max="9" width="21.0625" style="10" customWidth="1"/>
    <col min="10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51920</v>
      </c>
      <c r="F1" s="11" t="s">
        <v>55</v>
      </c>
      <c r="G1" s="15">
        <f>E1/C1</f>
        <v>1.7306666666666666</v>
      </c>
      <c r="H1" s="11" t="s">
        <v>56</v>
      </c>
      <c r="I1" s="16">
        <f>(G1/K1)</f>
        <v>1.7306666666666666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51420</v>
      </c>
      <c r="AA1" s="150" t="s">
        <v>207</v>
      </c>
      <c r="AB1" s="148">
        <v>500</v>
      </c>
    </row>
    <row r="2" spans="1:28" ht="12.75" customHeight="1" x14ac:dyDescent="0.35">
      <c r="A2" s="241"/>
      <c r="B2" s="244" t="s">
        <v>80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1.7306666666666666</v>
      </c>
      <c r="F5" s="28">
        <v>1</v>
      </c>
      <c r="G5" s="29">
        <f t="shared" ref="G5:G10" si="1">D5*E5</f>
        <v>17.306666666666665</v>
      </c>
      <c r="H5" s="208">
        <f t="shared" ref="H5:H10" si="2">G5*F5</f>
        <v>17.306666666666665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17.306666666666665</v>
      </c>
      <c r="L5" s="25">
        <f>K5*J5</f>
        <v>99.513333333333321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 t="shared" si="0"/>
        <v>1.7306666666666666</v>
      </c>
      <c r="F6" s="28">
        <v>1</v>
      </c>
      <c r="G6" s="29">
        <f t="shared" si="1"/>
        <v>51920</v>
      </c>
      <c r="H6" s="209">
        <f t="shared" si="2"/>
        <v>51920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51.92</v>
      </c>
      <c r="L6" s="25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1.7306666666666666</v>
      </c>
      <c r="F7" s="28">
        <v>1</v>
      </c>
      <c r="G7" s="29">
        <f t="shared" si="1"/>
        <v>259.59999999999997</v>
      </c>
      <c r="H7" s="210">
        <f t="shared" si="2"/>
        <v>259.59999999999997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0.25959999999999994</v>
      </c>
      <c r="L7" s="25">
        <f t="shared" si="3"/>
        <v>7.7879999999999985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 t="shared" si="0"/>
        <v>1.7306666666666666</v>
      </c>
      <c r="F8" s="28">
        <v>1</v>
      </c>
      <c r="G8" s="29">
        <f t="shared" si="1"/>
        <v>692.26666666666665</v>
      </c>
      <c r="H8" s="210">
        <f t="shared" si="2"/>
        <v>692.26666666666665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0.6922666666666667</v>
      </c>
      <c r="L8" s="25">
        <f t="shared" si="3"/>
        <v>0.51227733333333336</v>
      </c>
    </row>
    <row r="9" spans="1:28" x14ac:dyDescent="0.35">
      <c r="B9" s="24" t="s">
        <v>27</v>
      </c>
      <c r="C9" s="25" t="s">
        <v>17</v>
      </c>
      <c r="D9" s="26">
        <v>20</v>
      </c>
      <c r="E9" s="27">
        <f t="shared" si="0"/>
        <v>1.7306666666666666</v>
      </c>
      <c r="F9" s="28">
        <v>1</v>
      </c>
      <c r="G9" s="29">
        <f t="shared" si="1"/>
        <v>34.61333333333333</v>
      </c>
      <c r="H9" s="210">
        <f t="shared" si="2"/>
        <v>34.61333333333333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3.4613333333333329E-2</v>
      </c>
      <c r="L9" s="25">
        <f t="shared" si="3"/>
        <v>1.0730133333333332</v>
      </c>
    </row>
    <row r="10" spans="1:28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1.7306666666666666</v>
      </c>
      <c r="F10" s="28">
        <v>1</v>
      </c>
      <c r="G10" s="29">
        <f t="shared" si="1"/>
        <v>34.61333333333333</v>
      </c>
      <c r="H10" s="210">
        <f t="shared" si="2"/>
        <v>34.61333333333333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3.4613333333333329E-2</v>
      </c>
      <c r="L10" s="25">
        <f t="shared" ref="L10" si="6">K10*J10</f>
        <v>0.77879999999999994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80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71</v>
      </c>
      <c r="C13" s="49">
        <f>I1</f>
        <v>1.7306666666666666</v>
      </c>
      <c r="D13" s="50">
        <f>E1</f>
        <v>51920</v>
      </c>
      <c r="F13" s="18"/>
      <c r="I13" s="18"/>
      <c r="J13" s="18"/>
      <c r="K13" s="18"/>
      <c r="M13" s="48" t="s">
        <v>81</v>
      </c>
      <c r="N13" s="130">
        <f>$Z$1</f>
        <v>51420</v>
      </c>
    </row>
    <row r="14" spans="1:28" ht="13.5" customHeight="1" x14ac:dyDescent="0.35">
      <c r="B14" s="48" t="s">
        <v>73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82</v>
      </c>
      <c r="N14" s="129">
        <f>$AB$1</f>
        <v>500</v>
      </c>
    </row>
    <row r="15" spans="1:28" ht="14.25" customHeight="1" x14ac:dyDescent="0.35">
      <c r="B15" s="48" t="s">
        <v>75</v>
      </c>
      <c r="C15" s="51">
        <f>MIN(MAX($C$13-C14,0),1)</f>
        <v>0.73066666666666658</v>
      </c>
      <c r="D15" s="50">
        <f>C15*$C$1</f>
        <v>21919.999999999996</v>
      </c>
      <c r="E15" s="18"/>
      <c r="F15" s="18"/>
      <c r="I15" s="18"/>
      <c r="J15" s="18"/>
      <c r="K15" s="18"/>
      <c r="M15" s="53" t="s">
        <v>83</v>
      </c>
      <c r="N15" s="54">
        <f>N13+N14</f>
        <v>51920</v>
      </c>
    </row>
    <row r="16" spans="1:28" ht="14.25" customHeigh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5">
      <c r="N21" s="245"/>
      <c r="O21" s="245"/>
    </row>
    <row r="40" spans="1:9" ht="13.5" customHeight="1" x14ac:dyDescent="0.35">
      <c r="A40" s="134"/>
      <c r="B40" s="240" t="str">
        <f>"        رز بريانى-رز زعفران   1 / " &amp; COUNTIF($C$14:$C$16, "&gt;0")</f>
        <v xml:space="preserve">        رز بريانى-رز زعفران   1 / 2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Biryani - Saffron Rice 1 / " &amp; COUNTIF($C$14:$C$16, "&gt;0")</f>
        <v xml:space="preserve">  Biryani - Saffron Rice 1 / 2</v>
      </c>
      <c r="C41" s="240"/>
      <c r="D41" s="240"/>
      <c r="E41" s="240"/>
      <c r="F41" s="240"/>
      <c r="G41" s="240"/>
      <c r="H41" s="240"/>
      <c r="I41" s="240"/>
    </row>
    <row r="42" spans="1:9" ht="52.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1</v>
      </c>
      <c r="H43" s="120">
        <f t="shared" ref="H43:H48" si="11">D43*E43</f>
        <v>10</v>
      </c>
      <c r="I43" s="32">
        <f t="shared" ref="I43:I48" si="12">H43*G43</f>
        <v>10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120">
        <f t="shared" si="11"/>
        <v>30000</v>
      </c>
      <c r="I44" s="32">
        <f t="shared" si="12"/>
        <v>30000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120">
        <f t="shared" si="11"/>
        <v>150</v>
      </c>
      <c r="I45" s="32">
        <f t="shared" si="12"/>
        <v>150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120">
        <f t="shared" si="11"/>
        <v>400</v>
      </c>
      <c r="I46" s="32">
        <f t="shared" si="12"/>
        <v>400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120">
        <f t="shared" si="11"/>
        <v>20</v>
      </c>
      <c r="I47" s="32">
        <f t="shared" si="12"/>
        <v>20</v>
      </c>
    </row>
    <row r="48" spans="1:9" ht="25.5" x14ac:dyDescent="0.35">
      <c r="B48" s="24" t="str">
        <f t="shared" si="7"/>
        <v>لون صفار زعفران بودر - Saffron yellow color powder</v>
      </c>
      <c r="C48" s="24" t="str">
        <f t="shared" si="7"/>
        <v>gm</v>
      </c>
      <c r="D48" s="24">
        <f t="shared" si="7"/>
        <v>20</v>
      </c>
      <c r="E48" s="57">
        <f t="shared" si="8"/>
        <v>1</v>
      </c>
      <c r="F48" s="58">
        <f t="shared" si="9"/>
        <v>30000</v>
      </c>
      <c r="G48" s="28">
        <f t="shared" si="10"/>
        <v>1</v>
      </c>
      <c r="H48" s="120">
        <f t="shared" si="11"/>
        <v>20</v>
      </c>
      <c r="I48" s="32">
        <f t="shared" si="12"/>
        <v>20</v>
      </c>
    </row>
    <row r="52" spans="1:9" ht="17.649999999999999" x14ac:dyDescent="0.35">
      <c r="A52" s="134"/>
      <c r="B52" s="240" t="str">
        <f>"        رز بريانى-رز زعفران   2 / " &amp; COUNTIF($C$14:$C$16, "&gt;0")</f>
        <v xml:space="preserve">        رز بريانى-رز زعفران   2 / 2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Biryani - Saffron Rice  2 / " &amp; COUNTIF($C$14:$C$16, "&gt;0")</f>
        <v xml:space="preserve">  Biryani - Saffron Rice  2 / 2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55" t="s">
        <v>78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0.73066666666666658</v>
      </c>
      <c r="F55" s="68">
        <f t="shared" ref="F55:F60" si="15">$D$15</f>
        <v>21919.999999999996</v>
      </c>
      <c r="G55" s="28">
        <f t="shared" ref="G55:G60" si="16">F5</f>
        <v>1</v>
      </c>
      <c r="H55" s="84">
        <f t="shared" ref="H55:H60" si="17">D55*E55</f>
        <v>7.3066666666666658</v>
      </c>
      <c r="I55" s="32">
        <f t="shared" ref="I55:I60" si="18">H55*G55</f>
        <v>7.3066666666666658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0.73066666666666658</v>
      </c>
      <c r="F56" s="68">
        <f t="shared" si="15"/>
        <v>21919.999999999996</v>
      </c>
      <c r="G56" s="28">
        <f t="shared" si="16"/>
        <v>1</v>
      </c>
      <c r="H56" s="84">
        <f t="shared" si="17"/>
        <v>21919.999999999996</v>
      </c>
      <c r="I56" s="32">
        <f t="shared" si="18"/>
        <v>21919.999999999996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0.73066666666666658</v>
      </c>
      <c r="F57" s="68">
        <f t="shared" si="15"/>
        <v>21919.999999999996</v>
      </c>
      <c r="G57" s="28">
        <f t="shared" si="16"/>
        <v>1</v>
      </c>
      <c r="H57" s="84">
        <f t="shared" si="17"/>
        <v>109.59999999999998</v>
      </c>
      <c r="I57" s="32">
        <f t="shared" si="18"/>
        <v>109.59999999999998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0.73066666666666658</v>
      </c>
      <c r="F58" s="68">
        <f t="shared" si="15"/>
        <v>21919.999999999996</v>
      </c>
      <c r="G58" s="28">
        <f t="shared" si="16"/>
        <v>1</v>
      </c>
      <c r="H58" s="84">
        <f t="shared" si="17"/>
        <v>292.26666666666665</v>
      </c>
      <c r="I58" s="32">
        <f t="shared" si="18"/>
        <v>292.26666666666665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0.73066666666666658</v>
      </c>
      <c r="F59" s="68">
        <f t="shared" si="15"/>
        <v>21919.999999999996</v>
      </c>
      <c r="G59" s="28">
        <f t="shared" si="16"/>
        <v>1</v>
      </c>
      <c r="H59" s="84">
        <f t="shared" si="17"/>
        <v>14.613333333333332</v>
      </c>
      <c r="I59" s="32">
        <f t="shared" si="18"/>
        <v>14.613333333333332</v>
      </c>
    </row>
    <row r="60" spans="1:9" ht="24" customHeight="1" x14ac:dyDescent="0.35">
      <c r="B60" s="24" t="str">
        <f t="shared" si="13"/>
        <v>لون صفار زعفران بودر - Saffron yellow color powder</v>
      </c>
      <c r="C60" s="24" t="str">
        <f t="shared" si="13"/>
        <v>gm</v>
      </c>
      <c r="D60" s="24">
        <f t="shared" si="13"/>
        <v>20</v>
      </c>
      <c r="E60" s="27">
        <f t="shared" si="14"/>
        <v>0.73066666666666658</v>
      </c>
      <c r="F60" s="68">
        <f t="shared" si="15"/>
        <v>21919.999999999996</v>
      </c>
      <c r="G60" s="28">
        <f t="shared" si="16"/>
        <v>1</v>
      </c>
      <c r="H60" s="84">
        <f t="shared" si="17"/>
        <v>14.613333333333332</v>
      </c>
      <c r="I60" s="32">
        <f t="shared" si="18"/>
        <v>14.613333333333332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 (3)&amp;R&amp;B&amp;14Day 2</oddHeader>
    <oddFooter>&amp;C&amp;B&amp;10Page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2E75B6"/>
    <pageSetUpPr fitToPage="1"/>
  </sheetPr>
  <dimension ref="A1:AB60"/>
  <sheetViews>
    <sheetView topLeftCell="D1" zoomScale="70" zoomScaleNormal="70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29.3125" style="10" customWidth="1"/>
    <col min="3" max="3" width="24" style="10" customWidth="1"/>
    <col min="4" max="4" width="21.8125" style="10" customWidth="1"/>
    <col min="5" max="5" width="16.1875" style="10" customWidth="1"/>
    <col min="6" max="6" width="11.5" style="10" customWidth="1"/>
    <col min="7" max="7" width="25.1875" style="10" customWidth="1"/>
    <col min="8" max="8" width="15.75" style="10" customWidth="1"/>
    <col min="9" max="9" width="15.3125" style="10" customWidth="1"/>
    <col min="10" max="12" width="12.5" style="10"/>
    <col min="13" max="13" width="30.5" style="10" customWidth="1"/>
    <col min="14" max="14" width="12.5" style="10"/>
    <col min="15" max="23" width="6.1875" style="10" customWidth="1"/>
    <col min="24" max="24" width="7.9375" style="10" bestFit="1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29800</v>
      </c>
      <c r="F1" s="11" t="s">
        <v>55</v>
      </c>
      <c r="G1" s="15">
        <f>E1/C1</f>
        <v>0.99333333333333329</v>
      </c>
      <c r="H1" s="11" t="s">
        <v>56</v>
      </c>
      <c r="I1" s="16">
        <f>(G1/K1)</f>
        <v>0.99333333333333329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29300</v>
      </c>
      <c r="AA1" s="150" t="s">
        <v>207</v>
      </c>
      <c r="AB1" s="148">
        <v>500</v>
      </c>
    </row>
    <row r="2" spans="1:28" ht="12.75" customHeight="1" x14ac:dyDescent="0.35">
      <c r="A2" s="241"/>
      <c r="B2" s="244" t="s">
        <v>89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8.33</v>
      </c>
      <c r="E5" s="27">
        <f t="shared" ref="E5:E10" si="0">$G$1</f>
        <v>0.99333333333333329</v>
      </c>
      <c r="F5" s="28">
        <v>1</v>
      </c>
      <c r="G5" s="29">
        <f t="shared" ref="G5:G10" si="1">D5*E5</f>
        <v>8.2744666666666671</v>
      </c>
      <c r="H5" s="208">
        <f t="shared" ref="H5:H10" si="2">G5*F5</f>
        <v>8.2744666666666671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8.2744666666666671</v>
      </c>
      <c r="L5" s="31">
        <f>K5*J5</f>
        <v>47.578183333333335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 t="shared" si="0"/>
        <v>0.99333333333333329</v>
      </c>
      <c r="F6" s="28">
        <v>1</v>
      </c>
      <c r="G6" s="29">
        <f t="shared" si="1"/>
        <v>29800</v>
      </c>
      <c r="H6" s="209">
        <f t="shared" si="2"/>
        <v>29800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29.8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0.99333333333333329</v>
      </c>
      <c r="F7" s="28">
        <v>1</v>
      </c>
      <c r="G7" s="29">
        <f t="shared" si="1"/>
        <v>149</v>
      </c>
      <c r="H7" s="210">
        <f t="shared" si="2"/>
        <v>149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0.14899999999999999</v>
      </c>
      <c r="L7" s="31">
        <f t="shared" si="3"/>
        <v>4.47</v>
      </c>
      <c r="V7" s="251"/>
    </row>
    <row r="8" spans="1:28" ht="13.15" x14ac:dyDescent="0.4">
      <c r="B8" s="24" t="s">
        <v>22</v>
      </c>
      <c r="C8" s="25" t="s">
        <v>17</v>
      </c>
      <c r="D8" s="26">
        <v>400</v>
      </c>
      <c r="E8" s="27">
        <f t="shared" si="0"/>
        <v>0.99333333333333329</v>
      </c>
      <c r="F8" s="28">
        <v>1</v>
      </c>
      <c r="G8" s="29">
        <f t="shared" si="1"/>
        <v>397.33333333333331</v>
      </c>
      <c r="H8" s="210">
        <f t="shared" si="2"/>
        <v>397.33333333333331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4"/>
        <v>0.39733333333333332</v>
      </c>
      <c r="L8" s="31">
        <f t="shared" si="3"/>
        <v>0.29402666666666666</v>
      </c>
      <c r="V8" s="215" t="s">
        <v>17</v>
      </c>
      <c r="W8" s="216">
        <v>1</v>
      </c>
      <c r="X8" s="215" t="s">
        <v>250</v>
      </c>
      <c r="Y8" s="217">
        <f>(N16*W8)/N15</f>
        <v>1.7771166666666668E-3</v>
      </c>
    </row>
    <row r="9" spans="1:28" x14ac:dyDescent="0.35">
      <c r="B9" s="24" t="s">
        <v>27</v>
      </c>
      <c r="C9" s="25" t="s">
        <v>17</v>
      </c>
      <c r="D9" s="26">
        <v>20</v>
      </c>
      <c r="E9" s="35">
        <f t="shared" si="0"/>
        <v>0.99333333333333329</v>
      </c>
      <c r="F9" s="36">
        <v>1</v>
      </c>
      <c r="G9" s="37">
        <f t="shared" si="1"/>
        <v>19.866666666666667</v>
      </c>
      <c r="H9" s="211">
        <f t="shared" si="2"/>
        <v>19.866666666666667</v>
      </c>
      <c r="I9" s="12">
        <f>VLOOKUP(B9,Ordering!$A$1:$J$45,6,FALSE)</f>
        <v>1</v>
      </c>
      <c r="J9" s="59">
        <f>VLOOKUP(B9,Ordering!$A$1:$J$45,10,FALSE)</f>
        <v>31</v>
      </c>
      <c r="K9" s="59">
        <f t="shared" si="4"/>
        <v>1.9866666666666668E-2</v>
      </c>
      <c r="L9" s="31">
        <f t="shared" si="3"/>
        <v>0.61586666666666667</v>
      </c>
    </row>
    <row r="10" spans="1:28" ht="25.5" x14ac:dyDescent="0.35">
      <c r="B10" s="24" t="s">
        <v>52</v>
      </c>
      <c r="C10" s="25" t="s">
        <v>6</v>
      </c>
      <c r="D10" s="26">
        <v>5</v>
      </c>
      <c r="E10" s="35">
        <f t="shared" si="0"/>
        <v>0.99333333333333329</v>
      </c>
      <c r="F10" s="36">
        <v>1</v>
      </c>
      <c r="G10" s="37">
        <f t="shared" si="1"/>
        <v>4.9666666666666668</v>
      </c>
      <c r="H10" s="211">
        <f t="shared" si="2"/>
        <v>4.9666666666666668</v>
      </c>
      <c r="I10" s="12"/>
      <c r="J10" s="12"/>
      <c r="K10" s="12"/>
      <c r="L10" s="25"/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89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71</v>
      </c>
      <c r="C13" s="49">
        <f>I1</f>
        <v>0.99333333333333329</v>
      </c>
      <c r="D13" s="50">
        <f>E1</f>
        <v>29800</v>
      </c>
      <c r="F13" s="18"/>
      <c r="I13" s="18"/>
      <c r="J13" s="18"/>
      <c r="K13" s="18"/>
      <c r="M13" s="48" t="s">
        <v>72</v>
      </c>
      <c r="N13" s="130">
        <f>$Z$1</f>
        <v>29300</v>
      </c>
    </row>
    <row r="14" spans="1:28" ht="13.5" customHeight="1" x14ac:dyDescent="0.35">
      <c r="B14" s="48" t="s">
        <v>73</v>
      </c>
      <c r="C14" s="51">
        <f>MIN($C$13,1)</f>
        <v>0.99333333333333329</v>
      </c>
      <c r="D14" s="50">
        <f>C14*$C$1</f>
        <v>29800</v>
      </c>
      <c r="E14" s="18"/>
      <c r="F14" s="18"/>
      <c r="I14" s="18"/>
      <c r="J14" s="18"/>
      <c r="K14" s="18"/>
      <c r="M14" s="48" t="s">
        <v>74</v>
      </c>
      <c r="N14" s="129">
        <f>$AB$1</f>
        <v>500</v>
      </c>
    </row>
    <row r="15" spans="1:28" ht="14.25" customHeight="1" thickBot="1" x14ac:dyDescent="0.4">
      <c r="B15" s="48" t="s">
        <v>75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71</v>
      </c>
      <c r="N15" s="54">
        <f>N13+N14</f>
        <v>29800</v>
      </c>
    </row>
    <row r="16" spans="1:28" ht="14.25" customHeight="1" thickBot="1" x14ac:dyDescent="0.4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250</v>
      </c>
      <c r="N16" s="214">
        <f>SUM(L5:L10)</f>
        <v>52.95807666666667</v>
      </c>
    </row>
    <row r="21" spans="14:15" ht="13.5" customHeight="1" x14ac:dyDescent="0.35">
      <c r="N21" s="245"/>
      <c r="O21" s="245"/>
    </row>
    <row r="40" spans="1:9" ht="13.5" customHeight="1" x14ac:dyDescent="0.35">
      <c r="A40" s="134"/>
      <c r="B40" s="240" t="str">
        <f>"  رز جولوف 1 / " &amp; COUNTIF($C$14:$C$16, "&gt;0")</f>
        <v xml:space="preserve">  رز جولوف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Jollof Rice 1 / " &amp; COUNTIF($C$14:$C$16, "&gt;0")</f>
        <v xml:space="preserve"> Jollof Rice 1 / 1</v>
      </c>
      <c r="C41" s="240"/>
      <c r="D41" s="240"/>
      <c r="E41" s="240"/>
      <c r="F41" s="240"/>
      <c r="G41" s="240"/>
      <c r="H41" s="240"/>
      <c r="I41" s="240"/>
    </row>
    <row r="42" spans="1:9" ht="65.650000000000006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8" si="5">B5</f>
        <v>Rice - رز</v>
      </c>
      <c r="C43" s="24" t="str">
        <f t="shared" si="5"/>
        <v>KG</v>
      </c>
      <c r="D43" s="24">
        <f t="shared" si="5"/>
        <v>8.33</v>
      </c>
      <c r="E43" s="57">
        <f t="shared" ref="E43:E48" si="6">$C$14</f>
        <v>0.99333333333333329</v>
      </c>
      <c r="F43" s="58">
        <f t="shared" ref="F43:F48" si="7">$D$14</f>
        <v>29800</v>
      </c>
      <c r="G43" s="28">
        <f t="shared" ref="G43:G48" si="8">F5</f>
        <v>1</v>
      </c>
      <c r="H43" s="122">
        <f t="shared" ref="H43:H48" si="9">D43*E43</f>
        <v>8.2744666666666671</v>
      </c>
      <c r="I43" s="32">
        <f t="shared" ref="I43:I48" si="10">H43*G43</f>
        <v>8.2744666666666671</v>
      </c>
    </row>
    <row r="44" spans="1:9" x14ac:dyDescent="0.35">
      <c r="B44" s="24" t="str">
        <f t="shared" si="5"/>
        <v>Water - ماء</v>
      </c>
      <c r="C44" s="24" t="str">
        <f t="shared" si="5"/>
        <v>ml</v>
      </c>
      <c r="D44" s="24">
        <f t="shared" si="5"/>
        <v>30000</v>
      </c>
      <c r="E44" s="57">
        <f t="shared" si="6"/>
        <v>0.99333333333333329</v>
      </c>
      <c r="F44" s="58">
        <f t="shared" si="7"/>
        <v>29800</v>
      </c>
      <c r="G44" s="28">
        <f t="shared" si="8"/>
        <v>1</v>
      </c>
      <c r="H44" s="122">
        <f t="shared" si="9"/>
        <v>29800</v>
      </c>
      <c r="I44" s="32">
        <f t="shared" si="10"/>
        <v>29800</v>
      </c>
    </row>
    <row r="45" spans="1:9" x14ac:dyDescent="0.35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57">
        <f t="shared" si="6"/>
        <v>0.99333333333333329</v>
      </c>
      <c r="F45" s="58">
        <f t="shared" si="7"/>
        <v>29800</v>
      </c>
      <c r="G45" s="28">
        <f t="shared" si="8"/>
        <v>1</v>
      </c>
      <c r="H45" s="122">
        <f t="shared" si="9"/>
        <v>149</v>
      </c>
      <c r="I45" s="32">
        <f t="shared" si="10"/>
        <v>149</v>
      </c>
    </row>
    <row r="46" spans="1:9" x14ac:dyDescent="0.35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7">
        <f t="shared" si="6"/>
        <v>0.99333333333333329</v>
      </c>
      <c r="F46" s="58">
        <f t="shared" si="7"/>
        <v>29800</v>
      </c>
      <c r="G46" s="28">
        <f t="shared" si="8"/>
        <v>1</v>
      </c>
      <c r="H46" s="122">
        <f t="shared" si="9"/>
        <v>397.33333333333331</v>
      </c>
      <c r="I46" s="32">
        <f t="shared" si="10"/>
        <v>397.33333333333331</v>
      </c>
    </row>
    <row r="47" spans="1:9" x14ac:dyDescent="0.35">
      <c r="B47" s="24" t="str">
        <f t="shared" si="5"/>
        <v>Cardamom Whole - هيل حب</v>
      </c>
      <c r="C47" s="24" t="str">
        <f t="shared" si="5"/>
        <v>gm</v>
      </c>
      <c r="D47" s="24">
        <f t="shared" si="5"/>
        <v>20</v>
      </c>
      <c r="E47" s="57">
        <f t="shared" si="6"/>
        <v>0.99333333333333329</v>
      </c>
      <c r="F47" s="58">
        <f t="shared" si="7"/>
        <v>29800</v>
      </c>
      <c r="G47" s="28">
        <f t="shared" si="8"/>
        <v>1</v>
      </c>
      <c r="H47" s="122">
        <f t="shared" si="9"/>
        <v>19.866666666666667</v>
      </c>
      <c r="I47" s="32">
        <f t="shared" si="10"/>
        <v>19.866666666666667</v>
      </c>
    </row>
    <row r="48" spans="1:9" ht="25.5" x14ac:dyDescent="0.35">
      <c r="B48" s="24" t="str">
        <f t="shared" si="5"/>
        <v>Veg. with Sauce - خضار مشكل مع الصوص</v>
      </c>
      <c r="C48" s="24" t="str">
        <f t="shared" si="5"/>
        <v>KG</v>
      </c>
      <c r="D48" s="24">
        <f t="shared" si="5"/>
        <v>5</v>
      </c>
      <c r="E48" s="57">
        <f t="shared" si="6"/>
        <v>0.99333333333333329</v>
      </c>
      <c r="F48" s="58">
        <f t="shared" si="7"/>
        <v>29800</v>
      </c>
      <c r="G48" s="28">
        <f t="shared" si="8"/>
        <v>1</v>
      </c>
      <c r="H48" s="122">
        <f t="shared" si="9"/>
        <v>4.9666666666666668</v>
      </c>
      <c r="I48" s="32">
        <f t="shared" si="10"/>
        <v>4.9666666666666668</v>
      </c>
    </row>
    <row r="52" spans="2:9" ht="17.649999999999999" x14ac:dyDescent="0.35">
      <c r="B52" s="240" t="str">
        <f>"  رز جولوف 2 / " &amp; COUNTIF($C$14:$C$16, "&gt;0")</f>
        <v xml:space="preserve">  رز جولوف 2 / 1</v>
      </c>
      <c r="C52" s="240"/>
      <c r="D52" s="240"/>
      <c r="E52" s="240"/>
      <c r="F52" s="240"/>
      <c r="G52" s="240"/>
      <c r="H52" s="240"/>
      <c r="I52" s="240"/>
    </row>
    <row r="53" spans="2:9" ht="17.649999999999999" x14ac:dyDescent="0.35">
      <c r="B53" s="240" t="str">
        <f>" Jollof Rice 2 / " &amp; COUNTIF($C$14:$C$16, "&gt;0")</f>
        <v xml:space="preserve"> Jollof Rice 2 / 1</v>
      </c>
      <c r="C53" s="240"/>
      <c r="D53" s="240"/>
      <c r="E53" s="240"/>
      <c r="F53" s="240"/>
      <c r="G53" s="240"/>
      <c r="H53" s="240"/>
      <c r="I53" s="240"/>
    </row>
    <row r="54" spans="2:9" ht="65.650000000000006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55" t="s">
        <v>78</v>
      </c>
    </row>
    <row r="55" spans="2:9" x14ac:dyDescent="0.35">
      <c r="B55" s="24" t="str">
        <f t="shared" ref="B55:D60" si="11">B5</f>
        <v>Rice - رز</v>
      </c>
      <c r="C55" s="24" t="str">
        <f t="shared" si="11"/>
        <v>KG</v>
      </c>
      <c r="D55" s="24">
        <f t="shared" si="11"/>
        <v>8.33</v>
      </c>
      <c r="E55" s="27">
        <f t="shared" ref="E55:E60" si="12">$C$15</f>
        <v>0</v>
      </c>
      <c r="F55" s="68">
        <f t="shared" ref="F55:F60" si="13">$D$15</f>
        <v>0</v>
      </c>
      <c r="G55" s="28">
        <f t="shared" ref="G55:G60" si="14">F5</f>
        <v>1</v>
      </c>
      <c r="H55" s="84">
        <f t="shared" ref="H55:H60" si="15">D55*E55</f>
        <v>0</v>
      </c>
      <c r="I55" s="32">
        <f t="shared" ref="I55:I60" si="16">H55*G55</f>
        <v>0</v>
      </c>
    </row>
    <row r="56" spans="2:9" x14ac:dyDescent="0.35">
      <c r="B56" s="24" t="str">
        <f t="shared" si="11"/>
        <v>Water - ماء</v>
      </c>
      <c r="C56" s="24" t="str">
        <f t="shared" si="11"/>
        <v>ml</v>
      </c>
      <c r="D56" s="24">
        <f t="shared" si="11"/>
        <v>30000</v>
      </c>
      <c r="E56" s="27">
        <f t="shared" si="12"/>
        <v>0</v>
      </c>
      <c r="F56" s="68">
        <f t="shared" si="13"/>
        <v>0</v>
      </c>
      <c r="G56" s="28">
        <f t="shared" si="14"/>
        <v>1</v>
      </c>
      <c r="H56" s="84">
        <f t="shared" si="15"/>
        <v>0</v>
      </c>
      <c r="I56" s="32">
        <f t="shared" si="16"/>
        <v>0</v>
      </c>
    </row>
    <row r="57" spans="2:9" x14ac:dyDescent="0.35">
      <c r="B57" s="24" t="str">
        <f t="shared" si="11"/>
        <v>Butter - زبدة</v>
      </c>
      <c r="C57" s="24" t="str">
        <f t="shared" si="11"/>
        <v>gm</v>
      </c>
      <c r="D57" s="24">
        <f t="shared" si="11"/>
        <v>150</v>
      </c>
      <c r="E57" s="27">
        <f t="shared" si="12"/>
        <v>0</v>
      </c>
      <c r="F57" s="68">
        <f t="shared" si="13"/>
        <v>0</v>
      </c>
      <c r="G57" s="28">
        <f t="shared" si="14"/>
        <v>1</v>
      </c>
      <c r="H57" s="84">
        <f t="shared" si="15"/>
        <v>0</v>
      </c>
      <c r="I57" s="32">
        <f t="shared" si="16"/>
        <v>0</v>
      </c>
    </row>
    <row r="58" spans="2:9" x14ac:dyDescent="0.35">
      <c r="B58" s="24" t="str">
        <f t="shared" si="11"/>
        <v>Salt - ملح</v>
      </c>
      <c r="C58" s="24" t="str">
        <f t="shared" si="11"/>
        <v>gm</v>
      </c>
      <c r="D58" s="24">
        <f t="shared" si="11"/>
        <v>400</v>
      </c>
      <c r="E58" s="27">
        <f t="shared" si="12"/>
        <v>0</v>
      </c>
      <c r="F58" s="68">
        <f t="shared" si="13"/>
        <v>0</v>
      </c>
      <c r="G58" s="28">
        <f t="shared" si="14"/>
        <v>1</v>
      </c>
      <c r="H58" s="84">
        <f t="shared" si="15"/>
        <v>0</v>
      </c>
      <c r="I58" s="32">
        <f t="shared" si="16"/>
        <v>0</v>
      </c>
    </row>
    <row r="59" spans="2:9" x14ac:dyDescent="0.35">
      <c r="B59" s="24" t="str">
        <f t="shared" si="11"/>
        <v>Cardamom Whole - هيل حب</v>
      </c>
      <c r="C59" s="24" t="str">
        <f t="shared" si="11"/>
        <v>gm</v>
      </c>
      <c r="D59" s="24">
        <f t="shared" si="11"/>
        <v>20</v>
      </c>
      <c r="E59" s="27">
        <f t="shared" si="12"/>
        <v>0</v>
      </c>
      <c r="F59" s="68">
        <f t="shared" si="13"/>
        <v>0</v>
      </c>
      <c r="G59" s="28">
        <f t="shared" si="14"/>
        <v>1</v>
      </c>
      <c r="H59" s="84">
        <f t="shared" si="15"/>
        <v>0</v>
      </c>
      <c r="I59" s="32">
        <f t="shared" si="16"/>
        <v>0</v>
      </c>
    </row>
    <row r="60" spans="2:9" ht="24" customHeight="1" x14ac:dyDescent="0.35">
      <c r="B60" s="24" t="str">
        <f t="shared" si="11"/>
        <v>Veg. with Sauce - خضار مشكل مع الصوص</v>
      </c>
      <c r="C60" s="24" t="str">
        <f t="shared" si="11"/>
        <v>KG</v>
      </c>
      <c r="D60" s="24">
        <f t="shared" si="11"/>
        <v>5</v>
      </c>
      <c r="E60" s="27">
        <f t="shared" si="12"/>
        <v>0</v>
      </c>
      <c r="F60" s="68">
        <f t="shared" si="13"/>
        <v>0</v>
      </c>
      <c r="G60" s="28">
        <f t="shared" si="14"/>
        <v>1</v>
      </c>
      <c r="H60" s="84">
        <f t="shared" si="15"/>
        <v>0</v>
      </c>
      <c r="I60" s="32">
        <f t="shared" si="16"/>
        <v>0</v>
      </c>
    </row>
  </sheetData>
  <mergeCells count="8">
    <mergeCell ref="B52:I52"/>
    <mergeCell ref="B53:I53"/>
    <mergeCell ref="B2:H3"/>
    <mergeCell ref="N21:O21"/>
    <mergeCell ref="A2:A3"/>
    <mergeCell ref="M11:N11"/>
    <mergeCell ref="B40:I40"/>
    <mergeCell ref="B41:I41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2E75B6"/>
    <pageSetUpPr fitToPage="1"/>
  </sheetPr>
  <dimension ref="A1:AB71"/>
  <sheetViews>
    <sheetView topLeftCell="H5" zoomScale="85" zoomScaleNormal="85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20.4375" style="10" customWidth="1"/>
    <col min="3" max="3" width="23.9375" style="10" customWidth="1"/>
    <col min="4" max="4" width="21.75" style="10" customWidth="1"/>
    <col min="5" max="5" width="16.1875" style="10" customWidth="1"/>
    <col min="6" max="6" width="19.0625" style="10" customWidth="1"/>
    <col min="7" max="7" width="16.812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47270</v>
      </c>
      <c r="F1" s="11" t="s">
        <v>55</v>
      </c>
      <c r="G1" s="15">
        <f>E1/C1</f>
        <v>1.5756666666666668</v>
      </c>
      <c r="H1" s="11" t="s">
        <v>56</v>
      </c>
      <c r="I1" s="16">
        <f>(G1/K1)</f>
        <v>1.5756666666666668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46770</v>
      </c>
      <c r="AA1" s="150" t="s">
        <v>207</v>
      </c>
      <c r="AB1" s="148">
        <v>500</v>
      </c>
    </row>
    <row r="2" spans="1:28" ht="12.75" customHeight="1" x14ac:dyDescent="0.35">
      <c r="A2" s="241"/>
      <c r="B2" s="244" t="s">
        <v>90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13</v>
      </c>
      <c r="E5" s="27">
        <f>$G$1</f>
        <v>1.5756666666666668</v>
      </c>
      <c r="F5" s="28">
        <v>1</v>
      </c>
      <c r="G5" s="29">
        <f>D5*E5</f>
        <v>20.483666666666668</v>
      </c>
      <c r="H5" s="208">
        <f>G5*F5</f>
        <v>20.483666666666668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20.483666666666668</v>
      </c>
      <c r="L5" s="31">
        <f>K5*J5</f>
        <v>117.78108333333334</v>
      </c>
    </row>
    <row r="6" spans="1:28" x14ac:dyDescent="0.35">
      <c r="B6" s="24" t="s">
        <v>11</v>
      </c>
      <c r="C6" s="25" t="s">
        <v>213</v>
      </c>
      <c r="D6" s="26">
        <v>25000</v>
      </c>
      <c r="E6" s="27">
        <f>$G$1</f>
        <v>1.5756666666666668</v>
      </c>
      <c r="F6" s="28">
        <v>1</v>
      </c>
      <c r="G6" s="29">
        <f>D6*E6</f>
        <v>39391.666666666672</v>
      </c>
      <c r="H6" s="209">
        <f>G6*F6</f>
        <v>39391.666666666672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39.391666666666673</v>
      </c>
      <c r="L6" s="31">
        <f t="shared" ref="L6:L9" si="0">K6*J6</f>
        <v>0</v>
      </c>
    </row>
    <row r="7" spans="1:28" ht="25.5" x14ac:dyDescent="0.35">
      <c r="B7" s="24" t="s">
        <v>27</v>
      </c>
      <c r="C7" s="25" t="s">
        <v>17</v>
      </c>
      <c r="D7" s="26">
        <v>100</v>
      </c>
      <c r="E7" s="27">
        <f>$G$1</f>
        <v>1.5756666666666668</v>
      </c>
      <c r="F7" s="28">
        <v>1</v>
      </c>
      <c r="G7" s="29">
        <f>D7*E7</f>
        <v>157.56666666666666</v>
      </c>
      <c r="H7" s="210">
        <f>G7*F7</f>
        <v>157.56666666666666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1">(H7/I7)/1000</f>
        <v>0.15756666666666666</v>
      </c>
      <c r="L7" s="31">
        <f t="shared" si="0"/>
        <v>4.8845666666666663</v>
      </c>
      <c r="V7" s="251"/>
    </row>
    <row r="8" spans="1:28" ht="13.15" x14ac:dyDescent="0.4">
      <c r="B8" s="24" t="s">
        <v>22</v>
      </c>
      <c r="C8" s="25" t="s">
        <v>17</v>
      </c>
      <c r="D8" s="26">
        <v>450</v>
      </c>
      <c r="E8" s="27">
        <f>$G$1</f>
        <v>1.5756666666666668</v>
      </c>
      <c r="F8" s="28">
        <v>1</v>
      </c>
      <c r="G8" s="29">
        <f>D8*E8</f>
        <v>709.05000000000007</v>
      </c>
      <c r="H8" s="210">
        <f>G8*F8</f>
        <v>709.05000000000007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0.70905000000000007</v>
      </c>
      <c r="L8" s="31">
        <f t="shared" si="0"/>
        <v>0.52469700000000008</v>
      </c>
      <c r="V8" s="215" t="s">
        <v>17</v>
      </c>
      <c r="W8" s="216">
        <v>1</v>
      </c>
      <c r="X8" s="215" t="s">
        <v>250</v>
      </c>
      <c r="Y8" s="217">
        <f>(N16*W8)/N15</f>
        <v>2.7561000000000005E-3</v>
      </c>
    </row>
    <row r="9" spans="1:28" x14ac:dyDescent="0.35">
      <c r="B9" s="24" t="s">
        <v>16</v>
      </c>
      <c r="C9" s="33" t="s">
        <v>17</v>
      </c>
      <c r="D9" s="34">
        <v>150</v>
      </c>
      <c r="E9" s="35">
        <f>$G$1</f>
        <v>1.5756666666666668</v>
      </c>
      <c r="F9" s="36">
        <v>1</v>
      </c>
      <c r="G9" s="37">
        <f>D9*E9</f>
        <v>236.35000000000002</v>
      </c>
      <c r="H9" s="211">
        <f>G9*F9</f>
        <v>236.35000000000002</v>
      </c>
      <c r="I9" s="59">
        <f>VLOOKUP(B9,Ordering!$A$1:$J$45,6,FALSE)</f>
        <v>1</v>
      </c>
      <c r="J9" s="59">
        <f>VLOOKUP(B9,Ordering!$A$1:$J$45,10,FALSE)</f>
        <v>30</v>
      </c>
      <c r="K9" s="59">
        <f t="shared" si="1"/>
        <v>0.23635000000000003</v>
      </c>
      <c r="L9" s="31">
        <f t="shared" si="0"/>
        <v>7.0905000000000014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90</v>
      </c>
      <c r="N11" s="243"/>
    </row>
    <row r="12" spans="1:28" ht="13.5" customHeight="1" x14ac:dyDescent="0.35">
      <c r="B12" s="48" t="s">
        <v>71</v>
      </c>
      <c r="C12" s="49">
        <f>I1</f>
        <v>1.5756666666666668</v>
      </c>
      <c r="D12" s="50">
        <f>E1</f>
        <v>47270</v>
      </c>
      <c r="F12" s="18"/>
      <c r="I12" s="18"/>
      <c r="J12" s="18"/>
      <c r="K12" s="18"/>
      <c r="M12" s="48"/>
      <c r="N12" s="48" t="s">
        <v>70</v>
      </c>
    </row>
    <row r="13" spans="1:28" ht="13.5" customHeight="1" x14ac:dyDescent="0.35">
      <c r="B13" s="48" t="s">
        <v>73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86</v>
      </c>
      <c r="N13" s="130">
        <f>$Z$1</f>
        <v>46770</v>
      </c>
    </row>
    <row r="14" spans="1:28" ht="14.25" customHeight="1" x14ac:dyDescent="0.35">
      <c r="B14" s="48" t="s">
        <v>75</v>
      </c>
      <c r="C14" s="51">
        <f>MIN(MAX($C$12-C13,0),1)</f>
        <v>0.57566666666666677</v>
      </c>
      <c r="D14" s="50">
        <f>C14*$C$1</f>
        <v>17270.000000000004</v>
      </c>
      <c r="E14" s="18"/>
      <c r="F14" s="18"/>
      <c r="I14" s="18"/>
      <c r="J14" s="18"/>
      <c r="K14" s="18"/>
      <c r="M14" s="48" t="s">
        <v>87</v>
      </c>
      <c r="N14" s="129">
        <f>$AB$1</f>
        <v>500</v>
      </c>
    </row>
    <row r="15" spans="1:28" ht="14.25" customHeight="1" thickBot="1" x14ac:dyDescent="0.4">
      <c r="B15" s="48" t="s">
        <v>76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88</v>
      </c>
      <c r="N15" s="54">
        <f>N13+N14</f>
        <v>47270</v>
      </c>
    </row>
    <row r="16" spans="1:28" ht="13.5" thickBot="1" x14ac:dyDescent="0.45">
      <c r="M16" s="213" t="s">
        <v>250</v>
      </c>
      <c r="N16" s="214">
        <f>SUM(L5:L9)</f>
        <v>130.28084700000002</v>
      </c>
    </row>
    <row r="20" spans="14:15" ht="13.5" customHeight="1" x14ac:dyDescent="0.35">
      <c r="N20" s="245"/>
      <c r="O20" s="245"/>
    </row>
    <row r="40" spans="1:9" ht="17.649999999999999" x14ac:dyDescent="0.35">
      <c r="A40" s="134"/>
      <c r="B40" s="240" t="str">
        <f>"  رز الزربيان 1 / " &amp; COUNTIF($C$13:$C$15, "&gt;0")</f>
        <v xml:space="preserve">  رز الزربيان 1 / 2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Zourbian Rice 1 / " &amp; COUNTIF($C$13:$C$15, "&gt;0")</f>
        <v xml:space="preserve"> Zourbian Rice 1 / 2</v>
      </c>
      <c r="C41" s="240"/>
      <c r="D41" s="240"/>
      <c r="E41" s="240"/>
      <c r="F41" s="240"/>
      <c r="G41" s="240"/>
      <c r="H41" s="240"/>
      <c r="I41" s="240"/>
    </row>
    <row r="42" spans="1:9" ht="59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13</v>
      </c>
      <c r="E43" s="57">
        <f>$C$13</f>
        <v>1</v>
      </c>
      <c r="F43" s="58">
        <f>$D$13</f>
        <v>30000</v>
      </c>
      <c r="G43" s="28">
        <f>F5</f>
        <v>1</v>
      </c>
      <c r="H43" s="59">
        <f>D43*E43</f>
        <v>13</v>
      </c>
      <c r="I43" s="32">
        <f>H43*G43</f>
        <v>13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25000</v>
      </c>
      <c r="E44" s="57">
        <f>$C$13</f>
        <v>1</v>
      </c>
      <c r="F44" s="58">
        <f>$D$13</f>
        <v>30000</v>
      </c>
      <c r="G44" s="28">
        <f>F6</f>
        <v>1</v>
      </c>
      <c r="H44" s="59">
        <f>D44*E44</f>
        <v>25000</v>
      </c>
      <c r="I44" s="32">
        <f>H44*G44</f>
        <v>25000</v>
      </c>
    </row>
    <row r="45" spans="1:9" ht="25.5" x14ac:dyDescent="0.35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100</v>
      </c>
      <c r="E45" s="57">
        <f>$C$13</f>
        <v>1</v>
      </c>
      <c r="F45" s="58">
        <f>$D$13</f>
        <v>30000</v>
      </c>
      <c r="G45" s="28">
        <f>F7</f>
        <v>1</v>
      </c>
      <c r="H45" s="59">
        <f>D45*E45</f>
        <v>100</v>
      </c>
      <c r="I45" s="32">
        <f>H45*G45</f>
        <v>100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450</v>
      </c>
      <c r="E46" s="57">
        <f>$C$13</f>
        <v>1</v>
      </c>
      <c r="F46" s="58">
        <f>$D$13</f>
        <v>30000</v>
      </c>
      <c r="G46" s="28">
        <f>F8</f>
        <v>1</v>
      </c>
      <c r="H46" s="59">
        <f>D46*E46</f>
        <v>450</v>
      </c>
      <c r="I46" s="32">
        <f>H46*G46</f>
        <v>450</v>
      </c>
    </row>
    <row r="47" spans="1:9" x14ac:dyDescent="0.35">
      <c r="B47" s="24" t="str">
        <f t="shared" si="2"/>
        <v>Butter - زبدة</v>
      </c>
      <c r="C47" s="24" t="str">
        <f t="shared" si="2"/>
        <v>gm</v>
      </c>
      <c r="D47" s="24">
        <f t="shared" si="2"/>
        <v>150</v>
      </c>
      <c r="E47" s="57">
        <f>$C$13</f>
        <v>1</v>
      </c>
      <c r="F47" s="58">
        <f>$D$13</f>
        <v>30000</v>
      </c>
      <c r="G47" s="28">
        <f>F9</f>
        <v>1</v>
      </c>
      <c r="H47" s="59">
        <f>D47*E47</f>
        <v>150</v>
      </c>
      <c r="I47" s="32">
        <f>H47*G47</f>
        <v>150</v>
      </c>
    </row>
    <row r="52" spans="1:9" ht="17.649999999999999" x14ac:dyDescent="0.35">
      <c r="A52" s="134"/>
      <c r="B52" s="240" t="str">
        <f>"  رز الزربيان 2 / " &amp; COUNTIF($C$13:$C$15, "&gt;0")</f>
        <v xml:space="preserve">  رز الزربيان 2 / 2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Zourbian Rice 2 / " &amp; COUNTIF($C$13:$C$15, "&gt;0")</f>
        <v xml:space="preserve"> Zourbian Rice 2 / 2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23" t="s">
        <v>79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13</v>
      </c>
      <c r="E55" s="27">
        <f>$C$14</f>
        <v>0.57566666666666677</v>
      </c>
      <c r="F55" s="58">
        <f>$D$14</f>
        <v>17270.000000000004</v>
      </c>
      <c r="G55" s="28">
        <f>F5</f>
        <v>1</v>
      </c>
      <c r="H55" s="64">
        <f>D55*E55</f>
        <v>7.483666666666668</v>
      </c>
      <c r="I55" s="65">
        <f>H55*G55</f>
        <v>7.483666666666668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25000</v>
      </c>
      <c r="E56" s="27">
        <f>$C$14</f>
        <v>0.57566666666666677</v>
      </c>
      <c r="F56" s="58">
        <f>$D$14</f>
        <v>17270.000000000004</v>
      </c>
      <c r="G56" s="28">
        <f>F6</f>
        <v>1</v>
      </c>
      <c r="H56" s="64">
        <f>D56*E56</f>
        <v>14391.66666666667</v>
      </c>
      <c r="I56" s="32">
        <f>H56*G56</f>
        <v>14391.66666666667</v>
      </c>
    </row>
    <row r="57" spans="1:9" ht="24" customHeight="1" x14ac:dyDescent="0.35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100</v>
      </c>
      <c r="E57" s="27">
        <f>$C$14</f>
        <v>0.57566666666666677</v>
      </c>
      <c r="F57" s="58">
        <f>$D$14</f>
        <v>17270.000000000004</v>
      </c>
      <c r="G57" s="28">
        <f>F7</f>
        <v>1</v>
      </c>
      <c r="H57" s="64">
        <f>D57*E57</f>
        <v>57.566666666666677</v>
      </c>
      <c r="I57" s="32">
        <f>H57*G57</f>
        <v>57.566666666666677</v>
      </c>
    </row>
    <row r="58" spans="1:9" ht="17.75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450</v>
      </c>
      <c r="E58" s="27">
        <f>$C$14</f>
        <v>0.57566666666666677</v>
      </c>
      <c r="F58" s="58">
        <f>$D$14</f>
        <v>17270.000000000004</v>
      </c>
      <c r="G58" s="28">
        <f>F8</f>
        <v>1</v>
      </c>
      <c r="H58" s="64">
        <f>D58*E58</f>
        <v>259.05000000000007</v>
      </c>
      <c r="I58" s="32">
        <f>H58*G58</f>
        <v>259.05000000000007</v>
      </c>
    </row>
    <row r="59" spans="1:9" x14ac:dyDescent="0.35">
      <c r="B59" s="24" t="str">
        <f t="shared" si="3"/>
        <v>Butter - زبدة</v>
      </c>
      <c r="C59" s="24" t="str">
        <f t="shared" si="3"/>
        <v>gm</v>
      </c>
      <c r="D59" s="24">
        <f t="shared" si="3"/>
        <v>150</v>
      </c>
      <c r="E59" s="27">
        <f>$C$14</f>
        <v>0.57566666666666677</v>
      </c>
      <c r="F59" s="58">
        <f>$D$14</f>
        <v>17270.000000000004</v>
      </c>
      <c r="G59" s="28">
        <f>F9</f>
        <v>1</v>
      </c>
      <c r="H59" s="64">
        <f>D59*E59</f>
        <v>86.350000000000023</v>
      </c>
      <c r="I59" s="32">
        <f>H59*G59</f>
        <v>86.350000000000023</v>
      </c>
    </row>
    <row r="60" spans="1:9" x14ac:dyDescent="0.35">
      <c r="B60" s="18"/>
      <c r="E60" s="18"/>
      <c r="F60" s="18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</row>
    <row r="63" spans="1:9" x14ac:dyDescent="0.35">
      <c r="B63" s="18"/>
      <c r="E63" s="18"/>
      <c r="F63" s="18"/>
    </row>
    <row r="64" spans="1:9" ht="17.649999999999999" x14ac:dyDescent="0.35">
      <c r="B64" s="240" t="str">
        <f>"  رز الزربيان 3 / " &amp; COUNTIF($C$13:$C$15, "&gt;0")</f>
        <v xml:space="preserve">  رز الزربيان 3 / 2</v>
      </c>
      <c r="C64" s="240"/>
      <c r="D64" s="240"/>
      <c r="E64" s="240"/>
      <c r="F64" s="240"/>
      <c r="G64" s="240"/>
      <c r="H64" s="240"/>
      <c r="I64" s="240"/>
    </row>
    <row r="65" spans="2:9" ht="17.649999999999999" x14ac:dyDescent="0.35">
      <c r="B65" s="240" t="str">
        <f>" Zourbian Rice 3 / " &amp; COUNTIF($C$13:$C$15, "&gt;0")</f>
        <v xml:space="preserve"> Zourbian Rice 3 / 2</v>
      </c>
      <c r="C65" s="240"/>
      <c r="D65" s="240"/>
      <c r="E65" s="240"/>
      <c r="F65" s="240"/>
      <c r="G65" s="240"/>
      <c r="H65" s="240"/>
      <c r="I65" s="240"/>
    </row>
    <row r="66" spans="2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22" t="s">
        <v>65</v>
      </c>
      <c r="I66" s="23" t="s">
        <v>66</v>
      </c>
    </row>
    <row r="67" spans="2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13</v>
      </c>
      <c r="E67" s="27">
        <f>$C$15</f>
        <v>0</v>
      </c>
      <c r="F67" s="58">
        <f>$D$15</f>
        <v>0</v>
      </c>
      <c r="G67" s="28">
        <f>F5</f>
        <v>1</v>
      </c>
      <c r="H67" s="64">
        <f>D67*E67</f>
        <v>0</v>
      </c>
      <c r="I67" s="32">
        <f>H67*G67</f>
        <v>0</v>
      </c>
    </row>
    <row r="68" spans="2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25000</v>
      </c>
      <c r="E68" s="27">
        <f>$C$15</f>
        <v>0</v>
      </c>
      <c r="F68" s="58">
        <f>$D$15</f>
        <v>0</v>
      </c>
      <c r="G68" s="28">
        <f>F6</f>
        <v>1</v>
      </c>
      <c r="H68" s="64">
        <f>D68*E68</f>
        <v>0</v>
      </c>
      <c r="I68" s="32">
        <f>H68*G68</f>
        <v>0</v>
      </c>
    </row>
    <row r="69" spans="2:9" ht="25.5" x14ac:dyDescent="0.35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100</v>
      </c>
      <c r="E69" s="27">
        <f>$C$15</f>
        <v>0</v>
      </c>
      <c r="F69" s="58">
        <f>$D$15</f>
        <v>0</v>
      </c>
      <c r="G69" s="28">
        <f>F7</f>
        <v>1</v>
      </c>
      <c r="H69" s="6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450</v>
      </c>
      <c r="E70" s="27">
        <f>$C$15</f>
        <v>0</v>
      </c>
      <c r="F70" s="58">
        <f>$D$15</f>
        <v>0</v>
      </c>
      <c r="G70" s="28">
        <f>F8</f>
        <v>1</v>
      </c>
      <c r="H70" s="64">
        <f>D70*E70</f>
        <v>0</v>
      </c>
      <c r="I70" s="32">
        <f>H70*G70</f>
        <v>0</v>
      </c>
    </row>
    <row r="71" spans="2:9" x14ac:dyDescent="0.35">
      <c r="B71" s="24" t="str">
        <f t="shared" si="4"/>
        <v>Butter - زبدة</v>
      </c>
      <c r="C71" s="24" t="str">
        <f t="shared" si="4"/>
        <v>gm</v>
      </c>
      <c r="D71" s="24">
        <f t="shared" si="4"/>
        <v>150</v>
      </c>
      <c r="E71" s="27">
        <f>$C$15</f>
        <v>0</v>
      </c>
      <c r="F71" s="58">
        <f>$D$15</f>
        <v>0</v>
      </c>
      <c r="G71" s="28">
        <f>F9</f>
        <v>1</v>
      </c>
      <c r="H71" s="64">
        <f>D71*E71</f>
        <v>0</v>
      </c>
      <c r="I71" s="32">
        <f>H71*G71</f>
        <v>0</v>
      </c>
    </row>
  </sheetData>
  <mergeCells count="10">
    <mergeCell ref="B65:I65"/>
    <mergeCell ref="A2:A3"/>
    <mergeCell ref="M11:N11"/>
    <mergeCell ref="B40:I40"/>
    <mergeCell ref="B2:H3"/>
    <mergeCell ref="N20:O20"/>
    <mergeCell ref="B41:I41"/>
    <mergeCell ref="B52:I52"/>
    <mergeCell ref="B53:I53"/>
    <mergeCell ref="B64:I64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BF9000"/>
    <pageSetUpPr fitToPage="1"/>
  </sheetPr>
  <dimension ref="A1:AB71"/>
  <sheetViews>
    <sheetView topLeftCell="C1" zoomScale="55" zoomScaleNormal="55" workbookViewId="0">
      <selection activeCell="J5" sqref="I5:J9"/>
    </sheetView>
  </sheetViews>
  <sheetFormatPr defaultColWidth="12.5" defaultRowHeight="12.75" x14ac:dyDescent="0.35"/>
  <cols>
    <col min="1" max="1" width="8.0625" style="10" customWidth="1"/>
    <col min="2" max="2" width="20.5" style="10" customWidth="1"/>
    <col min="3" max="3" width="24" style="10" customWidth="1"/>
    <col min="4" max="4" width="21.8125" style="10" customWidth="1"/>
    <col min="5" max="5" width="16.1875" style="10" customWidth="1"/>
    <col min="6" max="6" width="19.1875" style="10" customWidth="1"/>
    <col min="7" max="7" width="16.7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68660</v>
      </c>
      <c r="F1" s="11" t="s">
        <v>55</v>
      </c>
      <c r="G1" s="15">
        <f>E1/C1</f>
        <v>2.2886666666666668</v>
      </c>
      <c r="H1" s="11" t="s">
        <v>56</v>
      </c>
      <c r="I1" s="16">
        <f>(G1/K1)</f>
        <v>2.2886666666666668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68660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58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2.2886666666666668</v>
      </c>
      <c r="F5" s="28">
        <v>1</v>
      </c>
      <c r="G5" s="29">
        <f>D5*E5</f>
        <v>22.88666666666667</v>
      </c>
      <c r="H5" s="208">
        <f>G5*F5</f>
        <v>22.88666666666667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22.88666666666667</v>
      </c>
      <c r="L5" s="31">
        <f>K5*J5</f>
        <v>131.59833333333336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>$G$1</f>
        <v>2.2886666666666668</v>
      </c>
      <c r="F6" s="28">
        <v>1</v>
      </c>
      <c r="G6" s="29">
        <f>D6*E6</f>
        <v>68660</v>
      </c>
      <c r="H6" s="209">
        <f>G6*F6</f>
        <v>68660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68.66</v>
      </c>
      <c r="L6" s="31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2.2886666666666668</v>
      </c>
      <c r="F7" s="28">
        <v>1</v>
      </c>
      <c r="G7" s="29">
        <f>D7*E7</f>
        <v>343.3</v>
      </c>
      <c r="H7" s="210">
        <f>G7*F7</f>
        <v>343.3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1">(H7/I7)/1000</f>
        <v>0.34329999999999999</v>
      </c>
      <c r="L7" s="31">
        <f t="shared" si="0"/>
        <v>10.298999999999999</v>
      </c>
    </row>
    <row r="8" spans="1:28" ht="13.15" x14ac:dyDescent="0.4">
      <c r="B8" s="24" t="s">
        <v>22</v>
      </c>
      <c r="C8" s="25" t="s">
        <v>17</v>
      </c>
      <c r="D8" s="26">
        <v>400</v>
      </c>
      <c r="E8" s="27">
        <f>$G$1</f>
        <v>2.2886666666666668</v>
      </c>
      <c r="F8" s="28">
        <v>1</v>
      </c>
      <c r="G8" s="29">
        <f>D8*E8</f>
        <v>915.4666666666667</v>
      </c>
      <c r="H8" s="210">
        <f>G8*F8</f>
        <v>915.4666666666667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0.91546666666666665</v>
      </c>
      <c r="L8" s="31">
        <f t="shared" si="0"/>
        <v>0.67744533333333334</v>
      </c>
      <c r="V8" s="215" t="s">
        <v>17</v>
      </c>
      <c r="W8" s="216">
        <v>1</v>
      </c>
      <c r="X8" s="215" t="s">
        <v>250</v>
      </c>
      <c r="Y8" s="217">
        <f>(N16*W8)/N15</f>
        <v>2.0972000000000005E-3</v>
      </c>
    </row>
    <row r="9" spans="1:28" ht="11.75" customHeight="1" x14ac:dyDescent="0.35">
      <c r="B9" s="24" t="s">
        <v>27</v>
      </c>
      <c r="C9" s="33" t="s">
        <v>17</v>
      </c>
      <c r="D9" s="34">
        <v>20</v>
      </c>
      <c r="E9" s="35">
        <f>$G$1</f>
        <v>2.2886666666666668</v>
      </c>
      <c r="F9" s="36">
        <v>1</v>
      </c>
      <c r="G9" s="37">
        <f>D9*E9</f>
        <v>45.773333333333341</v>
      </c>
      <c r="H9" s="211">
        <f>G9*F9</f>
        <v>45.773333333333341</v>
      </c>
      <c r="I9" s="59">
        <f>VLOOKUP(B9,Ordering!$A$1:$J$45,6,FALSE)</f>
        <v>1</v>
      </c>
      <c r="J9" s="59">
        <f>VLOOKUP(B9,Ordering!$A$1:$J$45,10,FALSE)</f>
        <v>31</v>
      </c>
      <c r="K9" s="59">
        <f t="shared" si="1"/>
        <v>4.5773333333333339E-2</v>
      </c>
      <c r="L9" s="31">
        <f t="shared" si="0"/>
        <v>1.4189733333333334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220"/>
      <c r="J10" s="220"/>
      <c r="K10" s="220"/>
      <c r="L10" s="221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67</v>
      </c>
      <c r="N11" s="242"/>
    </row>
    <row r="12" spans="1:28" ht="13.5" customHeight="1" x14ac:dyDescent="0.35">
      <c r="B12" s="48" t="s">
        <v>71</v>
      </c>
      <c r="C12" s="49">
        <f>I1</f>
        <v>2.2886666666666668</v>
      </c>
      <c r="D12" s="50">
        <f>E1</f>
        <v>68660</v>
      </c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73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72</v>
      </c>
      <c r="N13" s="130">
        <f>$Z$1</f>
        <v>68660</v>
      </c>
    </row>
    <row r="14" spans="1:28" ht="14.25" customHeight="1" x14ac:dyDescent="0.35">
      <c r="B14" s="48" t="s">
        <v>75</v>
      </c>
      <c r="C14" s="51">
        <f>MIN(MAX($C$12-C13,0),1)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74</v>
      </c>
      <c r="N14" s="131">
        <f>$AB$1</f>
        <v>0</v>
      </c>
    </row>
    <row r="15" spans="1:28" ht="14.25" customHeight="1" thickBot="1" x14ac:dyDescent="0.4">
      <c r="B15" s="48" t="s">
        <v>76</v>
      </c>
      <c r="C15" s="51">
        <f>MIN(MAX($C$12-C13-C14,0),1)</f>
        <v>0.28866666666666685</v>
      </c>
      <c r="D15" s="50">
        <f>C15*$C$1</f>
        <v>8660.0000000000055</v>
      </c>
      <c r="E15" s="18"/>
      <c r="F15" s="18"/>
      <c r="I15" s="18"/>
      <c r="J15" s="18"/>
      <c r="K15" s="18"/>
      <c r="M15" s="53" t="s">
        <v>71</v>
      </c>
      <c r="N15" s="54">
        <f>N13+N14</f>
        <v>68660</v>
      </c>
    </row>
    <row r="16" spans="1:28" ht="13.5" thickBot="1" x14ac:dyDescent="0.45">
      <c r="M16" s="213" t="s">
        <v>250</v>
      </c>
      <c r="N16" s="214">
        <f>SUM(L5:L9)</f>
        <v>143.99375200000003</v>
      </c>
    </row>
    <row r="20" spans="14:15" ht="13.5" customHeight="1" x14ac:dyDescent="0.35">
      <c r="N20" s="245"/>
      <c r="O20" s="245"/>
    </row>
    <row r="40" spans="1:9" ht="17.649999999999999" x14ac:dyDescent="0.35">
      <c r="A40" s="134"/>
      <c r="B40" s="240" t="str">
        <f>"      رز أبيض   1 / " &amp; COUNTIF($C$13:$C$15, "&gt;0")</f>
        <v xml:space="preserve">      رز أبيض   1 / 3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 White Rice   1 / " &amp; COUNTIF($C$13:$C$15, "&gt;0")</f>
        <v xml:space="preserve">  White Rice   1 / 3</v>
      </c>
      <c r="C41" s="240"/>
      <c r="D41" s="240"/>
      <c r="E41" s="240"/>
      <c r="F41" s="240"/>
      <c r="G41" s="240"/>
      <c r="H41" s="240"/>
      <c r="I41" s="240"/>
    </row>
    <row r="42" spans="1:9" ht="37.25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25.5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7.649999999999999" x14ac:dyDescent="0.35">
      <c r="A52" s="134"/>
      <c r="B52" s="240" t="str">
        <f>"      رز أبيض   2 / " &amp; COUNTIF($C$13:$C$15, "&gt;0")</f>
        <v xml:space="preserve">      رز أبيض   2 / 3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White Rice   2 / " &amp; COUNTIF($C$13:$C$15, "&gt;0")</f>
        <v xml:space="preserve">  White Rice   2 / 3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104" t="s">
        <v>65</v>
      </c>
      <c r="I54" s="23" t="s">
        <v>79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1</v>
      </c>
      <c r="F55" s="58">
        <f>$D$14</f>
        <v>30000</v>
      </c>
      <c r="G55" s="28">
        <f>F5</f>
        <v>1</v>
      </c>
      <c r="H55" s="84">
        <f>D55*E55</f>
        <v>10</v>
      </c>
      <c r="I55" s="30">
        <f>H55*G55</f>
        <v>10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1</v>
      </c>
      <c r="F56" s="58">
        <f>$D$14</f>
        <v>30000</v>
      </c>
      <c r="G56" s="28">
        <f>F6</f>
        <v>1</v>
      </c>
      <c r="H56" s="84">
        <f>D56*E56</f>
        <v>30000</v>
      </c>
      <c r="I56" s="32">
        <f>H56*G56</f>
        <v>30000</v>
      </c>
    </row>
    <row r="57" spans="1:9" ht="24" customHeight="1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1</v>
      </c>
      <c r="F57" s="58">
        <f>$D$14</f>
        <v>30000</v>
      </c>
      <c r="G57" s="28">
        <f>F7</f>
        <v>1</v>
      </c>
      <c r="H57" s="84">
        <f>D57*E57</f>
        <v>150</v>
      </c>
      <c r="I57" s="32">
        <f>H57*G57</f>
        <v>150</v>
      </c>
    </row>
    <row r="58" spans="1:9" ht="28.5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1</v>
      </c>
      <c r="F58" s="58">
        <f>$D$14</f>
        <v>30000</v>
      </c>
      <c r="G58" s="28">
        <f>F8</f>
        <v>1</v>
      </c>
      <c r="H58" s="84">
        <f>D58*E58</f>
        <v>400</v>
      </c>
      <c r="I58" s="32">
        <f>H58*G58</f>
        <v>400</v>
      </c>
    </row>
    <row r="59" spans="1:9" ht="25.5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1</v>
      </c>
      <c r="F59" s="58">
        <f>$D$14</f>
        <v>30000</v>
      </c>
      <c r="G59" s="28">
        <f>F9</f>
        <v>1</v>
      </c>
      <c r="H59" s="84">
        <f>D59*E59</f>
        <v>20</v>
      </c>
      <c r="I59" s="32">
        <f>H59*G59</f>
        <v>20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7.649999999999999" x14ac:dyDescent="0.35">
      <c r="A64" s="134"/>
      <c r="B64" s="240" t="str">
        <f>"      رز أبيض  3 / " &amp; COUNTIF($C$13:$C$15, "&gt;0")</f>
        <v xml:space="preserve">      رز أبيض  3 / 3</v>
      </c>
      <c r="C64" s="240"/>
      <c r="D64" s="240"/>
      <c r="E64" s="240"/>
      <c r="F64" s="240"/>
      <c r="G64" s="240"/>
      <c r="H64" s="240"/>
      <c r="I64" s="240"/>
    </row>
    <row r="65" spans="1:9" ht="17.649999999999999" x14ac:dyDescent="0.35">
      <c r="A65" s="134"/>
      <c r="B65" s="240" t="str">
        <f>"  White Rice   3 / " &amp; COUNTIF($C$13:$C$15, "&gt;0")</f>
        <v xml:space="preserve">  White Rice   3 / 3</v>
      </c>
      <c r="C65" s="240"/>
      <c r="D65" s="240"/>
      <c r="E65" s="240"/>
      <c r="F65" s="240"/>
      <c r="G65" s="240"/>
      <c r="H65" s="240"/>
      <c r="I65" s="240"/>
    </row>
    <row r="66" spans="1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104" t="s">
        <v>65</v>
      </c>
      <c r="I66" s="23" t="s">
        <v>66</v>
      </c>
    </row>
    <row r="67" spans="1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0.28866666666666685</v>
      </c>
      <c r="F67" s="58">
        <f>$D$15</f>
        <v>8660.0000000000055</v>
      </c>
      <c r="G67" s="28">
        <f>F5</f>
        <v>1</v>
      </c>
      <c r="H67" s="84">
        <f>D67*E67</f>
        <v>2.8866666666666685</v>
      </c>
      <c r="I67" s="32">
        <f>H67*G67</f>
        <v>2.8866666666666685</v>
      </c>
    </row>
    <row r="68" spans="1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0.28866666666666685</v>
      </c>
      <c r="F68" s="58">
        <f>$D$15</f>
        <v>8660.0000000000055</v>
      </c>
      <c r="G68" s="28">
        <f>F6</f>
        <v>1</v>
      </c>
      <c r="H68" s="84">
        <f>D68*E68</f>
        <v>8660.0000000000055</v>
      </c>
      <c r="I68" s="32">
        <f>H68*G68</f>
        <v>8660.0000000000055</v>
      </c>
    </row>
    <row r="69" spans="1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0.28866666666666685</v>
      </c>
      <c r="F69" s="58">
        <f>$D$15</f>
        <v>8660.0000000000055</v>
      </c>
      <c r="G69" s="28">
        <f>F7</f>
        <v>1</v>
      </c>
      <c r="H69" s="84">
        <f>D69*E69</f>
        <v>43.300000000000026</v>
      </c>
      <c r="I69" s="32">
        <f>H69*G69</f>
        <v>43.300000000000026</v>
      </c>
    </row>
    <row r="70" spans="1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0.28866666666666685</v>
      </c>
      <c r="F70" s="58">
        <f>$D$15</f>
        <v>8660.0000000000055</v>
      </c>
      <c r="G70" s="28">
        <f>F8</f>
        <v>1</v>
      </c>
      <c r="H70" s="84">
        <f>D70*E70</f>
        <v>115.46666666666674</v>
      </c>
      <c r="I70" s="32">
        <f>H70*G70</f>
        <v>115.46666666666674</v>
      </c>
    </row>
    <row r="71" spans="1:9" ht="25.5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0.28866666666666685</v>
      </c>
      <c r="F71" s="58">
        <f>$D$15</f>
        <v>8660.0000000000055</v>
      </c>
      <c r="G71" s="28">
        <f>F9</f>
        <v>1</v>
      </c>
      <c r="H71" s="84">
        <f>D71*E71</f>
        <v>5.773333333333337</v>
      </c>
      <c r="I71" s="32">
        <f>H71*G71</f>
        <v>5.773333333333337</v>
      </c>
    </row>
  </sheetData>
  <mergeCells count="10">
    <mergeCell ref="B52:I52"/>
    <mergeCell ref="B53:I53"/>
    <mergeCell ref="B64:I64"/>
    <mergeCell ref="B65:I65"/>
    <mergeCell ref="A2:A3"/>
    <mergeCell ref="M11:N11"/>
    <mergeCell ref="B2:H3"/>
    <mergeCell ref="N20:O20"/>
    <mergeCell ref="B41:I41"/>
    <mergeCell ref="B40:I40"/>
  </mergeCells>
  <printOptions horizontalCentered="1"/>
  <pageMargins left="0.5" right="0.5" top="1" bottom="0.5" header="0.3" footer="0.511811023622047"/>
  <pageSetup paperSize="9" scale="23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BF9000"/>
    <pageSetUpPr fitToPage="1"/>
  </sheetPr>
  <dimension ref="A1:AB60"/>
  <sheetViews>
    <sheetView topLeftCell="I1" zoomScale="70" zoomScaleNormal="70" workbookViewId="0">
      <selection activeCell="J5" sqref="I5:J9"/>
    </sheetView>
  </sheetViews>
  <sheetFormatPr defaultColWidth="12.5" defaultRowHeight="12.75" x14ac:dyDescent="0.35"/>
  <cols>
    <col min="1" max="1" width="8.0625" style="10" customWidth="1"/>
    <col min="2" max="2" width="30.5625" style="10" customWidth="1"/>
    <col min="3" max="3" width="16.5625" style="10" customWidth="1"/>
    <col min="4" max="4" width="21.8125" style="10" customWidth="1"/>
    <col min="5" max="5" width="16.1875" style="10" customWidth="1"/>
    <col min="6" max="6" width="23" style="10" customWidth="1"/>
    <col min="7" max="7" width="25.1875" style="10" customWidth="1"/>
    <col min="8" max="8" width="36.1875" style="10" customWidth="1"/>
    <col min="9" max="9" width="21.0625" style="10" customWidth="1"/>
    <col min="10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30190</v>
      </c>
      <c r="F1" s="11" t="s">
        <v>55</v>
      </c>
      <c r="G1" s="15">
        <f>E1/C1</f>
        <v>1.0063333333333333</v>
      </c>
      <c r="H1" s="11" t="s">
        <v>56</v>
      </c>
      <c r="I1" s="16">
        <f>(G1/K1)</f>
        <v>1.0063333333333333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30190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80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1.0063333333333333</v>
      </c>
      <c r="F5" s="28">
        <v>1</v>
      </c>
      <c r="G5" s="29">
        <f t="shared" ref="G5:G10" si="1">D5*E5</f>
        <v>10.063333333333333</v>
      </c>
      <c r="H5" s="208">
        <f t="shared" ref="H5:H10" si="2">G5*F5</f>
        <v>10.063333333333333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10.063333333333333</v>
      </c>
      <c r="L5" s="31">
        <f>K5*J5</f>
        <v>57.864166666666662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 t="shared" si="0"/>
        <v>1.0063333333333333</v>
      </c>
      <c r="F6" s="28">
        <v>1</v>
      </c>
      <c r="G6" s="29">
        <f t="shared" si="1"/>
        <v>30190</v>
      </c>
      <c r="H6" s="209">
        <f t="shared" si="2"/>
        <v>30190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30.19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1.0063333333333333</v>
      </c>
      <c r="F7" s="28">
        <v>1</v>
      </c>
      <c r="G7" s="29">
        <f t="shared" si="1"/>
        <v>150.94999999999999</v>
      </c>
      <c r="H7" s="210">
        <f t="shared" si="2"/>
        <v>150.94999999999999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0.15095</v>
      </c>
      <c r="L7" s="31">
        <f t="shared" si="3"/>
        <v>4.5285000000000002</v>
      </c>
    </row>
    <row r="8" spans="1:28" ht="13.15" x14ac:dyDescent="0.4">
      <c r="B8" s="24" t="s">
        <v>22</v>
      </c>
      <c r="C8" s="25" t="s">
        <v>17</v>
      </c>
      <c r="D8" s="26">
        <v>400</v>
      </c>
      <c r="E8" s="27">
        <f t="shared" si="0"/>
        <v>1.0063333333333333</v>
      </c>
      <c r="F8" s="28">
        <v>1</v>
      </c>
      <c r="G8" s="29">
        <f t="shared" si="1"/>
        <v>402.5333333333333</v>
      </c>
      <c r="H8" s="210">
        <f t="shared" si="2"/>
        <v>402.5333333333333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0.4025333333333333</v>
      </c>
      <c r="L8" s="31">
        <f t="shared" si="3"/>
        <v>0.29787466666666662</v>
      </c>
      <c r="V8" s="215" t="s">
        <v>17</v>
      </c>
      <c r="W8" s="216">
        <v>1</v>
      </c>
      <c r="X8" s="215" t="s">
        <v>250</v>
      </c>
      <c r="Y8" s="217">
        <f>(N16*W8)/N15</f>
        <v>2.1121999999999998E-3</v>
      </c>
    </row>
    <row r="9" spans="1:28" x14ac:dyDescent="0.35">
      <c r="B9" s="24" t="s">
        <v>27</v>
      </c>
      <c r="C9" s="25" t="s">
        <v>17</v>
      </c>
      <c r="D9" s="26">
        <v>20</v>
      </c>
      <c r="E9" s="27">
        <f t="shared" si="0"/>
        <v>1.0063333333333333</v>
      </c>
      <c r="F9" s="28">
        <v>1</v>
      </c>
      <c r="G9" s="29">
        <f t="shared" si="1"/>
        <v>20.126666666666665</v>
      </c>
      <c r="H9" s="210">
        <f t="shared" si="2"/>
        <v>20.126666666666665</v>
      </c>
      <c r="I9" s="59">
        <f>VLOOKUP(B9,Ordering!$A$1:$J$45,6,FALSE)</f>
        <v>1</v>
      </c>
      <c r="J9" s="59">
        <f>VLOOKUP(B9,Ordering!$A$1:$J$45,10,FALSE)</f>
        <v>31</v>
      </c>
      <c r="K9" s="59">
        <f t="shared" si="4"/>
        <v>2.0126666666666664E-2</v>
      </c>
      <c r="L9" s="31">
        <f t="shared" si="3"/>
        <v>0.62392666666666663</v>
      </c>
    </row>
    <row r="10" spans="1:28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1.0063333333333333</v>
      </c>
      <c r="F10" s="28">
        <v>1</v>
      </c>
      <c r="G10" s="29">
        <f t="shared" si="1"/>
        <v>20.126666666666665</v>
      </c>
      <c r="H10" s="210">
        <f t="shared" si="2"/>
        <v>20.126666666666665</v>
      </c>
      <c r="I10" s="59">
        <f>VLOOKUP(B10,Ordering!$A$1:$J$45,6,FALSE)</f>
        <v>1</v>
      </c>
      <c r="J10" s="59">
        <f>VLOOKUP(B10,Ordering!$A$1:$J$45,10,FALSE)</f>
        <v>22.5</v>
      </c>
      <c r="K10" s="59">
        <f t="shared" ref="K10" si="5">(H10/I10)/1000</f>
        <v>2.0126666666666664E-2</v>
      </c>
      <c r="L10" s="31">
        <f t="shared" ref="L10" si="6">K10*J10</f>
        <v>0.45284999999999992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80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71</v>
      </c>
      <c r="C13" s="49">
        <f>I1</f>
        <v>1.0063333333333333</v>
      </c>
      <c r="D13" s="50">
        <f>E1</f>
        <v>30190</v>
      </c>
      <c r="F13" s="18"/>
      <c r="I13" s="18"/>
      <c r="J13" s="18"/>
      <c r="K13" s="18"/>
      <c r="M13" s="48" t="s">
        <v>81</v>
      </c>
      <c r="N13" s="130">
        <f>$Z$1</f>
        <v>30190</v>
      </c>
    </row>
    <row r="14" spans="1:28" ht="13.5" customHeight="1" x14ac:dyDescent="0.35">
      <c r="B14" s="48" t="s">
        <v>73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82</v>
      </c>
      <c r="N14" s="131">
        <f>$AB$1</f>
        <v>0</v>
      </c>
    </row>
    <row r="15" spans="1:28" ht="14.25" customHeight="1" thickBot="1" x14ac:dyDescent="0.4">
      <c r="B15" s="48" t="s">
        <v>75</v>
      </c>
      <c r="C15" s="51">
        <f>MIN(MAX($C$13-C14,0),1)</f>
        <v>6.333333333333302E-3</v>
      </c>
      <c r="D15" s="50">
        <f>C15*$C$1</f>
        <v>189.99999999999906</v>
      </c>
      <c r="E15" s="18"/>
      <c r="F15" s="18"/>
      <c r="I15" s="18"/>
      <c r="J15" s="18"/>
      <c r="K15" s="18"/>
      <c r="M15" s="53" t="s">
        <v>83</v>
      </c>
      <c r="N15" s="54">
        <f>N13+N14</f>
        <v>30190</v>
      </c>
    </row>
    <row r="16" spans="1:28" ht="14.25" customHeight="1" thickBot="1" x14ac:dyDescent="0.4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250</v>
      </c>
      <c r="N16" s="214">
        <f>SUM(L5:L10)</f>
        <v>63.767317999999996</v>
      </c>
    </row>
    <row r="21" spans="14:15" ht="13.5" customHeight="1" x14ac:dyDescent="0.35">
      <c r="N21" s="245"/>
      <c r="O21" s="245"/>
    </row>
    <row r="40" spans="1:9" ht="13.5" customHeight="1" x14ac:dyDescent="0.35">
      <c r="A40" s="134"/>
      <c r="B40" s="240" t="str">
        <f>"        رز بريانى-رز زعفران   1 / " &amp; COUNTIF($C$14:$C$16, "&gt;0")</f>
        <v xml:space="preserve">        رز بريانى-رز زعفران   1 / 2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Biryani - Saffron Rice 1 / " &amp; COUNTIF($C$14:$C$16, "&gt;0")</f>
        <v xml:space="preserve">  Biryani - Saffron Rice 1 / 2</v>
      </c>
      <c r="C41" s="240"/>
      <c r="D41" s="240"/>
      <c r="E41" s="240"/>
      <c r="F41" s="240"/>
      <c r="G41" s="240"/>
      <c r="H41" s="240"/>
      <c r="I41" s="240"/>
    </row>
    <row r="42" spans="1:9" ht="52.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1</v>
      </c>
      <c r="H43" s="120">
        <f t="shared" ref="H43:H48" si="11">D43*E43</f>
        <v>10</v>
      </c>
      <c r="I43" s="32">
        <f t="shared" ref="I43:I48" si="12">H43*G43</f>
        <v>10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120">
        <f t="shared" si="11"/>
        <v>30000</v>
      </c>
      <c r="I44" s="32">
        <f t="shared" si="12"/>
        <v>30000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120">
        <f t="shared" si="11"/>
        <v>150</v>
      </c>
      <c r="I45" s="32">
        <f t="shared" si="12"/>
        <v>150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120">
        <f t="shared" si="11"/>
        <v>400</v>
      </c>
      <c r="I46" s="32">
        <f t="shared" si="12"/>
        <v>400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120">
        <f t="shared" si="11"/>
        <v>20</v>
      </c>
      <c r="I47" s="32">
        <f t="shared" si="12"/>
        <v>20</v>
      </c>
    </row>
    <row r="48" spans="1:9" ht="25.5" x14ac:dyDescent="0.35">
      <c r="B48" s="24" t="str">
        <f t="shared" si="7"/>
        <v>لون صفار زعفران بودر - Saffron yellow color powder</v>
      </c>
      <c r="C48" s="24" t="str">
        <f t="shared" si="7"/>
        <v>gm</v>
      </c>
      <c r="D48" s="24">
        <f t="shared" si="7"/>
        <v>20</v>
      </c>
      <c r="E48" s="57">
        <f t="shared" si="8"/>
        <v>1</v>
      </c>
      <c r="F48" s="58">
        <f t="shared" si="9"/>
        <v>30000</v>
      </c>
      <c r="G48" s="28">
        <f t="shared" si="10"/>
        <v>1</v>
      </c>
      <c r="H48" s="120">
        <f t="shared" si="11"/>
        <v>20</v>
      </c>
      <c r="I48" s="32">
        <f t="shared" si="12"/>
        <v>20</v>
      </c>
    </row>
    <row r="52" spans="1:9" ht="17.649999999999999" x14ac:dyDescent="0.35">
      <c r="A52" s="134"/>
      <c r="B52" s="240" t="str">
        <f>"        رز بريانى-رز زعفران   2 / " &amp; COUNTIF($C$14:$C$16, "&gt;0")</f>
        <v xml:space="preserve">        رز بريانى-رز زعفران   2 / 2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Biryani - Saffron Rice  2 / " &amp; COUNTIF($C$14:$C$16, "&gt;0")</f>
        <v xml:space="preserve">  Biryani - Saffron Rice  2 / 2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55" t="s">
        <v>78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6.333333333333302E-3</v>
      </c>
      <c r="F55" s="68">
        <f t="shared" ref="F55:F60" si="15">$D$15</f>
        <v>189.99999999999906</v>
      </c>
      <c r="G55" s="28">
        <f t="shared" ref="G55:G60" si="16">F5</f>
        <v>1</v>
      </c>
      <c r="H55" s="84">
        <f t="shared" ref="H55:H60" si="17">D55*E55</f>
        <v>6.333333333333302E-2</v>
      </c>
      <c r="I55" s="32">
        <f t="shared" ref="I55:I60" si="18">H55*G55</f>
        <v>6.333333333333302E-2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6.333333333333302E-3</v>
      </c>
      <c r="F56" s="68">
        <f t="shared" si="15"/>
        <v>189.99999999999906</v>
      </c>
      <c r="G56" s="28">
        <f t="shared" si="16"/>
        <v>1</v>
      </c>
      <c r="H56" s="84">
        <f t="shared" si="17"/>
        <v>189.99999999999906</v>
      </c>
      <c r="I56" s="32">
        <f t="shared" si="18"/>
        <v>189.99999999999906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6.333333333333302E-3</v>
      </c>
      <c r="F57" s="68">
        <f t="shared" si="15"/>
        <v>189.99999999999906</v>
      </c>
      <c r="G57" s="28">
        <f t="shared" si="16"/>
        <v>1</v>
      </c>
      <c r="H57" s="84">
        <f t="shared" si="17"/>
        <v>0.94999999999999529</v>
      </c>
      <c r="I57" s="32">
        <f t="shared" si="18"/>
        <v>0.94999999999999529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6.333333333333302E-3</v>
      </c>
      <c r="F58" s="68">
        <f t="shared" si="15"/>
        <v>189.99999999999906</v>
      </c>
      <c r="G58" s="28">
        <f t="shared" si="16"/>
        <v>1</v>
      </c>
      <c r="H58" s="84">
        <f t="shared" si="17"/>
        <v>2.5333333333333208</v>
      </c>
      <c r="I58" s="32">
        <f t="shared" si="18"/>
        <v>2.5333333333333208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6.333333333333302E-3</v>
      </c>
      <c r="F59" s="68">
        <f t="shared" si="15"/>
        <v>189.99999999999906</v>
      </c>
      <c r="G59" s="28">
        <f t="shared" si="16"/>
        <v>1</v>
      </c>
      <c r="H59" s="84">
        <f t="shared" si="17"/>
        <v>0.12666666666666604</v>
      </c>
      <c r="I59" s="32">
        <f t="shared" si="18"/>
        <v>0.12666666666666604</v>
      </c>
    </row>
    <row r="60" spans="1:9" ht="24" customHeight="1" x14ac:dyDescent="0.35">
      <c r="B60" s="24" t="str">
        <f t="shared" si="13"/>
        <v>لون صفار زعفران بودر - Saffron yellow color powder</v>
      </c>
      <c r="C60" s="24" t="str">
        <f t="shared" si="13"/>
        <v>gm</v>
      </c>
      <c r="D60" s="24">
        <f t="shared" si="13"/>
        <v>20</v>
      </c>
      <c r="E60" s="27">
        <f t="shared" si="14"/>
        <v>6.333333333333302E-3</v>
      </c>
      <c r="F60" s="68">
        <f t="shared" si="15"/>
        <v>189.99999999999906</v>
      </c>
      <c r="G60" s="28">
        <f t="shared" si="16"/>
        <v>1</v>
      </c>
      <c r="H60" s="84">
        <f t="shared" si="17"/>
        <v>0.12666666666666604</v>
      </c>
      <c r="I60" s="32">
        <f t="shared" si="18"/>
        <v>0.12666666666666604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زعفران&amp;R&amp;B&amp;14Day 3</oddHeader>
    <oddFooter>&amp;C&amp;B&amp;10Page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F9000"/>
    <pageSetUpPr fitToPage="1"/>
  </sheetPr>
  <dimension ref="A1:AB60"/>
  <sheetViews>
    <sheetView topLeftCell="H1" zoomScale="85" zoomScaleNormal="85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30.6875" style="10" customWidth="1"/>
    <col min="3" max="3" width="24" style="10" customWidth="1"/>
    <col min="4" max="4" width="21.8125" style="10" customWidth="1"/>
    <col min="5" max="5" width="16.1875" style="10" customWidth="1"/>
    <col min="6" max="6" width="17.6875" style="10" customWidth="1"/>
    <col min="7" max="7" width="25.1875" style="10" customWidth="1"/>
    <col min="8" max="8" width="17.5" style="10" customWidth="1"/>
    <col min="9" max="9" width="15.5625" style="10" customWidth="1"/>
    <col min="10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25833.5</v>
      </c>
      <c r="F1" s="11" t="s">
        <v>55</v>
      </c>
      <c r="G1" s="15">
        <f>E1/C1</f>
        <v>0.86111666666666664</v>
      </c>
      <c r="H1" s="11" t="s">
        <v>56</v>
      </c>
      <c r="I1" s="16">
        <f>(G1/K1)</f>
        <v>0.86111666666666664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33550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91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9" si="0">$G$1</f>
        <v>0.86111666666666664</v>
      </c>
      <c r="F5" s="28">
        <v>1</v>
      </c>
      <c r="G5" s="29">
        <f t="shared" ref="G5:G9" si="1">D5*E5</f>
        <v>8.6111666666666657</v>
      </c>
      <c r="H5" s="209">
        <f t="shared" ref="H5:H9" si="2">G5*F5</f>
        <v>8.6111666666666657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8.6111666666666657</v>
      </c>
      <c r="L5" s="31">
        <f>K5*J5</f>
        <v>49.514208333333329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 t="shared" si="0"/>
        <v>0.86111666666666664</v>
      </c>
      <c r="F6" s="28">
        <v>1</v>
      </c>
      <c r="G6" s="29">
        <f t="shared" si="1"/>
        <v>25833.5</v>
      </c>
      <c r="H6" s="209">
        <f t="shared" si="2"/>
        <v>25833.5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25.833500000000001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0.86111666666666664</v>
      </c>
      <c r="F7" s="28">
        <v>1</v>
      </c>
      <c r="G7" s="29">
        <f t="shared" si="1"/>
        <v>129.16749999999999</v>
      </c>
      <c r="H7" s="209">
        <f t="shared" si="2"/>
        <v>129.16749999999999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0.12916749999999999</v>
      </c>
      <c r="L7" s="31">
        <f t="shared" si="3"/>
        <v>3.8750249999999999</v>
      </c>
      <c r="V7" s="251"/>
    </row>
    <row r="8" spans="1:28" ht="13.15" x14ac:dyDescent="0.4">
      <c r="B8" s="24" t="s">
        <v>22</v>
      </c>
      <c r="C8" s="25" t="s">
        <v>17</v>
      </c>
      <c r="D8" s="26">
        <v>400</v>
      </c>
      <c r="E8" s="27">
        <f t="shared" si="0"/>
        <v>0.86111666666666664</v>
      </c>
      <c r="F8" s="28">
        <v>1</v>
      </c>
      <c r="G8" s="29">
        <f t="shared" si="1"/>
        <v>344.44666666666666</v>
      </c>
      <c r="H8" s="209">
        <f t="shared" si="2"/>
        <v>344.44666666666666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0.34444666666666668</v>
      </c>
      <c r="L8" s="31">
        <f t="shared" si="3"/>
        <v>0.25489053333333334</v>
      </c>
      <c r="V8" s="215" t="s">
        <v>17</v>
      </c>
      <c r="W8" s="216">
        <v>1</v>
      </c>
      <c r="X8" s="215" t="s">
        <v>250</v>
      </c>
      <c r="Y8" s="217">
        <f>(N16*W8)/N15</f>
        <v>2.0971999999999996E-3</v>
      </c>
    </row>
    <row r="9" spans="1:28" x14ac:dyDescent="0.35">
      <c r="B9" s="24" t="s">
        <v>27</v>
      </c>
      <c r="C9" s="25" t="s">
        <v>17</v>
      </c>
      <c r="D9" s="26">
        <v>20</v>
      </c>
      <c r="E9" s="35">
        <f t="shared" si="0"/>
        <v>0.86111666666666664</v>
      </c>
      <c r="F9" s="36">
        <v>1</v>
      </c>
      <c r="G9" s="37">
        <f t="shared" si="1"/>
        <v>17.222333333333331</v>
      </c>
      <c r="H9" s="222">
        <f t="shared" si="2"/>
        <v>17.222333333333331</v>
      </c>
      <c r="I9" s="59">
        <f>VLOOKUP(B9,Ordering!$A$1:$J$45,6,FALSE)</f>
        <v>1</v>
      </c>
      <c r="J9" s="59">
        <f>VLOOKUP(B9,Ordering!$A$1:$J$45,10,FALSE)</f>
        <v>31</v>
      </c>
      <c r="K9" s="59">
        <f t="shared" si="4"/>
        <v>1.7222333333333333E-2</v>
      </c>
      <c r="L9" s="31">
        <f t="shared" si="3"/>
        <v>0.5338923333333333</v>
      </c>
    </row>
    <row r="10" spans="1:28" ht="13.5" x14ac:dyDescent="0.35">
      <c r="B10" s="24"/>
      <c r="C10" s="25"/>
      <c r="D10" s="26"/>
      <c r="E10" s="35"/>
      <c r="F10" s="36"/>
      <c r="G10" s="37"/>
      <c r="H10" s="211"/>
      <c r="I10" s="18"/>
      <c r="J10" s="18"/>
      <c r="K10" s="18"/>
      <c r="N10" s="130">
        <f>$Z$1</f>
        <v>33550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91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71</v>
      </c>
      <c r="C13" s="49">
        <f>I1</f>
        <v>0.86111666666666664</v>
      </c>
      <c r="D13" s="50">
        <f>E1</f>
        <v>25833.5</v>
      </c>
      <c r="F13" s="18"/>
      <c r="I13" s="18"/>
      <c r="J13" s="18"/>
      <c r="K13" s="18"/>
      <c r="M13" s="48" t="s">
        <v>72</v>
      </c>
      <c r="N13" s="132">
        <f>N10*0.77</f>
        <v>25833.5</v>
      </c>
    </row>
    <row r="14" spans="1:28" ht="13.5" customHeight="1" x14ac:dyDescent="0.35">
      <c r="B14" s="48" t="s">
        <v>73</v>
      </c>
      <c r="C14" s="51">
        <f>MIN($C$13,1)</f>
        <v>0.86111666666666664</v>
      </c>
      <c r="D14" s="50">
        <f>C14*$C$1</f>
        <v>25833.5</v>
      </c>
      <c r="E14" s="18"/>
      <c r="F14" s="18"/>
      <c r="I14" s="18"/>
      <c r="J14" s="18"/>
      <c r="K14" s="18"/>
      <c r="M14" s="48" t="s">
        <v>74</v>
      </c>
      <c r="N14" s="129">
        <f>$AB$1</f>
        <v>0</v>
      </c>
    </row>
    <row r="15" spans="1:28" ht="14.25" customHeight="1" thickBot="1" x14ac:dyDescent="0.4">
      <c r="B15" s="48" t="s">
        <v>75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71</v>
      </c>
      <c r="N15" s="54">
        <f>N13+N14</f>
        <v>25833.5</v>
      </c>
    </row>
    <row r="16" spans="1:28" ht="14.25" customHeight="1" thickBot="1" x14ac:dyDescent="0.4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250</v>
      </c>
      <c r="N16" s="214">
        <f>SUM(L5:L9)</f>
        <v>54.178016199999995</v>
      </c>
    </row>
    <row r="21" spans="14:15" ht="13.5" customHeight="1" x14ac:dyDescent="0.35">
      <c r="N21" s="245"/>
      <c r="O21" s="245"/>
    </row>
    <row r="40" spans="1:9" ht="13.5" customHeight="1" x14ac:dyDescent="0.35">
      <c r="A40" s="134"/>
      <c r="B40" s="240" t="str">
        <f>"  رز بالمكسرات 1 / " &amp; COUNTIF($C$14:$C$16, "&gt;0")</f>
        <v xml:space="preserve">  رز بالمكسرات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Rice with Nuts  1 / " &amp; COUNTIF($C$14:$C$16, "&gt;0")</f>
        <v xml:space="preserve">  Rice with Nuts  1 / 1</v>
      </c>
      <c r="C41" s="240"/>
      <c r="D41" s="240"/>
      <c r="E41" s="240"/>
      <c r="F41" s="240"/>
      <c r="G41" s="240"/>
      <c r="H41" s="240"/>
      <c r="I41" s="240"/>
    </row>
    <row r="42" spans="1:9" ht="78.7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7" si="5">B5</f>
        <v>Rice - رز</v>
      </c>
      <c r="C43" s="24" t="str">
        <f t="shared" si="5"/>
        <v>KG</v>
      </c>
      <c r="D43" s="24">
        <f t="shared" si="5"/>
        <v>10</v>
      </c>
      <c r="E43" s="69">
        <f t="shared" ref="E43:E47" si="6">$C$14</f>
        <v>0.86111666666666664</v>
      </c>
      <c r="F43" s="58">
        <f t="shared" ref="F43:F47" si="7">$D$14</f>
        <v>25833.5</v>
      </c>
      <c r="G43" s="28">
        <f t="shared" ref="G43:G47" si="8">F5</f>
        <v>1</v>
      </c>
      <c r="H43" s="83">
        <f t="shared" ref="H43:H47" si="9">D43*E43</f>
        <v>8.6111666666666657</v>
      </c>
      <c r="I43" s="32">
        <f t="shared" ref="I43:I47" si="10">H43*G43</f>
        <v>8.6111666666666657</v>
      </c>
    </row>
    <row r="44" spans="1:9" x14ac:dyDescent="0.35">
      <c r="B44" s="24" t="str">
        <f t="shared" si="5"/>
        <v>Water - ماء</v>
      </c>
      <c r="C44" s="24" t="str">
        <f t="shared" si="5"/>
        <v>ml</v>
      </c>
      <c r="D44" s="24">
        <f t="shared" si="5"/>
        <v>30000</v>
      </c>
      <c r="E44" s="69">
        <f t="shared" si="6"/>
        <v>0.86111666666666664</v>
      </c>
      <c r="F44" s="58">
        <f t="shared" si="7"/>
        <v>25833.5</v>
      </c>
      <c r="G44" s="28">
        <f t="shared" si="8"/>
        <v>1</v>
      </c>
      <c r="H44" s="83">
        <f t="shared" si="9"/>
        <v>25833.5</v>
      </c>
      <c r="I44" s="32">
        <f t="shared" si="10"/>
        <v>25833.5</v>
      </c>
    </row>
    <row r="45" spans="1:9" x14ac:dyDescent="0.35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69">
        <f t="shared" si="6"/>
        <v>0.86111666666666664</v>
      </c>
      <c r="F45" s="58">
        <f t="shared" si="7"/>
        <v>25833.5</v>
      </c>
      <c r="G45" s="28">
        <f t="shared" si="8"/>
        <v>1</v>
      </c>
      <c r="H45" s="83">
        <f t="shared" si="9"/>
        <v>129.16749999999999</v>
      </c>
      <c r="I45" s="32">
        <f t="shared" si="10"/>
        <v>129.16749999999999</v>
      </c>
    </row>
    <row r="46" spans="1:9" x14ac:dyDescent="0.35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69">
        <f t="shared" si="6"/>
        <v>0.86111666666666664</v>
      </c>
      <c r="F46" s="58">
        <f t="shared" si="7"/>
        <v>25833.5</v>
      </c>
      <c r="G46" s="28">
        <f t="shared" si="8"/>
        <v>1</v>
      </c>
      <c r="H46" s="83">
        <f t="shared" si="9"/>
        <v>344.44666666666666</v>
      </c>
      <c r="I46" s="32">
        <f t="shared" si="10"/>
        <v>344.44666666666666</v>
      </c>
    </row>
    <row r="47" spans="1:9" x14ac:dyDescent="0.35">
      <c r="B47" s="24" t="str">
        <f t="shared" si="5"/>
        <v>Cardamom Whole - هيل حب</v>
      </c>
      <c r="C47" s="24" t="str">
        <f t="shared" si="5"/>
        <v>gm</v>
      </c>
      <c r="D47" s="24">
        <f t="shared" si="5"/>
        <v>20</v>
      </c>
      <c r="E47" s="69">
        <f t="shared" si="6"/>
        <v>0.86111666666666664</v>
      </c>
      <c r="F47" s="58">
        <f t="shared" si="7"/>
        <v>25833.5</v>
      </c>
      <c r="G47" s="28">
        <f t="shared" si="8"/>
        <v>1</v>
      </c>
      <c r="H47" s="83">
        <f t="shared" si="9"/>
        <v>17.222333333333331</v>
      </c>
      <c r="I47" s="32">
        <f t="shared" si="10"/>
        <v>17.222333333333331</v>
      </c>
    </row>
    <row r="51" spans="1:9" ht="17.649999999999999" x14ac:dyDescent="0.35">
      <c r="B51" s="240" t="str">
        <f>"  رز بالمكسرات 2 / " &amp; COUNTIF($C$14:$C$16, "&gt;0")</f>
        <v xml:space="preserve">  رز بالمكسرات 2 / 1</v>
      </c>
      <c r="C51" s="240"/>
      <c r="D51" s="240"/>
      <c r="E51" s="240"/>
      <c r="F51" s="240"/>
      <c r="G51" s="240"/>
      <c r="H51" s="240"/>
      <c r="I51" s="240"/>
    </row>
    <row r="52" spans="1:9" ht="17.649999999999999" x14ac:dyDescent="0.35">
      <c r="A52" s="134"/>
      <c r="B52" s="240" t="str">
        <f>"  Rice with Nuts  2 / " &amp; COUNTIF($C$14:$C$16, "&gt;0")</f>
        <v xml:space="preserve">  Rice with Nuts  2 / 1</v>
      </c>
      <c r="C52" s="240"/>
      <c r="D52" s="240"/>
      <c r="E52" s="240"/>
      <c r="F52" s="240"/>
      <c r="G52" s="240"/>
      <c r="H52" s="240"/>
      <c r="I52" s="240"/>
    </row>
    <row r="53" spans="1:9" ht="78.75" x14ac:dyDescent="0.35">
      <c r="A53" s="134"/>
      <c r="B53" s="19" t="s">
        <v>60</v>
      </c>
      <c r="C53" s="20" t="s">
        <v>61</v>
      </c>
      <c r="D53" s="19" t="s">
        <v>62</v>
      </c>
      <c r="E53" s="21" t="s">
        <v>63</v>
      </c>
      <c r="F53" s="55" t="s">
        <v>77</v>
      </c>
      <c r="G53" s="21" t="s">
        <v>64</v>
      </c>
      <c r="H53" s="22" t="s">
        <v>65</v>
      </c>
      <c r="I53" s="55" t="s">
        <v>78</v>
      </c>
    </row>
    <row r="54" spans="1:9" x14ac:dyDescent="0.35">
      <c r="B54" s="24" t="str">
        <f t="shared" ref="B54:D58" si="11">B5</f>
        <v>Rice - رز</v>
      </c>
      <c r="C54" s="24" t="str">
        <f t="shared" si="11"/>
        <v>KG</v>
      </c>
      <c r="D54" s="24">
        <f t="shared" si="11"/>
        <v>10</v>
      </c>
      <c r="E54" s="27">
        <f t="shared" ref="E54:E58" si="12">$C$15</f>
        <v>0</v>
      </c>
      <c r="F54" s="68">
        <f t="shared" ref="F54:F58" si="13">$D$15</f>
        <v>0</v>
      </c>
      <c r="G54" s="28">
        <f>F5</f>
        <v>1</v>
      </c>
      <c r="H54" s="84">
        <f t="shared" ref="H54:H58" si="14">D54*E54</f>
        <v>0</v>
      </c>
      <c r="I54" s="32">
        <f t="shared" ref="I54:I58" si="15">H54*G54</f>
        <v>0</v>
      </c>
    </row>
    <row r="55" spans="1:9" x14ac:dyDescent="0.35">
      <c r="B55" s="24" t="str">
        <f t="shared" si="11"/>
        <v>Water - ماء</v>
      </c>
      <c r="C55" s="24" t="str">
        <f t="shared" si="11"/>
        <v>ml</v>
      </c>
      <c r="D55" s="24">
        <f t="shared" si="11"/>
        <v>30000</v>
      </c>
      <c r="E55" s="27">
        <f t="shared" si="12"/>
        <v>0</v>
      </c>
      <c r="F55" s="68">
        <f t="shared" si="13"/>
        <v>0</v>
      </c>
      <c r="G55" s="28">
        <f>F6</f>
        <v>1</v>
      </c>
      <c r="H55" s="84">
        <f t="shared" si="14"/>
        <v>0</v>
      </c>
      <c r="I55" s="32">
        <f t="shared" si="15"/>
        <v>0</v>
      </c>
    </row>
    <row r="56" spans="1:9" x14ac:dyDescent="0.35">
      <c r="B56" s="24" t="str">
        <f t="shared" si="11"/>
        <v>Butter - زبدة</v>
      </c>
      <c r="C56" s="24" t="str">
        <f t="shared" si="11"/>
        <v>gm</v>
      </c>
      <c r="D56" s="24">
        <f t="shared" si="11"/>
        <v>150</v>
      </c>
      <c r="E56" s="27">
        <f t="shared" si="12"/>
        <v>0</v>
      </c>
      <c r="F56" s="68">
        <f t="shared" si="13"/>
        <v>0</v>
      </c>
      <c r="G56" s="28">
        <f>F7</f>
        <v>1</v>
      </c>
      <c r="H56" s="84">
        <f t="shared" si="14"/>
        <v>0</v>
      </c>
      <c r="I56" s="32">
        <f t="shared" si="15"/>
        <v>0</v>
      </c>
    </row>
    <row r="57" spans="1:9" x14ac:dyDescent="0.35">
      <c r="B57" s="24" t="str">
        <f t="shared" si="11"/>
        <v>Salt - ملح</v>
      </c>
      <c r="C57" s="24" t="str">
        <f t="shared" si="11"/>
        <v>gm</v>
      </c>
      <c r="D57" s="24">
        <f t="shared" si="11"/>
        <v>400</v>
      </c>
      <c r="E57" s="27">
        <f t="shared" si="12"/>
        <v>0</v>
      </c>
      <c r="F57" s="68">
        <f t="shared" si="13"/>
        <v>0</v>
      </c>
      <c r="G57" s="28">
        <f>F8</f>
        <v>1</v>
      </c>
      <c r="H57" s="84">
        <f t="shared" si="14"/>
        <v>0</v>
      </c>
      <c r="I57" s="32">
        <f t="shared" si="15"/>
        <v>0</v>
      </c>
    </row>
    <row r="58" spans="1:9" x14ac:dyDescent="0.35">
      <c r="B58" s="24" t="str">
        <f t="shared" si="11"/>
        <v>Cardamom Whole - هيل حب</v>
      </c>
      <c r="C58" s="24" t="str">
        <f t="shared" si="11"/>
        <v>gm</v>
      </c>
      <c r="D58" s="24">
        <f t="shared" si="11"/>
        <v>20</v>
      </c>
      <c r="E58" s="27">
        <f t="shared" si="12"/>
        <v>0</v>
      </c>
      <c r="F58" s="68">
        <f t="shared" si="13"/>
        <v>0</v>
      </c>
      <c r="G58" s="28">
        <f>F9</f>
        <v>1</v>
      </c>
      <c r="H58" s="84">
        <f t="shared" si="14"/>
        <v>0</v>
      </c>
      <c r="I58" s="32">
        <f t="shared" si="15"/>
        <v>0</v>
      </c>
    </row>
    <row r="60" spans="1:9" ht="24" customHeight="1" x14ac:dyDescent="0.35"/>
  </sheetData>
  <mergeCells count="8">
    <mergeCell ref="B51:I51"/>
    <mergeCell ref="B52:I52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F9000"/>
    <pageSetUpPr fitToPage="1"/>
  </sheetPr>
  <dimension ref="A1:AB71"/>
  <sheetViews>
    <sheetView topLeftCell="H6" zoomScale="85" zoomScaleNormal="85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20.4375" style="10" customWidth="1"/>
    <col min="3" max="3" width="23.9375" style="10" customWidth="1"/>
    <col min="4" max="4" width="21.75" style="10" customWidth="1"/>
    <col min="5" max="5" width="16.1875" style="10" customWidth="1"/>
    <col min="6" max="6" width="19.0625" style="10" customWidth="1"/>
    <col min="7" max="7" width="16.812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16570</v>
      </c>
      <c r="F1" s="11" t="s">
        <v>55</v>
      </c>
      <c r="G1" s="15">
        <f>E1/C1</f>
        <v>0.55233333333333334</v>
      </c>
      <c r="H1" s="11" t="s">
        <v>56</v>
      </c>
      <c r="I1" s="16">
        <f>(G1/K1)</f>
        <v>0.55233333333333334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16570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92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103</v>
      </c>
      <c r="C5" s="25" t="s">
        <v>6</v>
      </c>
      <c r="D5" s="123">
        <v>7</v>
      </c>
      <c r="E5" s="27">
        <f>$G$1</f>
        <v>0.55233333333333334</v>
      </c>
      <c r="F5" s="28">
        <v>1</v>
      </c>
      <c r="G5" s="29">
        <f>D5*E5</f>
        <v>3.8663333333333334</v>
      </c>
      <c r="H5" s="208">
        <f>G5*F5</f>
        <v>3.8663333333333334</v>
      </c>
      <c r="I5" s="59">
        <f>VLOOKUP(B5,Ordering!$A$1:$J$45,6,FALSE)</f>
        <v>1</v>
      </c>
      <c r="J5" s="59">
        <f>VLOOKUP(B5,Ordering!$A$1:$J$45,10,FALSE)</f>
        <v>5.2</v>
      </c>
      <c r="K5" s="59">
        <f>(H5/I5)</f>
        <v>3.8663333333333334</v>
      </c>
      <c r="L5" s="31">
        <f>K5*J5</f>
        <v>20.104933333333335</v>
      </c>
    </row>
    <row r="6" spans="1:28" x14ac:dyDescent="0.35">
      <c r="B6" s="24" t="s">
        <v>13</v>
      </c>
      <c r="C6" s="25" t="s">
        <v>213</v>
      </c>
      <c r="D6" s="26">
        <v>10000</v>
      </c>
      <c r="E6" s="27">
        <f>$G$1</f>
        <v>0.55233333333333334</v>
      </c>
      <c r="F6" s="28">
        <v>1</v>
      </c>
      <c r="G6" s="29">
        <f>D6*E6</f>
        <v>5523.333333333333</v>
      </c>
      <c r="H6" s="209">
        <f>G6*F6</f>
        <v>5523.333333333333</v>
      </c>
      <c r="I6" s="59">
        <f>VLOOKUP(B6,Ordering!$A$1:$J$45,6,FALSE)</f>
        <v>1</v>
      </c>
      <c r="J6" s="59">
        <f>VLOOKUP(B6,Ordering!$A$1:$J$45,10,FALSE)</f>
        <v>4.2033333333333331</v>
      </c>
      <c r="K6" s="59">
        <f>(H6/I6)/1000</f>
        <v>5.5233333333333334</v>
      </c>
      <c r="L6" s="31">
        <f t="shared" ref="L6:L9" si="0">K6*J6</f>
        <v>23.21641111111111</v>
      </c>
    </row>
    <row r="7" spans="1:28" ht="25.5" x14ac:dyDescent="0.35">
      <c r="B7" s="24" t="s">
        <v>27</v>
      </c>
      <c r="C7" s="25" t="s">
        <v>17</v>
      </c>
      <c r="D7" s="26">
        <v>50</v>
      </c>
      <c r="E7" s="27">
        <f>$G$1</f>
        <v>0.55233333333333334</v>
      </c>
      <c r="F7" s="28">
        <v>1</v>
      </c>
      <c r="G7" s="29">
        <f>D7*E7</f>
        <v>27.616666666666667</v>
      </c>
      <c r="H7" s="210">
        <f>G7*F7</f>
        <v>27.616666666666667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1">(H7/I7)/1000</f>
        <v>2.7616666666666668E-2</v>
      </c>
      <c r="L7" s="31">
        <f t="shared" si="0"/>
        <v>0.85611666666666675</v>
      </c>
      <c r="V7" s="251"/>
    </row>
    <row r="8" spans="1:28" ht="13.15" x14ac:dyDescent="0.4">
      <c r="B8" s="24" t="s">
        <v>22</v>
      </c>
      <c r="C8" s="25" t="s">
        <v>17</v>
      </c>
      <c r="D8" s="26">
        <v>200</v>
      </c>
      <c r="E8" s="27">
        <f>$G$1</f>
        <v>0.55233333333333334</v>
      </c>
      <c r="F8" s="28">
        <v>1</v>
      </c>
      <c r="G8" s="29">
        <f>D8*E8</f>
        <v>110.46666666666667</v>
      </c>
      <c r="H8" s="210">
        <f>G8*F8</f>
        <v>110.46666666666667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0.11046666666666667</v>
      </c>
      <c r="L8" s="31">
        <f t="shared" si="0"/>
        <v>8.1745333333333337E-2</v>
      </c>
      <c r="V8" s="215" t="s">
        <v>17</v>
      </c>
      <c r="W8" s="216">
        <v>1</v>
      </c>
      <c r="X8" s="215" t="s">
        <v>250</v>
      </c>
      <c r="Y8" s="217">
        <f>(N16*W8)/N15</f>
        <v>3.1382764444444445E-3</v>
      </c>
    </row>
    <row r="9" spans="1:28" ht="25.5" x14ac:dyDescent="0.35">
      <c r="B9" s="24" t="s">
        <v>212</v>
      </c>
      <c r="C9" s="25" t="s">
        <v>17</v>
      </c>
      <c r="D9" s="34">
        <v>1550</v>
      </c>
      <c r="E9" s="35">
        <f>$G$1</f>
        <v>0.55233333333333334</v>
      </c>
      <c r="F9" s="36">
        <v>0.8</v>
      </c>
      <c r="G9" s="37">
        <f>D9*E9</f>
        <v>856.11666666666667</v>
      </c>
      <c r="H9" s="211">
        <f>G9*F9</f>
        <v>684.89333333333343</v>
      </c>
      <c r="I9" s="59">
        <f>VLOOKUP(B9,Ordering!$A$1:$J$45,6,FALSE)</f>
        <v>1</v>
      </c>
      <c r="J9" s="59">
        <f>VLOOKUP(B9,Ordering!$A$1:$J$45,10,FALSE)</f>
        <v>11.304</v>
      </c>
      <c r="K9" s="59">
        <f t="shared" si="1"/>
        <v>0.68489333333333346</v>
      </c>
      <c r="L9" s="31">
        <f t="shared" si="0"/>
        <v>7.7420342400000015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92</v>
      </c>
      <c r="N11" s="242"/>
    </row>
    <row r="12" spans="1:28" ht="13.5" customHeight="1" x14ac:dyDescent="0.35">
      <c r="B12" s="48" t="s">
        <v>71</v>
      </c>
      <c r="C12" s="49">
        <f>I1</f>
        <v>0.55233333333333334</v>
      </c>
      <c r="D12" s="50">
        <f>E1</f>
        <v>16570</v>
      </c>
      <c r="F12" s="18"/>
      <c r="I12" s="18"/>
      <c r="J12" s="18"/>
      <c r="K12" s="18"/>
      <c r="M12" s="48"/>
      <c r="N12" s="48" t="s">
        <v>70</v>
      </c>
    </row>
    <row r="13" spans="1:28" ht="13.5" customHeight="1" x14ac:dyDescent="0.35">
      <c r="B13" s="48" t="s">
        <v>73</v>
      </c>
      <c r="C13" s="51">
        <f>MIN($C$12,1)</f>
        <v>0.55233333333333334</v>
      </c>
      <c r="D13" s="50">
        <f>C13*$C$1</f>
        <v>16570</v>
      </c>
      <c r="E13" s="18"/>
      <c r="F13" s="18"/>
      <c r="I13" s="18"/>
      <c r="J13" s="18"/>
      <c r="K13" s="18"/>
      <c r="M13" s="48" t="s">
        <v>86</v>
      </c>
      <c r="N13" s="130">
        <f>$Z$1</f>
        <v>16570</v>
      </c>
    </row>
    <row r="14" spans="1:28" ht="14.25" customHeight="1" x14ac:dyDescent="0.35">
      <c r="B14" s="48" t="s">
        <v>75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87</v>
      </c>
      <c r="N14" s="129">
        <f>$AB$1</f>
        <v>0</v>
      </c>
    </row>
    <row r="15" spans="1:28" ht="14.25" customHeight="1" thickBot="1" x14ac:dyDescent="0.4">
      <c r="B15" s="48" t="s">
        <v>76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48" t="s">
        <v>88</v>
      </c>
      <c r="N15" s="52">
        <f>N13+N14</f>
        <v>16570</v>
      </c>
    </row>
    <row r="16" spans="1:28" ht="13.5" thickBot="1" x14ac:dyDescent="0.45">
      <c r="M16" s="213" t="s">
        <v>250</v>
      </c>
      <c r="N16" s="214">
        <f>SUM(L5:L9)</f>
        <v>52.001240684444447</v>
      </c>
    </row>
    <row r="40" spans="1:9" ht="17.649999999999999" x14ac:dyDescent="0.35">
      <c r="A40" s="134"/>
      <c r="B40" s="240" t="str">
        <f>"  رز السليق  1 / " &amp; COUNTIF($C$13:$C$15, "&gt;0")</f>
        <v xml:space="preserve">  رز السليق 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Saleq Rice  1 / " &amp; COUNTIF($C$13:$C$15, "&gt;0")</f>
        <v xml:space="preserve">  Saleq Rice  1 / 1</v>
      </c>
      <c r="C41" s="240"/>
      <c r="D41" s="240"/>
      <c r="E41" s="240"/>
      <c r="F41" s="240"/>
      <c r="G41" s="240"/>
      <c r="H41" s="240"/>
      <c r="I41" s="240"/>
    </row>
    <row r="42" spans="1:9" ht="51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x14ac:dyDescent="0.35">
      <c r="B43" s="24" t="str">
        <f t="shared" ref="B43:D47" si="2">B5</f>
        <v>Rice - رز امريكي</v>
      </c>
      <c r="C43" s="24" t="str">
        <f t="shared" si="2"/>
        <v>KG</v>
      </c>
      <c r="D43" s="24">
        <f t="shared" si="2"/>
        <v>7</v>
      </c>
      <c r="E43" s="57">
        <f>$C$13</f>
        <v>0.55233333333333334</v>
      </c>
      <c r="F43" s="58">
        <f>$D$13</f>
        <v>16570</v>
      </c>
      <c r="G43" s="28">
        <f>F5</f>
        <v>1</v>
      </c>
      <c r="H43" s="83">
        <f>D43*E43</f>
        <v>3.8663333333333334</v>
      </c>
      <c r="I43" s="32">
        <f>H43*G43</f>
        <v>3.8663333333333334</v>
      </c>
    </row>
    <row r="44" spans="1:9" x14ac:dyDescent="0.35">
      <c r="B44" s="24" t="str">
        <f t="shared" si="2"/>
        <v>Milk - حليب</v>
      </c>
      <c r="C44" s="24" t="str">
        <f t="shared" si="2"/>
        <v>ml</v>
      </c>
      <c r="D44" s="24">
        <f t="shared" si="2"/>
        <v>10000</v>
      </c>
      <c r="E44" s="57">
        <f>$C$13</f>
        <v>0.55233333333333334</v>
      </c>
      <c r="F44" s="58">
        <f>$D$13</f>
        <v>16570</v>
      </c>
      <c r="G44" s="28">
        <f>F6</f>
        <v>1</v>
      </c>
      <c r="H44" s="83">
        <f>D44*E44</f>
        <v>5523.333333333333</v>
      </c>
      <c r="I44" s="32">
        <f>H44*G44</f>
        <v>5523.333333333333</v>
      </c>
    </row>
    <row r="45" spans="1:9" ht="14" customHeight="1" x14ac:dyDescent="0.35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50</v>
      </c>
      <c r="E45" s="57">
        <f>$C$13</f>
        <v>0.55233333333333334</v>
      </c>
      <c r="F45" s="58">
        <f>$D$13</f>
        <v>16570</v>
      </c>
      <c r="G45" s="28">
        <f>F7</f>
        <v>1</v>
      </c>
      <c r="H45" s="83">
        <f>D45*E45</f>
        <v>27.616666666666667</v>
      </c>
      <c r="I45" s="32">
        <f>H45*G45</f>
        <v>27.616666666666667</v>
      </c>
    </row>
    <row r="46" spans="1:9" ht="13.25" customHeight="1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200</v>
      </c>
      <c r="E46" s="57">
        <f>$C$13</f>
        <v>0.55233333333333334</v>
      </c>
      <c r="F46" s="58">
        <f>$D$13</f>
        <v>16570</v>
      </c>
      <c r="G46" s="28">
        <f>F8</f>
        <v>1</v>
      </c>
      <c r="H46" s="83">
        <f>D46*E46</f>
        <v>110.46666666666667</v>
      </c>
      <c r="I46" s="32">
        <f>H46*G46</f>
        <v>110.46666666666667</v>
      </c>
    </row>
    <row r="47" spans="1:9" ht="25.5" x14ac:dyDescent="0.35">
      <c r="B47" s="24" t="str">
        <f t="shared" si="2"/>
        <v>Fresh Cream (Qishta)- قشطة</v>
      </c>
      <c r="C47" s="24" t="str">
        <f t="shared" si="2"/>
        <v>gm</v>
      </c>
      <c r="D47" s="24">
        <f t="shared" si="2"/>
        <v>1550</v>
      </c>
      <c r="E47" s="57">
        <f>$C$13</f>
        <v>0.55233333333333334</v>
      </c>
      <c r="F47" s="58">
        <f>$D$13</f>
        <v>16570</v>
      </c>
      <c r="G47" s="28">
        <f>F9</f>
        <v>0.8</v>
      </c>
      <c r="H47" s="83">
        <f>D47*E47</f>
        <v>856.11666666666667</v>
      </c>
      <c r="I47" s="32">
        <f>H47*G47</f>
        <v>684.89333333333343</v>
      </c>
    </row>
    <row r="52" spans="2:9" ht="17.649999999999999" x14ac:dyDescent="0.35">
      <c r="B52" s="240" t="str">
        <f>"  رز السليق  2 / " &amp; COUNTIF($C$13:$C$15, "&gt;0")</f>
        <v xml:space="preserve">  رز السليق  2 / 1</v>
      </c>
      <c r="C52" s="240"/>
      <c r="D52" s="240"/>
      <c r="E52" s="240"/>
      <c r="F52" s="240"/>
      <c r="G52" s="240"/>
      <c r="H52" s="240"/>
      <c r="I52" s="240"/>
    </row>
    <row r="53" spans="2:9" ht="17.649999999999999" x14ac:dyDescent="0.35">
      <c r="B53" s="240" t="str">
        <f>"  Saleq Rice  2 / " &amp; COUNTIF($C$13:$C$15, "&gt;0")</f>
        <v xml:space="preserve">  Saleq Rice  2 / 1</v>
      </c>
      <c r="C53" s="240"/>
      <c r="D53" s="240"/>
      <c r="E53" s="240"/>
      <c r="F53" s="240"/>
      <c r="G53" s="240"/>
      <c r="H53" s="240"/>
      <c r="I53" s="240"/>
    </row>
    <row r="54" spans="2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104" t="s">
        <v>65</v>
      </c>
      <c r="I54" s="23" t="s">
        <v>79</v>
      </c>
    </row>
    <row r="55" spans="2:9" x14ac:dyDescent="0.35">
      <c r="B55" s="24" t="str">
        <f t="shared" ref="B55:D59" si="3">B5</f>
        <v>Rice - رز امريكي</v>
      </c>
      <c r="C55" s="24" t="str">
        <f t="shared" si="3"/>
        <v>KG</v>
      </c>
      <c r="D55" s="24">
        <f t="shared" si="3"/>
        <v>7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si="3"/>
        <v>Milk - حليب</v>
      </c>
      <c r="C56" s="24" t="str">
        <f t="shared" si="3"/>
        <v>ml</v>
      </c>
      <c r="D56" s="24">
        <f t="shared" si="3"/>
        <v>10000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2:9" ht="15" customHeight="1" x14ac:dyDescent="0.35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50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2:9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200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2:9" ht="11.75" customHeight="1" x14ac:dyDescent="0.35">
      <c r="B59" s="24" t="str">
        <f t="shared" si="3"/>
        <v>Fresh Cream (Qishta)- قشطة</v>
      </c>
      <c r="C59" s="24" t="str">
        <f t="shared" si="3"/>
        <v>gm</v>
      </c>
      <c r="D59" s="24">
        <f t="shared" si="3"/>
        <v>1550</v>
      </c>
      <c r="E59" s="27">
        <f>$C$14</f>
        <v>0</v>
      </c>
      <c r="F59" s="58">
        <f>$D$14</f>
        <v>0</v>
      </c>
      <c r="G59" s="28">
        <f>F9</f>
        <v>0.8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  <c r="H60" s="103"/>
    </row>
    <row r="61" spans="2:9" x14ac:dyDescent="0.35">
      <c r="B61" s="18"/>
      <c r="E61" s="18"/>
      <c r="F61" s="18"/>
      <c r="H61" s="103"/>
    </row>
    <row r="62" spans="2:9" ht="13.5" x14ac:dyDescent="0.35">
      <c r="B62" s="18"/>
      <c r="C62" s="1"/>
      <c r="D62" s="105"/>
      <c r="E62" s="106"/>
      <c r="F62" s="18"/>
      <c r="H62" s="103"/>
    </row>
    <row r="63" spans="2:9" x14ac:dyDescent="0.35">
      <c r="B63" s="18"/>
      <c r="E63" s="18"/>
      <c r="F63" s="18"/>
      <c r="H63" s="103"/>
    </row>
    <row r="64" spans="2:9" ht="17.649999999999999" x14ac:dyDescent="0.35">
      <c r="B64" s="240" t="str">
        <f>"  رز السليق  3 / " &amp; COUNTIF($C$13:$C$15, "&gt;0")</f>
        <v xml:space="preserve">  رز السليق  3 / 1</v>
      </c>
      <c r="C64" s="240"/>
      <c r="D64" s="240"/>
      <c r="E64" s="240"/>
      <c r="F64" s="240"/>
      <c r="G64" s="240"/>
      <c r="H64" s="240"/>
      <c r="I64" s="240"/>
    </row>
    <row r="65" spans="2:9" ht="17.649999999999999" x14ac:dyDescent="0.35">
      <c r="B65" s="240" t="str">
        <f>"  Saleq Rice  3 / " &amp; COUNTIF($C$13:$C$15, "&gt;0")</f>
        <v xml:space="preserve">  Saleq Rice  3 / 1</v>
      </c>
      <c r="C65" s="240"/>
      <c r="D65" s="240"/>
      <c r="E65" s="240"/>
      <c r="F65" s="240"/>
      <c r="G65" s="240"/>
      <c r="H65" s="240"/>
      <c r="I65" s="240"/>
    </row>
    <row r="66" spans="2:9" ht="59" customHeight="1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104" t="s">
        <v>65</v>
      </c>
      <c r="I66" s="23" t="s">
        <v>66</v>
      </c>
    </row>
    <row r="67" spans="2:9" x14ac:dyDescent="0.35">
      <c r="B67" s="24" t="str">
        <f t="shared" ref="B67:D71" si="4">B5</f>
        <v>Rice - رز امريكي</v>
      </c>
      <c r="C67" s="24" t="str">
        <f t="shared" si="4"/>
        <v>KG</v>
      </c>
      <c r="D67" s="24">
        <f t="shared" si="4"/>
        <v>7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Milk - حليب</v>
      </c>
      <c r="C68" s="24" t="str">
        <f t="shared" si="4"/>
        <v>ml</v>
      </c>
      <c r="D68" s="24">
        <f t="shared" si="4"/>
        <v>10000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ht="18.5" customHeight="1" x14ac:dyDescent="0.35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200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5.5" x14ac:dyDescent="0.35">
      <c r="B71" s="24" t="str">
        <f t="shared" si="4"/>
        <v>Fresh Cream (Qishta)- قشطة</v>
      </c>
      <c r="C71" s="24" t="str">
        <f t="shared" si="4"/>
        <v>gm</v>
      </c>
      <c r="D71" s="24">
        <f t="shared" si="4"/>
        <v>1550</v>
      </c>
      <c r="E71" s="27">
        <f>$C$15</f>
        <v>0</v>
      </c>
      <c r="F71" s="58">
        <f>$D$15</f>
        <v>0</v>
      </c>
      <c r="G71" s="28">
        <f>F9</f>
        <v>0.8</v>
      </c>
      <c r="H71" s="84">
        <f>D71*E71</f>
        <v>0</v>
      </c>
      <c r="I71" s="32">
        <f>H71*G71</f>
        <v>0</v>
      </c>
    </row>
  </sheetData>
  <mergeCells count="9">
    <mergeCell ref="B65:I65"/>
    <mergeCell ref="B53:I53"/>
    <mergeCell ref="A2:A3"/>
    <mergeCell ref="B64:I64"/>
    <mergeCell ref="M11:N11"/>
    <mergeCell ref="B2:H3"/>
    <mergeCell ref="B40:I40"/>
    <mergeCell ref="B41:I41"/>
    <mergeCell ref="B52:I52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F9000"/>
    <pageSetUpPr fitToPage="1"/>
  </sheetPr>
  <dimension ref="A1:AB71"/>
  <sheetViews>
    <sheetView topLeftCell="J2" zoomScale="70" zoomScaleNormal="70" workbookViewId="0">
      <selection activeCell="J5" sqref="I5:J9"/>
    </sheetView>
  </sheetViews>
  <sheetFormatPr defaultColWidth="12.5" defaultRowHeight="12.75" x14ac:dyDescent="0.35"/>
  <cols>
    <col min="1" max="1" width="8.0625" style="10" customWidth="1"/>
    <col min="2" max="2" width="20.4375" style="10" customWidth="1"/>
    <col min="3" max="3" width="23.9375" style="10" customWidth="1"/>
    <col min="4" max="4" width="21.75" style="10" customWidth="1"/>
    <col min="5" max="5" width="16.1875" style="10" customWidth="1"/>
    <col min="6" max="6" width="19.0625" style="10" customWidth="1"/>
    <col min="7" max="7" width="16.8125" style="10" customWidth="1"/>
    <col min="8" max="8" width="17.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18930</v>
      </c>
      <c r="F1" s="11" t="s">
        <v>55</v>
      </c>
      <c r="G1" s="15">
        <f>E1/C1</f>
        <v>0.63100000000000001</v>
      </c>
      <c r="H1" s="11" t="s">
        <v>56</v>
      </c>
      <c r="I1" s="16">
        <f>(G1/K1)</f>
        <v>0.63100000000000001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18930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85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07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123">
        <v>13</v>
      </c>
      <c r="E5" s="27">
        <f t="shared" ref="E5:E10" si="0">$G$1</f>
        <v>0.63100000000000001</v>
      </c>
      <c r="F5" s="28">
        <v>1</v>
      </c>
      <c r="G5" s="29">
        <f>D5*E5</f>
        <v>8.2029999999999994</v>
      </c>
      <c r="H5" s="208">
        <f>G5*F5</f>
        <v>8.2029999999999994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8.2029999999999994</v>
      </c>
      <c r="L5" s="25">
        <f>K5*J5</f>
        <v>47.167249999999996</v>
      </c>
    </row>
    <row r="6" spans="1:28" x14ac:dyDescent="0.35">
      <c r="B6" s="24" t="s">
        <v>11</v>
      </c>
      <c r="C6" s="25" t="s">
        <v>213</v>
      </c>
      <c r="D6" s="26">
        <v>25000</v>
      </c>
      <c r="E6" s="27">
        <f t="shared" si="0"/>
        <v>0.63100000000000001</v>
      </c>
      <c r="F6" s="28">
        <v>1</v>
      </c>
      <c r="G6" s="29"/>
      <c r="H6" s="208"/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0</v>
      </c>
      <c r="L6" s="25">
        <f t="shared" ref="L6:L9" si="1">K6*J6</f>
        <v>0</v>
      </c>
    </row>
    <row r="7" spans="1:28" x14ac:dyDescent="0.35">
      <c r="B7" s="24" t="s">
        <v>49</v>
      </c>
      <c r="C7" s="25" t="s">
        <v>17</v>
      </c>
      <c r="D7" s="26">
        <v>720</v>
      </c>
      <c r="E7" s="27">
        <f t="shared" si="0"/>
        <v>0.63100000000000001</v>
      </c>
      <c r="F7" s="28">
        <v>1</v>
      </c>
      <c r="G7" s="29">
        <f>D7*E7</f>
        <v>454.32</v>
      </c>
      <c r="H7" s="209">
        <f>G7*F7</f>
        <v>454.32</v>
      </c>
      <c r="I7" s="12">
        <f>VLOOKUP(B7,Ordering!$A$1:$J$45,6,FALSE)</f>
        <v>0.9</v>
      </c>
      <c r="J7" s="12">
        <f>VLOOKUP(B7,Ordering!$A$1:$J$45,10,FALSE)</f>
        <v>3</v>
      </c>
      <c r="K7" s="12">
        <f t="shared" ref="K7:K9" si="2">(H7/I7)/1000</f>
        <v>0.50479999999999992</v>
      </c>
      <c r="L7" s="25">
        <f t="shared" si="1"/>
        <v>1.5143999999999997</v>
      </c>
    </row>
    <row r="8" spans="1:28" ht="25.5" x14ac:dyDescent="0.35">
      <c r="B8" s="24" t="s">
        <v>27</v>
      </c>
      <c r="C8" s="25" t="s">
        <v>17</v>
      </c>
      <c r="D8" s="26">
        <v>150</v>
      </c>
      <c r="E8" s="27">
        <f t="shared" si="0"/>
        <v>0.63100000000000001</v>
      </c>
      <c r="F8" s="28">
        <v>0.4</v>
      </c>
      <c r="G8" s="29">
        <f>D8*E8</f>
        <v>94.65</v>
      </c>
      <c r="H8" s="210">
        <f>G8*F8</f>
        <v>37.860000000000007</v>
      </c>
      <c r="I8" s="12">
        <f>VLOOKUP(B8,Ordering!$A$1:$J$45,6,FALSE)</f>
        <v>1</v>
      </c>
      <c r="J8" s="12">
        <f>VLOOKUP(B8,Ordering!$A$1:$J$45,10,FALSE)</f>
        <v>31</v>
      </c>
      <c r="K8" s="12">
        <f t="shared" si="2"/>
        <v>3.7860000000000005E-2</v>
      </c>
      <c r="L8" s="25">
        <f t="shared" si="1"/>
        <v>1.1736600000000001</v>
      </c>
    </row>
    <row r="9" spans="1:28" x14ac:dyDescent="0.35">
      <c r="B9" s="24" t="s">
        <v>22</v>
      </c>
      <c r="C9" s="25" t="s">
        <v>17</v>
      </c>
      <c r="D9" s="26">
        <v>400</v>
      </c>
      <c r="E9" s="27">
        <f t="shared" si="0"/>
        <v>0.63100000000000001</v>
      </c>
      <c r="F9" s="28">
        <v>1</v>
      </c>
      <c r="G9" s="29">
        <f>D9*E9</f>
        <v>252.4</v>
      </c>
      <c r="H9" s="210">
        <f>G9*F9</f>
        <v>252.4</v>
      </c>
      <c r="I9" s="12">
        <f>VLOOKUP(B9,Ordering!$A$1:$J$45,6,FALSE)</f>
        <v>1</v>
      </c>
      <c r="J9" s="12">
        <f>VLOOKUP(B9,Ordering!$A$1:$J$45,10,FALSE)</f>
        <v>0.74</v>
      </c>
      <c r="K9" s="12">
        <f t="shared" si="2"/>
        <v>0.25240000000000001</v>
      </c>
      <c r="L9" s="25">
        <f t="shared" si="1"/>
        <v>0.186776</v>
      </c>
    </row>
    <row r="10" spans="1:28" x14ac:dyDescent="0.35">
      <c r="B10" s="24" t="s">
        <v>16</v>
      </c>
      <c r="C10" s="33" t="s">
        <v>17</v>
      </c>
      <c r="D10" s="34">
        <v>150</v>
      </c>
      <c r="E10" s="35">
        <f t="shared" si="0"/>
        <v>0.63100000000000001</v>
      </c>
      <c r="F10" s="36">
        <v>1</v>
      </c>
      <c r="G10" s="37">
        <f>D10*E10</f>
        <v>94.65</v>
      </c>
      <c r="H10" s="211">
        <f>G10*F10</f>
        <v>94.65</v>
      </c>
      <c r="I10" s="12">
        <f>VLOOKUP(B10,Ordering!$A$1:$J$45,6,FALSE)</f>
        <v>1</v>
      </c>
      <c r="J10" s="12">
        <f>VLOOKUP(B10,Ordering!$A$1:$J$45,10,FALSE)</f>
        <v>30</v>
      </c>
      <c r="K10" s="12">
        <f t="shared" ref="K10" si="3">(H10/I10)/1000</f>
        <v>9.4650000000000012E-2</v>
      </c>
      <c r="L10" s="25">
        <f t="shared" ref="L10" si="4">K10*J10</f>
        <v>2.8395000000000001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85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/>
      <c r="N12" s="48" t="s">
        <v>70</v>
      </c>
    </row>
    <row r="13" spans="1:28" ht="13.5" customHeight="1" x14ac:dyDescent="0.35">
      <c r="B13" s="48" t="s">
        <v>71</v>
      </c>
      <c r="C13" s="49">
        <f>I1</f>
        <v>0.63100000000000001</v>
      </c>
      <c r="D13" s="50">
        <f>E1</f>
        <v>18930</v>
      </c>
      <c r="F13" s="18"/>
      <c r="I13" s="18"/>
      <c r="J13" s="18"/>
      <c r="K13" s="18"/>
      <c r="M13" s="48" t="s">
        <v>86</v>
      </c>
      <c r="N13" s="130">
        <f>$Z$1</f>
        <v>18930</v>
      </c>
    </row>
    <row r="14" spans="1:28" ht="13.5" customHeight="1" x14ac:dyDescent="0.35">
      <c r="B14" s="48" t="s">
        <v>73</v>
      </c>
      <c r="C14" s="51">
        <f>MIN($C$13,1)</f>
        <v>0.63100000000000001</v>
      </c>
      <c r="D14" s="50">
        <f>C14*$C$1</f>
        <v>18930</v>
      </c>
      <c r="E14" s="18"/>
      <c r="F14" s="18"/>
      <c r="I14" s="18"/>
      <c r="J14" s="18"/>
      <c r="K14" s="18"/>
      <c r="M14" s="48" t="s">
        <v>87</v>
      </c>
      <c r="N14" s="129">
        <f>$AB$1</f>
        <v>0</v>
      </c>
    </row>
    <row r="15" spans="1:28" ht="14.25" customHeight="1" x14ac:dyDescent="0.35">
      <c r="B15" s="48" t="s">
        <v>75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88</v>
      </c>
      <c r="N15" s="54">
        <f>N13+N14</f>
        <v>18930</v>
      </c>
    </row>
    <row r="16" spans="1:28" ht="14.25" customHeight="1" x14ac:dyDescent="0.35">
      <c r="B16" s="48" t="s">
        <v>76</v>
      </c>
      <c r="C16" s="51">
        <f>MIN(MAX($C$13-C14-C15,0),1)</f>
        <v>0</v>
      </c>
      <c r="D16" s="50">
        <f>C16*$C$1</f>
        <v>0</v>
      </c>
      <c r="E16" s="18"/>
      <c r="F16" s="18"/>
      <c r="M16" s="41"/>
      <c r="N16" s="41"/>
    </row>
    <row r="21" spans="14:15" ht="13.5" customHeight="1" x14ac:dyDescent="0.35">
      <c r="N21" s="245"/>
      <c r="O21" s="245"/>
    </row>
    <row r="40" spans="1:9" ht="17.649999999999999" x14ac:dyDescent="0.35">
      <c r="A40" s="134"/>
      <c r="B40" s="240" t="str">
        <f>"  رز  المندى 1 / " &amp; COUNTIF($C$14:$C$16, "&gt;0")</f>
        <v xml:space="preserve">  رز  المندى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Mandi Rice  1 / " &amp; COUNTIF($C$14:$C$16, "&gt;0")</f>
        <v xml:space="preserve">  Mandi Rice  1 / 1</v>
      </c>
      <c r="C41" s="240"/>
      <c r="D41" s="240"/>
      <c r="E41" s="240"/>
      <c r="F41" s="240"/>
      <c r="G41" s="240"/>
      <c r="H41" s="240"/>
      <c r="I41" s="240"/>
    </row>
    <row r="42" spans="1:9" ht="40.5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ht="18" customHeight="1" x14ac:dyDescent="0.35">
      <c r="B43" s="24" t="str">
        <f>B5</f>
        <v>Rice - رز</v>
      </c>
      <c r="C43" s="24" t="str">
        <f>C5</f>
        <v>KG</v>
      </c>
      <c r="D43" s="24">
        <f>D5</f>
        <v>13</v>
      </c>
      <c r="E43" s="57">
        <f>$C$14</f>
        <v>0.63100000000000001</v>
      </c>
      <c r="F43" s="58">
        <f>$D$14</f>
        <v>18930</v>
      </c>
      <c r="G43" s="28">
        <f>F5</f>
        <v>1</v>
      </c>
      <c r="H43" s="83">
        <f>D43*E43</f>
        <v>8.2029999999999994</v>
      </c>
      <c r="I43" s="32">
        <f>H43*G43</f>
        <v>8.2029999999999994</v>
      </c>
    </row>
    <row r="44" spans="1:9" x14ac:dyDescent="0.35">
      <c r="B44" s="24" t="str">
        <f t="shared" ref="B44:D47" si="5">B7</f>
        <v>Onion - بصل</v>
      </c>
      <c r="C44" s="24" t="str">
        <f t="shared" si="5"/>
        <v>gm</v>
      </c>
      <c r="D44" s="24">
        <f t="shared" si="5"/>
        <v>720</v>
      </c>
      <c r="E44" s="57">
        <f>$C$14</f>
        <v>0.63100000000000001</v>
      </c>
      <c r="F44" s="58">
        <f>$D$14</f>
        <v>18930</v>
      </c>
      <c r="G44" s="28">
        <f>F7</f>
        <v>1</v>
      </c>
      <c r="H44" s="83">
        <f>D44*E44</f>
        <v>454.32</v>
      </c>
      <c r="I44" s="32">
        <f>H44*G44</f>
        <v>454.32</v>
      </c>
    </row>
    <row r="45" spans="1:9" ht="25.5" x14ac:dyDescent="0.35">
      <c r="B45" s="24" t="str">
        <f t="shared" si="5"/>
        <v>Cardamom Whole - هيل حب</v>
      </c>
      <c r="C45" s="24" t="str">
        <f t="shared" si="5"/>
        <v>gm</v>
      </c>
      <c r="D45" s="24">
        <f t="shared" si="5"/>
        <v>150</v>
      </c>
      <c r="E45" s="57">
        <f>$C$14</f>
        <v>0.63100000000000001</v>
      </c>
      <c r="F45" s="58">
        <f>$D$14</f>
        <v>18930</v>
      </c>
      <c r="G45" s="28">
        <f>F8</f>
        <v>0.4</v>
      </c>
      <c r="H45" s="83">
        <f>D45*E45</f>
        <v>94.65</v>
      </c>
      <c r="I45" s="32">
        <f>H45*G45</f>
        <v>37.860000000000007</v>
      </c>
    </row>
    <row r="46" spans="1:9" x14ac:dyDescent="0.35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7">
        <f>$C$14</f>
        <v>0.63100000000000001</v>
      </c>
      <c r="F46" s="58">
        <f>$D$14</f>
        <v>18930</v>
      </c>
      <c r="G46" s="28">
        <f>F9</f>
        <v>1</v>
      </c>
      <c r="H46" s="83">
        <f>D46*E46</f>
        <v>252.4</v>
      </c>
      <c r="I46" s="32">
        <f>H46*G46</f>
        <v>252.4</v>
      </c>
    </row>
    <row r="47" spans="1:9" ht="14" customHeight="1" x14ac:dyDescent="0.35">
      <c r="B47" s="24" t="str">
        <f t="shared" si="5"/>
        <v>Butter - زبدة</v>
      </c>
      <c r="C47" s="24" t="str">
        <f t="shared" si="5"/>
        <v>gm</v>
      </c>
      <c r="D47" s="24">
        <f t="shared" si="5"/>
        <v>150</v>
      </c>
      <c r="E47" s="57">
        <f>$C$14</f>
        <v>0.63100000000000001</v>
      </c>
      <c r="F47" s="58">
        <f>$D$14</f>
        <v>18930</v>
      </c>
      <c r="G47" s="28">
        <f>F10</f>
        <v>1</v>
      </c>
      <c r="H47" s="83">
        <f>D47*E47</f>
        <v>94.65</v>
      </c>
      <c r="I47" s="32">
        <f>H47*G47</f>
        <v>94.65</v>
      </c>
    </row>
    <row r="52" spans="2:9" ht="17.649999999999999" x14ac:dyDescent="0.35">
      <c r="B52" s="240" t="str">
        <f>"  رز  المندى 2 / " &amp; COUNTIF($C$14:$C$16, "&gt;0")</f>
        <v xml:space="preserve">  رز  المندى 2 / 1</v>
      </c>
      <c r="C52" s="240"/>
      <c r="D52" s="240"/>
      <c r="E52" s="240"/>
      <c r="F52" s="240"/>
      <c r="G52" s="240"/>
      <c r="H52" s="240"/>
      <c r="I52" s="240"/>
    </row>
    <row r="53" spans="2:9" ht="17.649999999999999" x14ac:dyDescent="0.35">
      <c r="B53" s="240" t="str">
        <f>"  Mandi Rice  2 / " &amp; COUNTIF($C$14:$C$16, "&gt;0")</f>
        <v xml:space="preserve">  Mandi Rice  2 / 1</v>
      </c>
      <c r="C53" s="240"/>
      <c r="D53" s="240"/>
      <c r="E53" s="240"/>
      <c r="F53" s="240"/>
      <c r="G53" s="240"/>
      <c r="H53" s="240"/>
      <c r="I53" s="240"/>
    </row>
    <row r="54" spans="2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23" t="s">
        <v>79</v>
      </c>
    </row>
    <row r="55" spans="2:9" x14ac:dyDescent="0.35">
      <c r="B55" s="24" t="str">
        <f>B5</f>
        <v>Rice - رز</v>
      </c>
      <c r="C55" s="24" t="str">
        <f>C5</f>
        <v>KG</v>
      </c>
      <c r="D55" s="24">
        <f>D5</f>
        <v>13</v>
      </c>
      <c r="E55" s="27">
        <f>$C$15</f>
        <v>0</v>
      </c>
      <c r="F55" s="58">
        <f>$D$15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ref="B56:D59" si="6">B7</f>
        <v>Onion - بصل</v>
      </c>
      <c r="C56" s="24" t="str">
        <f t="shared" si="6"/>
        <v>gm</v>
      </c>
      <c r="D56" s="24">
        <f t="shared" si="6"/>
        <v>720</v>
      </c>
      <c r="E56" s="27">
        <f>$C$15</f>
        <v>0</v>
      </c>
      <c r="F56" s="58">
        <f>$D$15</f>
        <v>0</v>
      </c>
      <c r="G56" s="28">
        <f>F7</f>
        <v>1</v>
      </c>
      <c r="H56" s="84">
        <f>D56*E56</f>
        <v>0</v>
      </c>
      <c r="I56" s="32">
        <f>H56*G56</f>
        <v>0</v>
      </c>
    </row>
    <row r="57" spans="2:9" ht="25.5" x14ac:dyDescent="0.35">
      <c r="B57" s="24" t="str">
        <f t="shared" si="6"/>
        <v>Cardamom Whole - هيل حب</v>
      </c>
      <c r="C57" s="24" t="str">
        <f t="shared" si="6"/>
        <v>gm</v>
      </c>
      <c r="D57" s="24">
        <f t="shared" si="6"/>
        <v>150</v>
      </c>
      <c r="E57" s="27">
        <f>$C$15</f>
        <v>0</v>
      </c>
      <c r="F57" s="58">
        <f>$D$15</f>
        <v>0</v>
      </c>
      <c r="G57" s="28">
        <f>F8</f>
        <v>0.4</v>
      </c>
      <c r="H57" s="84">
        <f>D57*E57</f>
        <v>0</v>
      </c>
      <c r="I57" s="32">
        <f>H57*G57</f>
        <v>0</v>
      </c>
    </row>
    <row r="58" spans="2:9" ht="24" customHeight="1" x14ac:dyDescent="0.35">
      <c r="B58" s="24" t="str">
        <f t="shared" si="6"/>
        <v>Salt - ملح</v>
      </c>
      <c r="C58" s="24" t="str">
        <f t="shared" si="6"/>
        <v>gm</v>
      </c>
      <c r="D58" s="24">
        <f t="shared" si="6"/>
        <v>400</v>
      </c>
      <c r="E58" s="27">
        <f>$C$15</f>
        <v>0</v>
      </c>
      <c r="F58" s="58">
        <f>$D$15</f>
        <v>0</v>
      </c>
      <c r="G58" s="28">
        <f>F9</f>
        <v>1</v>
      </c>
      <c r="H58" s="84">
        <f>D58*E58</f>
        <v>0</v>
      </c>
      <c r="I58" s="32">
        <f>H58*G58</f>
        <v>0</v>
      </c>
    </row>
    <row r="59" spans="2:9" ht="28.5" customHeight="1" x14ac:dyDescent="0.35">
      <c r="B59" s="24" t="str">
        <f t="shared" si="6"/>
        <v>Butter - زبدة</v>
      </c>
      <c r="C59" s="24" t="str">
        <f t="shared" si="6"/>
        <v>gm</v>
      </c>
      <c r="D59" s="24">
        <f t="shared" si="6"/>
        <v>150</v>
      </c>
      <c r="E59" s="27">
        <f>$C$15</f>
        <v>0</v>
      </c>
      <c r="F59" s="58">
        <f>$D$15</f>
        <v>0</v>
      </c>
      <c r="G59" s="28">
        <f>F10</f>
        <v>1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</row>
    <row r="61" spans="2:9" x14ac:dyDescent="0.35">
      <c r="B61" s="60"/>
      <c r="C61" s="60"/>
      <c r="D61" s="60"/>
      <c r="E61" s="61"/>
      <c r="F61" s="62"/>
      <c r="G61" s="18"/>
      <c r="H61" s="63"/>
    </row>
    <row r="62" spans="2:9" x14ac:dyDescent="0.35">
      <c r="B62" s="18"/>
      <c r="E62" s="18"/>
      <c r="F62" s="18"/>
    </row>
    <row r="63" spans="2:9" x14ac:dyDescent="0.35">
      <c r="B63" s="91"/>
      <c r="C63" s="85"/>
      <c r="D63" s="85"/>
      <c r="E63" s="91"/>
      <c r="F63" s="91"/>
      <c r="G63" s="85"/>
      <c r="H63" s="85"/>
      <c r="I63" s="85"/>
    </row>
    <row r="64" spans="2:9" ht="17.649999999999999" x14ac:dyDescent="0.35">
      <c r="B64" s="240" t="str">
        <f>"  رز  المندى 3 / " &amp; COUNTIF($C$14:$C$16, "&gt;0")</f>
        <v xml:space="preserve">  رز  المندى 3 / 1</v>
      </c>
      <c r="C64" s="240"/>
      <c r="D64" s="240"/>
      <c r="E64" s="240"/>
      <c r="F64" s="240"/>
      <c r="G64" s="240"/>
      <c r="H64" s="240"/>
      <c r="I64" s="240"/>
    </row>
    <row r="65" spans="2:9" ht="17.649999999999999" x14ac:dyDescent="0.35">
      <c r="B65" s="240" t="str">
        <f>"  Mandi Rice  3 / " &amp; COUNTIF($C$14:$C$16, "&gt;0")</f>
        <v xml:space="preserve">  Mandi Rice  3 / 1</v>
      </c>
      <c r="C65" s="240"/>
      <c r="D65" s="240"/>
      <c r="E65" s="240"/>
      <c r="F65" s="240"/>
      <c r="G65" s="240"/>
      <c r="H65" s="240"/>
      <c r="I65" s="240"/>
    </row>
    <row r="66" spans="2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22" t="s">
        <v>65</v>
      </c>
      <c r="I66" s="23" t="s">
        <v>66</v>
      </c>
    </row>
    <row r="67" spans="2:9" x14ac:dyDescent="0.35">
      <c r="B67" s="24" t="str">
        <f>B5</f>
        <v>Rice - رز</v>
      </c>
      <c r="C67" s="24" t="str">
        <f>C5</f>
        <v>KG</v>
      </c>
      <c r="D67" s="24">
        <f>D5</f>
        <v>13</v>
      </c>
      <c r="E67" s="27">
        <f>$C$16</f>
        <v>0</v>
      </c>
      <c r="F67" s="58">
        <f>$D$16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ref="B68:D71" si="7">B7</f>
        <v>Onion - بصل</v>
      </c>
      <c r="C68" s="24" t="str">
        <f t="shared" si="7"/>
        <v>gm</v>
      </c>
      <c r="D68" s="24">
        <f t="shared" si="7"/>
        <v>720</v>
      </c>
      <c r="E68" s="27">
        <f>$C$16</f>
        <v>0</v>
      </c>
      <c r="F68" s="58">
        <f>$D$16</f>
        <v>0</v>
      </c>
      <c r="G68" s="28">
        <f>F7</f>
        <v>1</v>
      </c>
      <c r="H68" s="84">
        <f>D68*E68</f>
        <v>0</v>
      </c>
      <c r="I68" s="32">
        <f>H68*G68</f>
        <v>0</v>
      </c>
    </row>
    <row r="69" spans="2:9" ht="25.5" x14ac:dyDescent="0.35">
      <c r="B69" s="24" t="str">
        <f t="shared" si="7"/>
        <v>Cardamom Whole - هيل حب</v>
      </c>
      <c r="C69" s="24" t="str">
        <f t="shared" si="7"/>
        <v>gm</v>
      </c>
      <c r="D69" s="24">
        <f t="shared" si="7"/>
        <v>150</v>
      </c>
      <c r="E69" s="27">
        <f>$C$16</f>
        <v>0</v>
      </c>
      <c r="F69" s="58">
        <f>$D$16</f>
        <v>0</v>
      </c>
      <c r="G69" s="28">
        <f>F8</f>
        <v>0.4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7"/>
        <v>Salt - ملح</v>
      </c>
      <c r="C70" s="24" t="str">
        <f t="shared" si="7"/>
        <v>gm</v>
      </c>
      <c r="D70" s="24">
        <f t="shared" si="7"/>
        <v>400</v>
      </c>
      <c r="E70" s="27">
        <f>$C$16</f>
        <v>0</v>
      </c>
      <c r="F70" s="58">
        <f>$D$16</f>
        <v>0</v>
      </c>
      <c r="G70" s="28">
        <f>F9</f>
        <v>1</v>
      </c>
      <c r="H70" s="84">
        <f>D70*E70</f>
        <v>0</v>
      </c>
      <c r="I70" s="32">
        <f>H70*G70</f>
        <v>0</v>
      </c>
    </row>
    <row r="71" spans="2:9" x14ac:dyDescent="0.35">
      <c r="B71" s="24" t="str">
        <f t="shared" si="7"/>
        <v>Butter - زبدة</v>
      </c>
      <c r="C71" s="24" t="str">
        <f t="shared" si="7"/>
        <v>gm</v>
      </c>
      <c r="D71" s="24">
        <f t="shared" si="7"/>
        <v>150</v>
      </c>
      <c r="E71" s="27">
        <f>$C$16</f>
        <v>0</v>
      </c>
      <c r="F71" s="58">
        <f>$D$16</f>
        <v>0</v>
      </c>
      <c r="G71" s="28">
        <f>F10</f>
        <v>1</v>
      </c>
      <c r="H71" s="84">
        <f>D71*E71</f>
        <v>0</v>
      </c>
      <c r="I71" s="32">
        <f>H71*G71</f>
        <v>0</v>
      </c>
    </row>
  </sheetData>
  <mergeCells count="10">
    <mergeCell ref="B52:I52"/>
    <mergeCell ref="B53:I53"/>
    <mergeCell ref="B64:I64"/>
    <mergeCell ref="B65:I65"/>
    <mergeCell ref="A2:A3"/>
    <mergeCell ref="M11:N11"/>
    <mergeCell ref="B2:H3"/>
    <mergeCell ref="N21:O21"/>
    <mergeCell ref="B40:I40"/>
    <mergeCell ref="B41:I4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C7C7C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75" x14ac:dyDescent="0.35"/>
  <cols>
    <col min="1" max="1" width="8.0625" style="10" customWidth="1"/>
    <col min="2" max="2" width="20.5" style="10" customWidth="1"/>
    <col min="3" max="3" width="24" style="10" customWidth="1"/>
    <col min="4" max="4" width="21.8125" style="10" customWidth="1"/>
    <col min="5" max="5" width="16.1875" style="10" customWidth="1"/>
    <col min="6" max="6" width="19.1875" style="10" customWidth="1"/>
    <col min="7" max="7" width="16.7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36080</v>
      </c>
      <c r="F1" s="11" t="s">
        <v>55</v>
      </c>
      <c r="G1" s="15">
        <f>E1/C1</f>
        <v>1.2026666666666668</v>
      </c>
      <c r="H1" s="11" t="s">
        <v>56</v>
      </c>
      <c r="I1" s="16">
        <f>(G1/K1)</f>
        <v>1.2026666666666668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36080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58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1.2026666666666668</v>
      </c>
      <c r="F5" s="28">
        <v>1</v>
      </c>
      <c r="G5" s="29">
        <f>D5*E5</f>
        <v>12.026666666666667</v>
      </c>
      <c r="H5" s="30">
        <f>G5*F5</f>
        <v>12.026666666666667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12.026666666666667</v>
      </c>
      <c r="L5" s="25">
        <f>K5*J5</f>
        <v>69.153333333333336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>$G$1</f>
        <v>1.2026666666666668</v>
      </c>
      <c r="F6" s="28">
        <v>1</v>
      </c>
      <c r="G6" s="29">
        <f>D6*E6</f>
        <v>36080</v>
      </c>
      <c r="H6" s="31">
        <f>G6*F6</f>
        <v>36080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36.08</v>
      </c>
      <c r="L6" s="25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1.2026666666666668</v>
      </c>
      <c r="F7" s="28">
        <v>1</v>
      </c>
      <c r="G7" s="29">
        <f>D7*E7</f>
        <v>180.4</v>
      </c>
      <c r="H7" s="32">
        <f>G7*F7</f>
        <v>180.4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0.1804</v>
      </c>
      <c r="L7" s="25">
        <f t="shared" si="0"/>
        <v>5.4119999999999999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>$G$1</f>
        <v>1.2026666666666668</v>
      </c>
      <c r="F8" s="28">
        <v>1</v>
      </c>
      <c r="G8" s="29">
        <f>D8*E8</f>
        <v>481.06666666666672</v>
      </c>
      <c r="H8" s="32">
        <f>G8*F8</f>
        <v>481.06666666666672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0.4810666666666667</v>
      </c>
      <c r="L8" s="25">
        <f t="shared" si="0"/>
        <v>0.35598933333333338</v>
      </c>
    </row>
    <row r="9" spans="1:28" ht="25.5" x14ac:dyDescent="0.35">
      <c r="B9" s="24" t="s">
        <v>27</v>
      </c>
      <c r="C9" s="33" t="s">
        <v>17</v>
      </c>
      <c r="D9" s="34">
        <v>20</v>
      </c>
      <c r="E9" s="35">
        <f>$G$1</f>
        <v>1.2026666666666668</v>
      </c>
      <c r="F9" s="36">
        <v>1</v>
      </c>
      <c r="G9" s="37">
        <f>D9*E9</f>
        <v>24.053333333333335</v>
      </c>
      <c r="H9" s="38">
        <f>G9*F9</f>
        <v>24.053333333333335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2.4053333333333336E-2</v>
      </c>
      <c r="L9" s="25">
        <f t="shared" si="0"/>
        <v>0.74565333333333339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67</v>
      </c>
      <c r="N11" s="242"/>
    </row>
    <row r="12" spans="1:28" ht="13.5" customHeight="1" x14ac:dyDescent="0.35">
      <c r="B12" s="48" t="s">
        <v>71</v>
      </c>
      <c r="C12" s="49">
        <f>I1</f>
        <v>1.2026666666666668</v>
      </c>
      <c r="D12" s="50">
        <f>E1</f>
        <v>36080</v>
      </c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73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72</v>
      </c>
      <c r="N13" s="130">
        <f>$Z$1</f>
        <v>36080</v>
      </c>
    </row>
    <row r="14" spans="1:28" ht="14.25" customHeight="1" x14ac:dyDescent="0.35">
      <c r="B14" s="48" t="s">
        <v>75</v>
      </c>
      <c r="C14" s="51">
        <f>MIN(MAX($C$12-C13,0),1)</f>
        <v>0.20266666666666677</v>
      </c>
      <c r="D14" s="50">
        <f>C14*$C$1</f>
        <v>6080.0000000000027</v>
      </c>
      <c r="E14" s="18"/>
      <c r="F14" s="18"/>
      <c r="I14" s="18"/>
      <c r="J14" s="18"/>
      <c r="K14" s="18"/>
      <c r="M14" s="48" t="s">
        <v>74</v>
      </c>
      <c r="N14" s="129">
        <f>$AB$1</f>
        <v>0</v>
      </c>
    </row>
    <row r="15" spans="1:28" ht="14.25" customHeight="1" x14ac:dyDescent="0.35">
      <c r="B15" s="48" t="s">
        <v>76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71</v>
      </c>
      <c r="N15" s="54">
        <f>N13+N14</f>
        <v>36080</v>
      </c>
    </row>
    <row r="20" spans="14:15" ht="13.5" customHeight="1" x14ac:dyDescent="0.35">
      <c r="N20" s="245"/>
      <c r="O20" s="245"/>
    </row>
    <row r="40" spans="1:9" ht="17.649999999999999" x14ac:dyDescent="0.35">
      <c r="A40" s="134"/>
      <c r="B40" s="240" t="str">
        <f>"      رز أبيض   1 / " &amp; COUNTIF($C$13:$C$15, "&gt;0")</f>
        <v xml:space="preserve">      رز أبيض   1 / 2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 White Rice   1 / " &amp; COUNTIF($C$13:$C$15, "&gt;0")</f>
        <v xml:space="preserve">  White Rice   1 / 2</v>
      </c>
      <c r="C41" s="240"/>
      <c r="D41" s="240"/>
      <c r="E41" s="240"/>
      <c r="F41" s="240"/>
      <c r="G41" s="240"/>
      <c r="H41" s="240"/>
      <c r="I41" s="240"/>
    </row>
    <row r="42" spans="1:9" ht="38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15" customHeight="1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7.649999999999999" x14ac:dyDescent="0.35">
      <c r="A52" s="134"/>
      <c r="B52" s="240" t="str">
        <f>"      رز أبيض   2 / " &amp; COUNTIF($C$13:$C$15, "&gt;0")</f>
        <v xml:space="preserve">      رز أبيض   2 / 2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White Rice   2 / " &amp; COUNTIF($C$13:$C$15, "&gt;0")</f>
        <v xml:space="preserve">  White Rice   2 / 2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104" t="s">
        <v>65</v>
      </c>
      <c r="I54" s="23" t="s">
        <v>79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0.20266666666666677</v>
      </c>
      <c r="F55" s="58">
        <f>$D$14</f>
        <v>6080.0000000000027</v>
      </c>
      <c r="G55" s="28">
        <f>F5</f>
        <v>1</v>
      </c>
      <c r="H55" s="84">
        <f>D55*E55</f>
        <v>2.0266666666666677</v>
      </c>
      <c r="I55" s="30">
        <f>H55*G55</f>
        <v>2.0266666666666677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0.20266666666666677</v>
      </c>
      <c r="F56" s="58">
        <f>$D$14</f>
        <v>6080.0000000000027</v>
      </c>
      <c r="G56" s="28">
        <f>F6</f>
        <v>1</v>
      </c>
      <c r="H56" s="84">
        <f>D56*E56</f>
        <v>6080.0000000000027</v>
      </c>
      <c r="I56" s="32">
        <f>H56*G56</f>
        <v>6080.0000000000027</v>
      </c>
    </row>
    <row r="57" spans="1:9" ht="24" customHeight="1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0.20266666666666677</v>
      </c>
      <c r="F57" s="58">
        <f>$D$14</f>
        <v>6080.0000000000027</v>
      </c>
      <c r="G57" s="28">
        <f>F7</f>
        <v>1</v>
      </c>
      <c r="H57" s="84">
        <f>D57*E57</f>
        <v>30.400000000000016</v>
      </c>
      <c r="I57" s="32">
        <f>H57*G57</f>
        <v>30.400000000000016</v>
      </c>
    </row>
    <row r="58" spans="1:9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0.20266666666666677</v>
      </c>
      <c r="F58" s="58">
        <f>$D$14</f>
        <v>6080.0000000000027</v>
      </c>
      <c r="G58" s="28">
        <f>F8</f>
        <v>1</v>
      </c>
      <c r="H58" s="84">
        <f>D58*E58</f>
        <v>81.066666666666706</v>
      </c>
      <c r="I58" s="32">
        <f>H58*G58</f>
        <v>81.066666666666706</v>
      </c>
    </row>
    <row r="59" spans="1:9" ht="17.75" customHeight="1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0.20266666666666677</v>
      </c>
      <c r="F59" s="58">
        <f>$D$14</f>
        <v>6080.0000000000027</v>
      </c>
      <c r="G59" s="28">
        <f>F9</f>
        <v>1</v>
      </c>
      <c r="H59" s="84">
        <f>D59*E59</f>
        <v>4.0533333333333355</v>
      </c>
      <c r="I59" s="32">
        <f>H59*G59</f>
        <v>4.0533333333333355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7.649999999999999" x14ac:dyDescent="0.35">
      <c r="B64" s="240" t="str">
        <f>"      رز أبيض  3 / " &amp; COUNTIF($C$13:$C$15, "&gt;0")</f>
        <v xml:space="preserve">      رز أبيض  3 / 2</v>
      </c>
      <c r="C64" s="240"/>
      <c r="D64" s="240"/>
      <c r="E64" s="240"/>
      <c r="F64" s="240"/>
      <c r="G64" s="240"/>
      <c r="H64" s="240"/>
      <c r="I64" s="240"/>
    </row>
    <row r="65" spans="2:9" ht="17.649999999999999" x14ac:dyDescent="0.35">
      <c r="B65" s="240" t="str">
        <f>"  White Rice   3 / " &amp; COUNTIF($C$13:$C$15, "&gt;0")</f>
        <v xml:space="preserve">  White Rice   3 / 2</v>
      </c>
      <c r="C65" s="240"/>
      <c r="D65" s="240"/>
      <c r="E65" s="240"/>
      <c r="F65" s="240"/>
      <c r="G65" s="240"/>
      <c r="H65" s="240"/>
      <c r="I65" s="240"/>
    </row>
    <row r="66" spans="2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104" t="s">
        <v>65</v>
      </c>
      <c r="I66" s="23" t="s">
        <v>66</v>
      </c>
    </row>
    <row r="67" spans="2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0" customHeight="1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52:I52"/>
    <mergeCell ref="B53:I53"/>
    <mergeCell ref="B64:I64"/>
    <mergeCell ref="B65:I65"/>
    <mergeCell ref="A2:A3"/>
    <mergeCell ref="M11:N11"/>
    <mergeCell ref="B2:H3"/>
    <mergeCell ref="N20:O20"/>
    <mergeCell ref="B41:I41"/>
    <mergeCell ref="B40:I40"/>
  </mergeCells>
  <printOptions horizontalCentered="1"/>
  <pageMargins left="0.5" right="0.5" top="1" bottom="0.5" header="0.3" footer="0.511811023622047"/>
  <pageSetup paperSize="9" scale="23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C7C7C"/>
    <pageSetUpPr fitToPage="1"/>
  </sheetPr>
  <dimension ref="A1:AB60"/>
  <sheetViews>
    <sheetView tabSelected="1" topLeftCell="G1" zoomScale="70" zoomScaleNormal="70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28.5625" style="10" customWidth="1"/>
    <col min="3" max="3" width="24" style="10" customWidth="1"/>
    <col min="4" max="4" width="21.8125" style="10" customWidth="1"/>
    <col min="5" max="5" width="16.1875" style="10" customWidth="1"/>
    <col min="6" max="6" width="23" style="10" customWidth="1"/>
    <col min="7" max="7" width="25.1875" style="10" customWidth="1"/>
    <col min="8" max="8" width="36.1875" style="10" customWidth="1"/>
    <col min="9" max="9" width="14.0625" style="10" bestFit="1" customWidth="1"/>
    <col min="10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26620</v>
      </c>
      <c r="F1" s="11" t="s">
        <v>55</v>
      </c>
      <c r="G1" s="15">
        <f>E1/C1</f>
        <v>0.88733333333333331</v>
      </c>
      <c r="H1" s="11" t="s">
        <v>56</v>
      </c>
      <c r="I1" s="16">
        <f>(G1/K1)</f>
        <v>0.88733333333333331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26620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93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108</v>
      </c>
      <c r="C5" s="25" t="s">
        <v>6</v>
      </c>
      <c r="D5" s="26">
        <v>15</v>
      </c>
      <c r="E5" s="27">
        <f t="shared" ref="E5:E10" si="0">$G$1</f>
        <v>0.88733333333333331</v>
      </c>
      <c r="F5" s="28">
        <v>1</v>
      </c>
      <c r="G5" s="29">
        <f t="shared" ref="G5:G10" si="1">D5*E5</f>
        <v>13.309999999999999</v>
      </c>
      <c r="H5" s="30">
        <f t="shared" ref="H5:H10" si="2">G5*F5</f>
        <v>13.309999999999999</v>
      </c>
      <c r="I5" s="64">
        <f>VLOOKUP(B5,Ordering!$A$1:$J$45,6,FALSE)</f>
        <v>1</v>
      </c>
      <c r="J5" s="59">
        <f>VLOOKUP(B5,Ordering!$A$1:$J$45,10,FALSE)</f>
        <v>6.9333333333333336</v>
      </c>
      <c r="K5" s="59">
        <f>(H5/I5)</f>
        <v>13.309999999999999</v>
      </c>
      <c r="L5" s="31">
        <f>K5*J5</f>
        <v>92.282666666666657</v>
      </c>
    </row>
    <row r="6" spans="1:28" x14ac:dyDescent="0.35">
      <c r="B6" s="24" t="s">
        <v>11</v>
      </c>
      <c r="C6" s="25" t="s">
        <v>213</v>
      </c>
      <c r="D6" s="26">
        <v>15000</v>
      </c>
      <c r="E6" s="27">
        <f t="shared" si="0"/>
        <v>0.88733333333333331</v>
      </c>
      <c r="F6" s="28">
        <v>1</v>
      </c>
      <c r="G6" s="29">
        <f t="shared" si="1"/>
        <v>13310</v>
      </c>
      <c r="H6" s="31">
        <f t="shared" si="2"/>
        <v>13310</v>
      </c>
      <c r="I6" s="64">
        <f>VLOOKUP(B6,Ordering!$A$1:$J$45,6,FALSE)</f>
        <v>1</v>
      </c>
      <c r="J6" s="59">
        <f>VLOOKUP(B6,Ordering!$A$1:$J$45,10,FALSE)</f>
        <v>0</v>
      </c>
      <c r="K6" s="59">
        <f>(H6/I6)/1000</f>
        <v>13.31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0.88733333333333331</v>
      </c>
      <c r="F7" s="28">
        <v>1</v>
      </c>
      <c r="G7" s="29">
        <f t="shared" si="1"/>
        <v>133.1</v>
      </c>
      <c r="H7" s="32">
        <f t="shared" si="2"/>
        <v>133.1</v>
      </c>
      <c r="I7" s="64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0.1331</v>
      </c>
      <c r="L7" s="31">
        <f t="shared" si="3"/>
        <v>3.9929999999999999</v>
      </c>
      <c r="V7" s="251"/>
    </row>
    <row r="8" spans="1:28" ht="13.15" x14ac:dyDescent="0.4">
      <c r="B8" s="24" t="s">
        <v>22</v>
      </c>
      <c r="C8" s="25" t="s">
        <v>17</v>
      </c>
      <c r="D8" s="26">
        <v>250</v>
      </c>
      <c r="E8" s="27">
        <f t="shared" si="0"/>
        <v>0.88733333333333331</v>
      </c>
      <c r="F8" s="28">
        <v>1</v>
      </c>
      <c r="G8" s="29">
        <f t="shared" si="1"/>
        <v>221.83333333333331</v>
      </c>
      <c r="H8" s="32">
        <f t="shared" si="2"/>
        <v>221.83333333333331</v>
      </c>
      <c r="I8" s="64">
        <f>VLOOKUP(B8,Ordering!$A$1:$J$45,6,FALSE)</f>
        <v>1</v>
      </c>
      <c r="J8" s="59">
        <f>VLOOKUP(B8,Ordering!$A$1:$J$45,10,FALSE)</f>
        <v>0.74</v>
      </c>
      <c r="K8" s="59">
        <f t="shared" si="4"/>
        <v>0.22183333333333333</v>
      </c>
      <c r="L8" s="31">
        <f t="shared" si="3"/>
        <v>0.16415666666666667</v>
      </c>
      <c r="V8" s="215" t="s">
        <v>17</v>
      </c>
      <c r="W8" s="216">
        <v>1</v>
      </c>
      <c r="X8" s="215" t="s">
        <v>250</v>
      </c>
      <c r="Y8" s="217">
        <f>(N16*W8)/N15</f>
        <v>3.6584999999999994E-3</v>
      </c>
    </row>
    <row r="9" spans="1:28" x14ac:dyDescent="0.35">
      <c r="B9" s="24" t="s">
        <v>27</v>
      </c>
      <c r="C9" s="25" t="s">
        <v>17</v>
      </c>
      <c r="D9" s="26">
        <v>20</v>
      </c>
      <c r="E9" s="35">
        <f t="shared" si="0"/>
        <v>0.88733333333333331</v>
      </c>
      <c r="F9" s="36">
        <v>1</v>
      </c>
      <c r="G9" s="37">
        <f t="shared" si="1"/>
        <v>17.746666666666666</v>
      </c>
      <c r="H9" s="38">
        <f t="shared" si="2"/>
        <v>17.746666666666666</v>
      </c>
      <c r="I9" s="64">
        <f>VLOOKUP(B9,Ordering!$A$1:$J$45,6,FALSE)</f>
        <v>1</v>
      </c>
      <c r="J9" s="59">
        <f>VLOOKUP(B9,Ordering!$A$1:$J$45,10,FALSE)</f>
        <v>31</v>
      </c>
      <c r="K9" s="59">
        <f t="shared" si="4"/>
        <v>1.7746666666666668E-2</v>
      </c>
      <c r="L9" s="31">
        <f t="shared" si="3"/>
        <v>0.55014666666666667</v>
      </c>
    </row>
    <row r="10" spans="1:28" ht="25.5" x14ac:dyDescent="0.35">
      <c r="B10" s="24" t="s">
        <v>239</v>
      </c>
      <c r="C10" s="25" t="s">
        <v>17</v>
      </c>
      <c r="D10" s="26">
        <v>20</v>
      </c>
      <c r="E10" s="35">
        <f t="shared" si="0"/>
        <v>0.88733333333333331</v>
      </c>
      <c r="F10" s="36">
        <v>1</v>
      </c>
      <c r="G10" s="37">
        <f t="shared" si="1"/>
        <v>17.746666666666666</v>
      </c>
      <c r="H10" s="38">
        <f t="shared" si="2"/>
        <v>17.746666666666666</v>
      </c>
      <c r="I10" s="64">
        <f>VLOOKUP(B10,Ordering!$A$1:$J$45,6,FALSE)</f>
        <v>1</v>
      </c>
      <c r="J10" s="59">
        <f>VLOOKUP(B10,Ordering!$A$1:$J$45,10,FALSE)</f>
        <v>22.5</v>
      </c>
      <c r="K10" s="59">
        <f t="shared" ref="K10" si="5">(H10/I10)/1000</f>
        <v>1.7746666666666668E-2</v>
      </c>
      <c r="L10" s="31">
        <f t="shared" ref="L10" si="6">K10*J10</f>
        <v>0.39930000000000004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93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71</v>
      </c>
      <c r="C13" s="49">
        <f>I1</f>
        <v>0.88733333333333331</v>
      </c>
      <c r="D13" s="50">
        <f>E1</f>
        <v>26620</v>
      </c>
      <c r="F13" s="18"/>
      <c r="I13" s="18"/>
      <c r="J13" s="18"/>
      <c r="K13" s="18"/>
      <c r="M13" s="48" t="s">
        <v>72</v>
      </c>
      <c r="N13" s="130">
        <f>$Z$1</f>
        <v>26620</v>
      </c>
    </row>
    <row r="14" spans="1:28" ht="13.5" customHeight="1" x14ac:dyDescent="0.35">
      <c r="B14" s="48" t="s">
        <v>73</v>
      </c>
      <c r="C14" s="51">
        <f>MIN($C$13,1)</f>
        <v>0.88733333333333331</v>
      </c>
      <c r="D14" s="50">
        <f>C14*$C$1</f>
        <v>26620</v>
      </c>
      <c r="E14" s="18"/>
      <c r="F14" s="18"/>
      <c r="I14" s="18"/>
      <c r="J14" s="18"/>
      <c r="K14" s="18"/>
      <c r="M14" s="48" t="s">
        <v>74</v>
      </c>
      <c r="N14" s="129">
        <f>$AB$1</f>
        <v>0</v>
      </c>
    </row>
    <row r="15" spans="1:28" ht="14.25" customHeight="1" thickBot="1" x14ac:dyDescent="0.4">
      <c r="B15" s="48" t="s">
        <v>75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71</v>
      </c>
      <c r="N15" s="54">
        <f>N13+N14</f>
        <v>26620</v>
      </c>
    </row>
    <row r="16" spans="1:28" ht="14.25" customHeight="1" thickBot="1" x14ac:dyDescent="0.4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250</v>
      </c>
      <c r="N16" s="214">
        <f>SUM(L5:L10)</f>
        <v>97.389269999999982</v>
      </c>
    </row>
    <row r="21" spans="14:15" ht="13.5" customHeight="1" x14ac:dyDescent="0.35">
      <c r="N21" s="245"/>
      <c r="O21" s="245"/>
    </row>
    <row r="40" spans="1:9" ht="13.5" customHeight="1" x14ac:dyDescent="0.35">
      <c r="A40" s="134"/>
      <c r="B40" s="240" t="str">
        <f>"      رز مصرى   1 / " &amp; COUNTIF($C$14:$C$16, "&gt;0")</f>
        <v xml:space="preserve">      رز مصرى  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Egyptian   1 / " &amp; COUNTIF($C$14:$C$16, "&gt;0")</f>
        <v xml:space="preserve">  Egyptian   1 / 1</v>
      </c>
      <c r="C41" s="240"/>
      <c r="D41" s="240"/>
      <c r="E41" s="240"/>
      <c r="F41" s="240"/>
      <c r="G41" s="240"/>
      <c r="H41" s="240"/>
      <c r="I41" s="240"/>
    </row>
    <row r="42" spans="1:9" ht="78.7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8" si="7">B5</f>
        <v>Egyptian Rice - رز مصرى</v>
      </c>
      <c r="C43" s="24" t="str">
        <f t="shared" si="7"/>
        <v>KG</v>
      </c>
      <c r="D43" s="24">
        <f t="shared" si="7"/>
        <v>15</v>
      </c>
      <c r="E43" s="58">
        <f t="shared" ref="E43:E48" si="8">$C$14</f>
        <v>0.88733333333333331</v>
      </c>
      <c r="F43" s="58">
        <f t="shared" ref="F43:F48" si="9">$D$14</f>
        <v>26620</v>
      </c>
      <c r="G43" s="28">
        <f t="shared" ref="G43:G48" si="10">F5</f>
        <v>1</v>
      </c>
      <c r="H43" s="84">
        <f t="shared" ref="H43:H48" si="11">D43*E43</f>
        <v>13.309999999999999</v>
      </c>
      <c r="I43" s="32">
        <f t="shared" ref="I43:I48" si="12">H43*G43</f>
        <v>13.309999999999999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15000</v>
      </c>
      <c r="E44" s="58">
        <f t="shared" si="8"/>
        <v>0.88733333333333331</v>
      </c>
      <c r="F44" s="58">
        <f t="shared" si="9"/>
        <v>26620</v>
      </c>
      <c r="G44" s="28">
        <f t="shared" si="10"/>
        <v>1</v>
      </c>
      <c r="H44" s="84">
        <f t="shared" si="11"/>
        <v>13310</v>
      </c>
      <c r="I44" s="32">
        <f t="shared" si="12"/>
        <v>13310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8">
        <f t="shared" si="8"/>
        <v>0.88733333333333331</v>
      </c>
      <c r="F45" s="58">
        <f t="shared" si="9"/>
        <v>26620</v>
      </c>
      <c r="G45" s="28">
        <f t="shared" si="10"/>
        <v>1</v>
      </c>
      <c r="H45" s="84">
        <f t="shared" si="11"/>
        <v>133.1</v>
      </c>
      <c r="I45" s="32">
        <f t="shared" si="12"/>
        <v>133.1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250</v>
      </c>
      <c r="E46" s="58">
        <f t="shared" si="8"/>
        <v>0.88733333333333331</v>
      </c>
      <c r="F46" s="58">
        <f t="shared" si="9"/>
        <v>26620</v>
      </c>
      <c r="G46" s="28">
        <f t="shared" si="10"/>
        <v>1</v>
      </c>
      <c r="H46" s="84">
        <f t="shared" si="11"/>
        <v>221.83333333333331</v>
      </c>
      <c r="I46" s="32">
        <f t="shared" si="12"/>
        <v>221.83333333333331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8">
        <f t="shared" si="8"/>
        <v>0.88733333333333331</v>
      </c>
      <c r="F47" s="58">
        <f t="shared" si="9"/>
        <v>26620</v>
      </c>
      <c r="G47" s="28">
        <f t="shared" si="10"/>
        <v>1</v>
      </c>
      <c r="H47" s="84">
        <f t="shared" si="11"/>
        <v>17.746666666666666</v>
      </c>
      <c r="I47" s="32">
        <f t="shared" si="12"/>
        <v>17.746666666666666</v>
      </c>
    </row>
    <row r="48" spans="1:9" ht="18.5" customHeight="1" x14ac:dyDescent="0.35">
      <c r="B48" s="24" t="str">
        <f t="shared" si="7"/>
        <v>لون صفار زعفران بودر - Saffron yellow color powder</v>
      </c>
      <c r="C48" s="24" t="str">
        <f t="shared" si="7"/>
        <v>gm</v>
      </c>
      <c r="D48" s="24">
        <f t="shared" si="7"/>
        <v>20</v>
      </c>
      <c r="E48" s="58">
        <f t="shared" si="8"/>
        <v>0.88733333333333331</v>
      </c>
      <c r="F48" s="58">
        <f t="shared" si="9"/>
        <v>26620</v>
      </c>
      <c r="G48" s="28">
        <f t="shared" si="10"/>
        <v>1</v>
      </c>
      <c r="H48" s="84">
        <f t="shared" si="11"/>
        <v>17.746666666666666</v>
      </c>
      <c r="I48" s="32">
        <f t="shared" si="12"/>
        <v>17.746666666666666</v>
      </c>
    </row>
    <row r="52" spans="2:9" ht="17.649999999999999" x14ac:dyDescent="0.35">
      <c r="B52" s="240" t="str">
        <f>"      رز مصرى   2 / " &amp; COUNTIF($C$14:$C$16, "&gt;0")</f>
        <v xml:space="preserve">      رز مصرى   2 / 1</v>
      </c>
      <c r="C52" s="240"/>
      <c r="D52" s="240"/>
      <c r="E52" s="240"/>
      <c r="F52" s="240"/>
      <c r="G52" s="240"/>
      <c r="H52" s="240"/>
      <c r="I52" s="240"/>
    </row>
    <row r="53" spans="2:9" ht="17.649999999999999" x14ac:dyDescent="0.35">
      <c r="B53" s="240" t="str">
        <f>"  Egyptian   2 / " &amp; COUNTIF($C$14:$C$16, "&gt;0")</f>
        <v xml:space="preserve">  Egyptian   2 / 1</v>
      </c>
      <c r="C53" s="240"/>
      <c r="D53" s="240"/>
      <c r="E53" s="240"/>
      <c r="F53" s="240"/>
      <c r="G53" s="240"/>
      <c r="H53" s="240"/>
      <c r="I53" s="240"/>
    </row>
    <row r="54" spans="2:9" ht="78.7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55" t="s">
        <v>78</v>
      </c>
    </row>
    <row r="55" spans="2:9" x14ac:dyDescent="0.35">
      <c r="B55" s="24" t="str">
        <f t="shared" ref="B55:D60" si="13">B5</f>
        <v>Egyptian Rice - رز مصرى</v>
      </c>
      <c r="C55" s="24" t="str">
        <f t="shared" si="13"/>
        <v>KG</v>
      </c>
      <c r="D55" s="24">
        <f t="shared" si="13"/>
        <v>15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2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15000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2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2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250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2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2:9" ht="24" customHeight="1" x14ac:dyDescent="0.35">
      <c r="B60" s="24" t="str">
        <f t="shared" si="13"/>
        <v>لون صفار زعفران بودر - Saffron yellow color powder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scale="22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C7C7C"/>
    <pageSetUpPr fitToPage="1"/>
  </sheetPr>
  <dimension ref="A1:AB72"/>
  <sheetViews>
    <sheetView topLeftCell="E1" zoomScale="70" zoomScaleNormal="70" workbookViewId="0">
      <selection activeCell="J5" sqref="I5:J9"/>
    </sheetView>
  </sheetViews>
  <sheetFormatPr defaultColWidth="12.5" defaultRowHeight="12.75" x14ac:dyDescent="0.35"/>
  <cols>
    <col min="1" max="1" width="8.0625" style="10" customWidth="1"/>
    <col min="2" max="2" width="30.5625" style="10" customWidth="1"/>
    <col min="3" max="3" width="16.5625" style="10" customWidth="1"/>
    <col min="4" max="4" width="21.8125" style="10" customWidth="1"/>
    <col min="5" max="5" width="16.1875" style="10" customWidth="1"/>
    <col min="6" max="6" width="23" style="10" customWidth="1"/>
    <col min="7" max="7" width="25.1875" style="10" customWidth="1"/>
    <col min="8" max="8" width="36.1875" style="10" customWidth="1"/>
    <col min="9" max="9" width="21.0625" style="10" customWidth="1"/>
    <col min="10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66960</v>
      </c>
      <c r="F1" s="11" t="s">
        <v>55</v>
      </c>
      <c r="G1" s="15">
        <f>E1/C1</f>
        <v>2.2320000000000002</v>
      </c>
      <c r="H1" s="11" t="s">
        <v>56</v>
      </c>
      <c r="I1" s="16">
        <f>(G1/K1)</f>
        <v>2.2320000000000002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66960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80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2.2320000000000002</v>
      </c>
      <c r="F5" s="28">
        <v>1</v>
      </c>
      <c r="G5" s="29">
        <f t="shared" ref="G5:G10" si="1">D5*E5</f>
        <v>22.32</v>
      </c>
      <c r="H5" s="30">
        <f t="shared" ref="H5:H10" si="2">G5*F5</f>
        <v>22.32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22.32</v>
      </c>
      <c r="L5" s="25">
        <f>K5*J5</f>
        <v>128.34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 t="shared" si="0"/>
        <v>2.2320000000000002</v>
      </c>
      <c r="F6" s="28">
        <v>1</v>
      </c>
      <c r="G6" s="29">
        <f t="shared" si="1"/>
        <v>66960</v>
      </c>
      <c r="H6" s="31">
        <f t="shared" si="2"/>
        <v>66960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66.959999999999994</v>
      </c>
      <c r="L6" s="25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2.2320000000000002</v>
      </c>
      <c r="F7" s="28">
        <v>1</v>
      </c>
      <c r="G7" s="29">
        <f t="shared" si="1"/>
        <v>334.8</v>
      </c>
      <c r="H7" s="32">
        <f t="shared" si="2"/>
        <v>334.8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0.33479999999999999</v>
      </c>
      <c r="L7" s="25">
        <f t="shared" si="3"/>
        <v>10.044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 t="shared" si="0"/>
        <v>2.2320000000000002</v>
      </c>
      <c r="F8" s="28">
        <v>1</v>
      </c>
      <c r="G8" s="29">
        <f t="shared" si="1"/>
        <v>892.80000000000007</v>
      </c>
      <c r="H8" s="32">
        <f t="shared" si="2"/>
        <v>892.80000000000007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0.89280000000000004</v>
      </c>
      <c r="L8" s="25">
        <f t="shared" si="3"/>
        <v>0.66067200000000004</v>
      </c>
    </row>
    <row r="9" spans="1:28" x14ac:dyDescent="0.35">
      <c r="B9" s="24" t="s">
        <v>27</v>
      </c>
      <c r="C9" s="25" t="s">
        <v>17</v>
      </c>
      <c r="D9" s="26">
        <v>20</v>
      </c>
      <c r="E9" s="27">
        <f t="shared" si="0"/>
        <v>2.2320000000000002</v>
      </c>
      <c r="F9" s="28">
        <v>1</v>
      </c>
      <c r="G9" s="29">
        <f t="shared" si="1"/>
        <v>44.64</v>
      </c>
      <c r="H9" s="32">
        <f t="shared" si="2"/>
        <v>44.64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4.4639999999999999E-2</v>
      </c>
      <c r="L9" s="25">
        <f t="shared" si="3"/>
        <v>1.38384</v>
      </c>
    </row>
    <row r="10" spans="1:28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2.2320000000000002</v>
      </c>
      <c r="F10" s="28">
        <v>1</v>
      </c>
      <c r="G10" s="29">
        <f t="shared" si="1"/>
        <v>44.64</v>
      </c>
      <c r="H10" s="32">
        <f t="shared" si="2"/>
        <v>44.64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4.4639999999999999E-2</v>
      </c>
      <c r="L10" s="25">
        <f t="shared" ref="L10" si="6">K10*J10</f>
        <v>1.0044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80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71</v>
      </c>
      <c r="C13" s="49">
        <f>I1</f>
        <v>2.2320000000000002</v>
      </c>
      <c r="D13" s="50">
        <f>E1</f>
        <v>66960</v>
      </c>
      <c r="F13" s="18"/>
      <c r="I13" s="18"/>
      <c r="J13" s="18"/>
      <c r="K13" s="18"/>
      <c r="M13" s="48" t="s">
        <v>81</v>
      </c>
      <c r="N13" s="130">
        <f>$Z$1</f>
        <v>66960</v>
      </c>
    </row>
    <row r="14" spans="1:28" ht="13.5" customHeight="1" x14ac:dyDescent="0.35">
      <c r="B14" s="48" t="s">
        <v>73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82</v>
      </c>
      <c r="N14" s="129">
        <f>$AB$1</f>
        <v>0</v>
      </c>
    </row>
    <row r="15" spans="1:28" ht="14.25" customHeight="1" x14ac:dyDescent="0.35">
      <c r="B15" s="48" t="s">
        <v>75</v>
      </c>
      <c r="C15" s="51">
        <f>MIN(MAX($C$13-C14,0),1)</f>
        <v>1</v>
      </c>
      <c r="D15" s="50">
        <f>C15*$C$1</f>
        <v>30000</v>
      </c>
      <c r="E15" s="18"/>
      <c r="F15" s="18"/>
      <c r="I15" s="18"/>
      <c r="J15" s="18"/>
      <c r="K15" s="18"/>
      <c r="M15" s="53" t="s">
        <v>83</v>
      </c>
      <c r="N15" s="54">
        <f>N13+N14</f>
        <v>66960</v>
      </c>
    </row>
    <row r="16" spans="1:28" ht="14.25" customHeight="1" x14ac:dyDescent="0.35">
      <c r="B16" s="48"/>
      <c r="C16" s="51">
        <f>MIN(MAX($C$13-C14-C15,0),1)</f>
        <v>0.23200000000000021</v>
      </c>
      <c r="D16" s="67">
        <f>C16*$K$1</f>
        <v>0.23200000000000021</v>
      </c>
      <c r="E16" s="18"/>
      <c r="F16" s="18"/>
      <c r="M16" s="41"/>
      <c r="N16" s="41"/>
    </row>
    <row r="21" spans="14:15" ht="13.5" customHeight="1" x14ac:dyDescent="0.35">
      <c r="N21" s="245"/>
      <c r="O21" s="245"/>
    </row>
    <row r="40" spans="1:9" ht="13.5" customHeight="1" x14ac:dyDescent="0.35">
      <c r="A40" s="134"/>
      <c r="B40" s="240" t="str">
        <f>"        رز بريانى-رز زعفران   1 / " &amp; COUNTIF($C$14:$C$16, "&gt;0")</f>
        <v xml:space="preserve">        رز بريانى-رز زعفران   1 / 3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Biryani - Saffron Rice 1 / " &amp; COUNTIF($C$14:$C$16, "&gt;0")</f>
        <v xml:space="preserve">  Biryani - Saffron Rice 1 / 3</v>
      </c>
      <c r="C41" s="240"/>
      <c r="D41" s="240"/>
      <c r="E41" s="240"/>
      <c r="F41" s="240"/>
      <c r="G41" s="240"/>
      <c r="H41" s="240"/>
      <c r="I41" s="240"/>
    </row>
    <row r="42" spans="1:9" ht="52.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1</v>
      </c>
      <c r="H43" s="120">
        <f t="shared" ref="H43:H48" si="11">D43*E43</f>
        <v>10</v>
      </c>
      <c r="I43" s="32">
        <f t="shared" ref="I43:I48" si="12">H43*G43</f>
        <v>10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120">
        <f t="shared" si="11"/>
        <v>30000</v>
      </c>
      <c r="I44" s="32">
        <f t="shared" si="12"/>
        <v>30000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120">
        <f t="shared" si="11"/>
        <v>150</v>
      </c>
      <c r="I45" s="32">
        <f t="shared" si="12"/>
        <v>150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120">
        <f t="shared" si="11"/>
        <v>400</v>
      </c>
      <c r="I46" s="32">
        <f t="shared" si="12"/>
        <v>400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120">
        <f t="shared" si="11"/>
        <v>20</v>
      </c>
      <c r="I47" s="32">
        <f t="shared" si="12"/>
        <v>20</v>
      </c>
    </row>
    <row r="48" spans="1:9" ht="25.5" x14ac:dyDescent="0.35">
      <c r="B48" s="24" t="str">
        <f t="shared" si="7"/>
        <v>لون صفار زعفران بودر - Saffron yellow color powder</v>
      </c>
      <c r="C48" s="24" t="str">
        <f t="shared" si="7"/>
        <v>gm</v>
      </c>
      <c r="D48" s="24">
        <f t="shared" si="7"/>
        <v>20</v>
      </c>
      <c r="E48" s="57">
        <f t="shared" si="8"/>
        <v>1</v>
      </c>
      <c r="F48" s="58">
        <f t="shared" si="9"/>
        <v>30000</v>
      </c>
      <c r="G48" s="28">
        <f t="shared" si="10"/>
        <v>1</v>
      </c>
      <c r="H48" s="120">
        <f t="shared" si="11"/>
        <v>20</v>
      </c>
      <c r="I48" s="32">
        <f t="shared" si="12"/>
        <v>20</v>
      </c>
    </row>
    <row r="52" spans="1:9" ht="17.649999999999999" x14ac:dyDescent="0.35">
      <c r="A52" s="134"/>
      <c r="B52" s="240" t="str">
        <f>"        رز بريانى-رز زعفران   2 / " &amp; COUNTIF($C$14:$C$16, "&gt;0")</f>
        <v xml:space="preserve">        رز بريانى-رز زعفران   2 / 3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Biryani - Saffron Rice  2 / " &amp; COUNTIF($C$14:$C$16, "&gt;0")</f>
        <v xml:space="preserve">  Biryani - Saffron Rice  2 / 3</v>
      </c>
      <c r="C53" s="240"/>
      <c r="D53" s="240"/>
      <c r="E53" s="240"/>
      <c r="F53" s="240"/>
      <c r="G53" s="240"/>
      <c r="H53" s="240"/>
      <c r="I53" s="240"/>
    </row>
    <row r="54" spans="1:9" ht="50" customHeight="1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55" t="s">
        <v>78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1</v>
      </c>
      <c r="F55" s="68">
        <f t="shared" ref="F55:F60" si="15">$D$15</f>
        <v>30000</v>
      </c>
      <c r="G55" s="28">
        <f t="shared" ref="G55:G60" si="16">F5</f>
        <v>1</v>
      </c>
      <c r="H55" s="84">
        <f t="shared" ref="H55:H60" si="17">D55*E55</f>
        <v>10</v>
      </c>
      <c r="I55" s="32">
        <f t="shared" ref="I55:I60" si="18">H55*G55</f>
        <v>10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1</v>
      </c>
      <c r="F56" s="68">
        <f t="shared" si="15"/>
        <v>30000</v>
      </c>
      <c r="G56" s="28">
        <f t="shared" si="16"/>
        <v>1</v>
      </c>
      <c r="H56" s="84">
        <f t="shared" si="17"/>
        <v>30000</v>
      </c>
      <c r="I56" s="32">
        <f t="shared" si="18"/>
        <v>30000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1</v>
      </c>
      <c r="F57" s="68">
        <f t="shared" si="15"/>
        <v>30000</v>
      </c>
      <c r="G57" s="28">
        <f t="shared" si="16"/>
        <v>1</v>
      </c>
      <c r="H57" s="84">
        <f t="shared" si="17"/>
        <v>150</v>
      </c>
      <c r="I57" s="32">
        <f t="shared" si="18"/>
        <v>150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1</v>
      </c>
      <c r="F58" s="68">
        <f t="shared" si="15"/>
        <v>30000</v>
      </c>
      <c r="G58" s="28">
        <f t="shared" si="16"/>
        <v>1</v>
      </c>
      <c r="H58" s="84">
        <f t="shared" si="17"/>
        <v>400</v>
      </c>
      <c r="I58" s="32">
        <f t="shared" si="18"/>
        <v>400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1</v>
      </c>
      <c r="F59" s="68">
        <f t="shared" si="15"/>
        <v>30000</v>
      </c>
      <c r="G59" s="28">
        <f t="shared" si="16"/>
        <v>1</v>
      </c>
      <c r="H59" s="84">
        <f t="shared" si="17"/>
        <v>20</v>
      </c>
      <c r="I59" s="32">
        <f t="shared" si="18"/>
        <v>20</v>
      </c>
    </row>
    <row r="60" spans="1:9" ht="25.5" x14ac:dyDescent="0.35">
      <c r="B60" s="24" t="str">
        <f t="shared" si="13"/>
        <v>لون صفار زعفران بودر - Saffron yellow color powder</v>
      </c>
      <c r="C60" s="24" t="str">
        <f t="shared" si="13"/>
        <v>gm</v>
      </c>
      <c r="D60" s="24">
        <f t="shared" si="13"/>
        <v>20</v>
      </c>
      <c r="E60" s="27">
        <f t="shared" si="14"/>
        <v>1</v>
      </c>
      <c r="F60" s="68">
        <f t="shared" si="15"/>
        <v>30000</v>
      </c>
      <c r="G60" s="28">
        <f t="shared" si="16"/>
        <v>1</v>
      </c>
      <c r="H60" s="84">
        <f t="shared" si="17"/>
        <v>20</v>
      </c>
      <c r="I60" s="32">
        <f t="shared" si="18"/>
        <v>20</v>
      </c>
    </row>
    <row r="64" spans="1:9" ht="17.649999999999999" x14ac:dyDescent="0.35">
      <c r="A64" s="134"/>
      <c r="B64" s="240" t="str">
        <f>"        رز بريانى-رز زعفران   3 / " &amp; COUNTIF($C$14:$C$16, "&gt;0")</f>
        <v xml:space="preserve">        رز بريانى-رز زعفران   3 / 3</v>
      </c>
      <c r="C64" s="240"/>
      <c r="D64" s="240"/>
      <c r="E64" s="240"/>
      <c r="F64" s="240"/>
      <c r="G64" s="240"/>
      <c r="H64" s="240"/>
      <c r="I64" s="240"/>
    </row>
    <row r="65" spans="1:9" ht="17.649999999999999" x14ac:dyDescent="0.35">
      <c r="A65" s="134"/>
      <c r="B65" s="240" t="str">
        <f>"  Biryani - Saffron Rice  3 / " &amp; COUNTIF($C$14:$C$16, "&gt;0")</f>
        <v xml:space="preserve">  Biryani - Saffron Rice  3 / 3</v>
      </c>
      <c r="C65" s="240"/>
      <c r="D65" s="240"/>
      <c r="E65" s="240"/>
      <c r="F65" s="240"/>
      <c r="G65" s="240"/>
      <c r="H65" s="240"/>
      <c r="I65" s="240"/>
    </row>
    <row r="66" spans="1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22" t="s">
        <v>65</v>
      </c>
      <c r="I66" s="55" t="s">
        <v>78</v>
      </c>
    </row>
    <row r="67" spans="1:9" x14ac:dyDescent="0.35">
      <c r="B67" s="24" t="str">
        <f>B5</f>
        <v>Rice - رز</v>
      </c>
      <c r="C67" s="24" t="str">
        <f t="shared" ref="C67:D67" si="19">C5</f>
        <v>KG</v>
      </c>
      <c r="D67" s="24">
        <f t="shared" si="19"/>
        <v>10</v>
      </c>
      <c r="E67" s="27">
        <f>$C$16</f>
        <v>0.23200000000000021</v>
      </c>
      <c r="F67" s="127">
        <f>$D$16</f>
        <v>0.23200000000000021</v>
      </c>
      <c r="G67" s="28">
        <f>F5</f>
        <v>1</v>
      </c>
      <c r="H67" s="84">
        <f t="shared" ref="H67:H72" si="20">D67*E67</f>
        <v>2.3200000000000021</v>
      </c>
      <c r="I67" s="32">
        <f t="shared" ref="I67:I72" si="21">H67*G67</f>
        <v>2.3200000000000021</v>
      </c>
    </row>
    <row r="68" spans="1:9" x14ac:dyDescent="0.35">
      <c r="B68" s="24" t="str">
        <f t="shared" ref="B68:D68" si="22">B6</f>
        <v>Water - ماء</v>
      </c>
      <c r="C68" s="24" t="str">
        <f t="shared" si="22"/>
        <v>ml</v>
      </c>
      <c r="D68" s="24">
        <f t="shared" si="22"/>
        <v>30000</v>
      </c>
      <c r="E68" s="27">
        <f t="shared" ref="E68:E72" si="23">$C$16</f>
        <v>0.23200000000000021</v>
      </c>
      <c r="F68" s="127">
        <f t="shared" ref="F68:F72" si="24">$D$16</f>
        <v>0.23200000000000021</v>
      </c>
      <c r="G68" s="28">
        <f t="shared" ref="G68:G72" si="25">F6</f>
        <v>1</v>
      </c>
      <c r="H68" s="84">
        <f t="shared" si="20"/>
        <v>6960.0000000000064</v>
      </c>
      <c r="I68" s="32">
        <f t="shared" si="21"/>
        <v>6960.0000000000064</v>
      </c>
    </row>
    <row r="69" spans="1:9" x14ac:dyDescent="0.35">
      <c r="B69" s="24" t="str">
        <f t="shared" ref="B69:D69" si="26">B7</f>
        <v>Butter - زبدة</v>
      </c>
      <c r="C69" s="24" t="str">
        <f t="shared" si="26"/>
        <v>gm</v>
      </c>
      <c r="D69" s="24">
        <f t="shared" si="26"/>
        <v>150</v>
      </c>
      <c r="E69" s="27">
        <f t="shared" si="23"/>
        <v>0.23200000000000021</v>
      </c>
      <c r="F69" s="127">
        <f t="shared" si="24"/>
        <v>0.23200000000000021</v>
      </c>
      <c r="G69" s="28">
        <f t="shared" si="25"/>
        <v>1</v>
      </c>
      <c r="H69" s="84">
        <f t="shared" si="20"/>
        <v>34.800000000000033</v>
      </c>
      <c r="I69" s="32">
        <f t="shared" si="21"/>
        <v>34.800000000000033</v>
      </c>
    </row>
    <row r="70" spans="1:9" x14ac:dyDescent="0.35">
      <c r="B70" s="24" t="str">
        <f t="shared" ref="B70:D70" si="27">B8</f>
        <v>Salt - ملح</v>
      </c>
      <c r="C70" s="24" t="str">
        <f t="shared" si="27"/>
        <v>gm</v>
      </c>
      <c r="D70" s="24">
        <f t="shared" si="27"/>
        <v>400</v>
      </c>
      <c r="E70" s="27">
        <f t="shared" si="23"/>
        <v>0.23200000000000021</v>
      </c>
      <c r="F70" s="127">
        <f t="shared" si="24"/>
        <v>0.23200000000000021</v>
      </c>
      <c r="G70" s="28">
        <f t="shared" si="25"/>
        <v>1</v>
      </c>
      <c r="H70" s="84">
        <f t="shared" si="20"/>
        <v>92.800000000000082</v>
      </c>
      <c r="I70" s="32">
        <f t="shared" si="21"/>
        <v>92.800000000000082</v>
      </c>
    </row>
    <row r="71" spans="1:9" x14ac:dyDescent="0.35">
      <c r="B71" s="24" t="str">
        <f t="shared" ref="B71:D71" si="28">B9</f>
        <v>Cardamom Whole - هيل حب</v>
      </c>
      <c r="C71" s="24" t="str">
        <f t="shared" si="28"/>
        <v>gm</v>
      </c>
      <c r="D71" s="24">
        <f t="shared" si="28"/>
        <v>20</v>
      </c>
      <c r="E71" s="27">
        <f t="shared" si="23"/>
        <v>0.23200000000000021</v>
      </c>
      <c r="F71" s="127">
        <f t="shared" si="24"/>
        <v>0.23200000000000021</v>
      </c>
      <c r="G71" s="28">
        <f t="shared" si="25"/>
        <v>1</v>
      </c>
      <c r="H71" s="84">
        <f t="shared" si="20"/>
        <v>4.6400000000000041</v>
      </c>
      <c r="I71" s="32">
        <f t="shared" si="21"/>
        <v>4.6400000000000041</v>
      </c>
    </row>
    <row r="72" spans="1:9" ht="25.5" x14ac:dyDescent="0.35">
      <c r="B72" s="24" t="str">
        <f t="shared" ref="B72:D72" si="29">B10</f>
        <v>لون صفار زعفران بودر - Saffron yellow color powder</v>
      </c>
      <c r="C72" s="24" t="str">
        <f t="shared" si="29"/>
        <v>gm</v>
      </c>
      <c r="D72" s="24">
        <f t="shared" si="29"/>
        <v>20</v>
      </c>
      <c r="E72" s="27">
        <f t="shared" si="23"/>
        <v>0.23200000000000021</v>
      </c>
      <c r="F72" s="127">
        <f t="shared" si="24"/>
        <v>0.23200000000000021</v>
      </c>
      <c r="G72" s="28">
        <f t="shared" si="25"/>
        <v>1</v>
      </c>
      <c r="H72" s="84">
        <f t="shared" si="20"/>
        <v>4.6400000000000041</v>
      </c>
      <c r="I72" s="32">
        <f t="shared" si="21"/>
        <v>4.6400000000000041</v>
      </c>
    </row>
  </sheetData>
  <mergeCells count="10">
    <mergeCell ref="A2:A3"/>
    <mergeCell ref="M11:N11"/>
    <mergeCell ref="B2:H3"/>
    <mergeCell ref="B40:I40"/>
    <mergeCell ref="B41:I41"/>
    <mergeCell ref="B64:I64"/>
    <mergeCell ref="B65:I65"/>
    <mergeCell ref="B52:I52"/>
    <mergeCell ref="B53:I53"/>
    <mergeCell ref="N21:O2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 (4)&amp;R&amp;B&amp;14Day 4</oddHeader>
    <oddFooter>&amp;C&amp;B&amp;10Page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C7C7C"/>
    <pageSetUpPr fitToPage="1"/>
  </sheetPr>
  <dimension ref="A1:AB71"/>
  <sheetViews>
    <sheetView topLeftCell="G1" zoomScale="70" zoomScaleNormal="70" workbookViewId="0">
      <selection activeCell="W8" sqref="W8"/>
    </sheetView>
  </sheetViews>
  <sheetFormatPr defaultColWidth="12.5" defaultRowHeight="12.75" x14ac:dyDescent="0.35"/>
  <cols>
    <col min="1" max="1" width="8.0625" style="10" customWidth="1"/>
    <col min="2" max="2" width="20.4375" style="10" customWidth="1"/>
    <col min="3" max="3" width="23.9375" style="10" customWidth="1"/>
    <col min="4" max="4" width="21.75" style="10" customWidth="1"/>
    <col min="5" max="5" width="16.1875" style="10" customWidth="1"/>
    <col min="6" max="6" width="19.0625" style="10" customWidth="1"/>
    <col min="7" max="7" width="16.812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3" width="6.1875" style="10" customWidth="1"/>
    <col min="24" max="24" width="7.9375" style="10" bestFit="1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23240</v>
      </c>
      <c r="F1" s="11" t="s">
        <v>55</v>
      </c>
      <c r="G1" s="15">
        <f>E1/C1</f>
        <v>0.77466666666666661</v>
      </c>
      <c r="H1" s="11" t="s">
        <v>56</v>
      </c>
      <c r="I1" s="16">
        <f>(G1/K1)</f>
        <v>0.77466666666666661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23240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94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123">
        <v>13</v>
      </c>
      <c r="E5" s="27">
        <f>$G$1</f>
        <v>0.77466666666666661</v>
      </c>
      <c r="F5" s="28">
        <v>1</v>
      </c>
      <c r="G5" s="29">
        <f>D5*E5</f>
        <v>10.070666666666666</v>
      </c>
      <c r="H5" s="30">
        <f>G5*F5</f>
        <v>10.070666666666666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10.070666666666666</v>
      </c>
      <c r="L5" s="31">
        <f>K5*J5</f>
        <v>57.906333333333329</v>
      </c>
    </row>
    <row r="6" spans="1:28" x14ac:dyDescent="0.35">
      <c r="B6" s="24" t="s">
        <v>11</v>
      </c>
      <c r="C6" s="25" t="s">
        <v>213</v>
      </c>
      <c r="D6" s="26">
        <v>25000</v>
      </c>
      <c r="E6" s="27">
        <f>$G$1</f>
        <v>0.77466666666666661</v>
      </c>
      <c r="F6" s="28">
        <v>1</v>
      </c>
      <c r="G6" s="29">
        <f>D6*E6</f>
        <v>19366.666666666664</v>
      </c>
      <c r="H6" s="31">
        <f>G6*F6</f>
        <v>19366.666666666664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19.366666666666664</v>
      </c>
      <c r="L6" s="31">
        <f t="shared" ref="L6:L9" si="0">K6*J6</f>
        <v>0</v>
      </c>
    </row>
    <row r="7" spans="1:28" ht="25.5" x14ac:dyDescent="0.35">
      <c r="B7" s="24" t="s">
        <v>27</v>
      </c>
      <c r="C7" s="25" t="s">
        <v>17</v>
      </c>
      <c r="D7" s="26">
        <v>112</v>
      </c>
      <c r="E7" s="27">
        <f>$G$1</f>
        <v>0.77466666666666661</v>
      </c>
      <c r="F7" s="28">
        <v>1</v>
      </c>
      <c r="G7" s="29">
        <f>D7*E7</f>
        <v>86.762666666666661</v>
      </c>
      <c r="H7" s="32">
        <f>G7*F7</f>
        <v>86.762666666666661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1">(H7/I7)/1000</f>
        <v>8.6762666666666655E-2</v>
      </c>
      <c r="L7" s="31">
        <f t="shared" si="0"/>
        <v>2.6896426666666664</v>
      </c>
      <c r="U7" s="251"/>
    </row>
    <row r="8" spans="1:28" ht="13.15" x14ac:dyDescent="0.4">
      <c r="B8" s="24" t="s">
        <v>22</v>
      </c>
      <c r="C8" s="25" t="s">
        <v>17</v>
      </c>
      <c r="D8" s="26">
        <v>450</v>
      </c>
      <c r="E8" s="27">
        <f>$G$1</f>
        <v>0.77466666666666661</v>
      </c>
      <c r="F8" s="28">
        <v>1</v>
      </c>
      <c r="G8" s="29">
        <f>D8*E8</f>
        <v>348.59999999999997</v>
      </c>
      <c r="H8" s="32">
        <f>G8*F8</f>
        <v>348.59999999999997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0.34859999999999997</v>
      </c>
      <c r="L8" s="31">
        <f t="shared" si="0"/>
        <v>0.25796399999999997</v>
      </c>
      <c r="U8" s="215" t="s">
        <v>17</v>
      </c>
      <c r="V8" s="216">
        <v>1</v>
      </c>
      <c r="W8" s="215" t="s">
        <v>250</v>
      </c>
      <c r="X8" s="217">
        <f>(N16*V8)/N15</f>
        <v>2.7685000000000001E-3</v>
      </c>
    </row>
    <row r="9" spans="1:28" x14ac:dyDescent="0.35">
      <c r="B9" s="24" t="s">
        <v>16</v>
      </c>
      <c r="C9" s="33" t="s">
        <v>17</v>
      </c>
      <c r="D9" s="34">
        <v>150</v>
      </c>
      <c r="E9" s="35">
        <f>$G$1</f>
        <v>0.77466666666666661</v>
      </c>
      <c r="F9" s="36">
        <v>1</v>
      </c>
      <c r="G9" s="37">
        <f>D9*E9</f>
        <v>116.19999999999999</v>
      </c>
      <c r="H9" s="38">
        <f>G9*F9</f>
        <v>116.19999999999999</v>
      </c>
      <c r="I9" s="59">
        <f>VLOOKUP(B9,Ordering!$A$1:$J$45,6,FALSE)</f>
        <v>1</v>
      </c>
      <c r="J9" s="59">
        <f>VLOOKUP(B9,Ordering!$A$1:$J$45,10,FALSE)</f>
        <v>30</v>
      </c>
      <c r="K9" s="59">
        <f t="shared" si="1"/>
        <v>0.11619999999999998</v>
      </c>
      <c r="L9" s="31">
        <f t="shared" si="0"/>
        <v>3.4859999999999993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94</v>
      </c>
      <c r="N11" s="242"/>
    </row>
    <row r="12" spans="1:28" ht="13.5" customHeight="1" x14ac:dyDescent="0.35">
      <c r="B12" s="48" t="s">
        <v>71</v>
      </c>
      <c r="C12" s="49">
        <f>I1</f>
        <v>0.77466666666666661</v>
      </c>
      <c r="D12" s="50">
        <f>E1</f>
        <v>23240</v>
      </c>
      <c r="F12" s="18"/>
      <c r="I12" s="18"/>
      <c r="J12" s="18"/>
      <c r="K12" s="18"/>
      <c r="M12" s="48"/>
      <c r="N12" s="48" t="s">
        <v>70</v>
      </c>
    </row>
    <row r="13" spans="1:28" ht="13.5" customHeight="1" x14ac:dyDescent="0.35">
      <c r="B13" s="48" t="s">
        <v>73</v>
      </c>
      <c r="C13" s="51">
        <f>MIN($C$12,1)</f>
        <v>0.77466666666666661</v>
      </c>
      <c r="D13" s="50">
        <f>C13*$C$1</f>
        <v>23240</v>
      </c>
      <c r="E13" s="18"/>
      <c r="F13" s="18"/>
      <c r="I13" s="18"/>
      <c r="J13" s="18"/>
      <c r="K13" s="18"/>
      <c r="M13" s="48" t="s">
        <v>86</v>
      </c>
      <c r="N13" s="130">
        <f>$Z$1</f>
        <v>23240</v>
      </c>
    </row>
    <row r="14" spans="1:28" ht="14.25" customHeight="1" x14ac:dyDescent="0.35">
      <c r="B14" s="48" t="s">
        <v>75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87</v>
      </c>
      <c r="N14" s="129">
        <f>$AB$1</f>
        <v>0</v>
      </c>
    </row>
    <row r="15" spans="1:28" ht="14.25" customHeight="1" thickBot="1" x14ac:dyDescent="0.4">
      <c r="B15" s="48" t="s">
        <v>76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88</v>
      </c>
      <c r="N15" s="54">
        <f>N13+N14</f>
        <v>23240</v>
      </c>
    </row>
    <row r="16" spans="1:28" ht="13.5" thickBot="1" x14ac:dyDescent="0.45">
      <c r="M16" s="213" t="s">
        <v>250</v>
      </c>
      <c r="N16" s="214">
        <f>SUM(L5:L9)</f>
        <v>64.339939999999999</v>
      </c>
    </row>
    <row r="20" spans="14:15" ht="13.5" customHeight="1" x14ac:dyDescent="0.35">
      <c r="N20" s="245"/>
      <c r="O20" s="245"/>
    </row>
    <row r="40" spans="1:9" ht="17.649999999999999" x14ac:dyDescent="0.35">
      <c r="A40" s="134"/>
      <c r="B40" s="240" t="str">
        <f>"      رز المقلوبة   1 / " &amp; COUNTIF($C$13:$C$15, "&gt;0")</f>
        <v xml:space="preserve">      رز المقلوبة   1 / 1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 Maklouba Rice   1 / " &amp; COUNTIF($C$13:$C$15, "&gt;0")</f>
        <v xml:space="preserve">  Maklouba Rice   1 / 1</v>
      </c>
      <c r="C41" s="240"/>
      <c r="D41" s="240"/>
      <c r="E41" s="240"/>
      <c r="F41" s="240"/>
      <c r="G41" s="240"/>
      <c r="H41" s="240"/>
      <c r="I41" s="240"/>
    </row>
    <row r="42" spans="1:9" ht="43.5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13</v>
      </c>
      <c r="E43" s="57">
        <f>$C$13</f>
        <v>0.77466666666666661</v>
      </c>
      <c r="F43" s="58">
        <f>$D$13</f>
        <v>23240</v>
      </c>
      <c r="G43" s="28">
        <f>F5</f>
        <v>1</v>
      </c>
      <c r="H43" s="83">
        <f>D43*E43</f>
        <v>10.070666666666666</v>
      </c>
      <c r="I43" s="32">
        <f>H43*G43</f>
        <v>10.070666666666666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25000</v>
      </c>
      <c r="E44" s="57">
        <f>$C$13</f>
        <v>0.77466666666666661</v>
      </c>
      <c r="F44" s="58">
        <f>$D$13</f>
        <v>23240</v>
      </c>
      <c r="G44" s="28">
        <f>F6</f>
        <v>1</v>
      </c>
      <c r="H44" s="83">
        <f>D44*E44</f>
        <v>19366.666666666664</v>
      </c>
      <c r="I44" s="32">
        <f>H44*G44</f>
        <v>19366.666666666664</v>
      </c>
    </row>
    <row r="45" spans="1:9" ht="25.5" x14ac:dyDescent="0.35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112</v>
      </c>
      <c r="E45" s="57">
        <f>$C$13</f>
        <v>0.77466666666666661</v>
      </c>
      <c r="F45" s="58">
        <f>$D$13</f>
        <v>23240</v>
      </c>
      <c r="G45" s="28">
        <f>F7</f>
        <v>1</v>
      </c>
      <c r="H45" s="83">
        <f>D45*E45</f>
        <v>86.762666666666661</v>
      </c>
      <c r="I45" s="32">
        <f>H45*G45</f>
        <v>86.762666666666661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450</v>
      </c>
      <c r="E46" s="57">
        <f>$C$13</f>
        <v>0.77466666666666661</v>
      </c>
      <c r="F46" s="58">
        <f>$D$13</f>
        <v>23240</v>
      </c>
      <c r="G46" s="28">
        <f>F8</f>
        <v>1</v>
      </c>
      <c r="H46" s="83">
        <f>D46*E46</f>
        <v>348.59999999999997</v>
      </c>
      <c r="I46" s="32">
        <f>H46*G46</f>
        <v>348.59999999999997</v>
      </c>
    </row>
    <row r="47" spans="1:9" x14ac:dyDescent="0.35">
      <c r="B47" s="24" t="str">
        <f t="shared" si="2"/>
        <v>Butter - زبدة</v>
      </c>
      <c r="C47" s="24" t="str">
        <f t="shared" si="2"/>
        <v>gm</v>
      </c>
      <c r="D47" s="24">
        <f t="shared" si="2"/>
        <v>150</v>
      </c>
      <c r="E47" s="57">
        <f>$C$13</f>
        <v>0.77466666666666661</v>
      </c>
      <c r="F47" s="58">
        <f>$D$13</f>
        <v>23240</v>
      </c>
      <c r="G47" s="28">
        <f>F9</f>
        <v>1</v>
      </c>
      <c r="H47" s="83">
        <f>D47*E47</f>
        <v>116.19999999999999</v>
      </c>
      <c r="I47" s="32">
        <f>H47*G47</f>
        <v>116.19999999999999</v>
      </c>
    </row>
    <row r="52" spans="2:9" ht="17.649999999999999" x14ac:dyDescent="0.35">
      <c r="B52" s="240" t="str">
        <f>"      رز المقلوبة  2 / " &amp; COUNTIF($C$13:$C$15, "&gt;0")</f>
        <v xml:space="preserve">      رز المقلوبة  2 / 1</v>
      </c>
      <c r="C52" s="240"/>
      <c r="D52" s="240"/>
      <c r="E52" s="240"/>
      <c r="F52" s="240"/>
      <c r="G52" s="240"/>
      <c r="H52" s="240"/>
      <c r="I52" s="240"/>
    </row>
    <row r="53" spans="2:9" ht="17.649999999999999" x14ac:dyDescent="0.35">
      <c r="B53" s="240" t="str">
        <f>"  Maklouba Rice   2 / " &amp; COUNTIF($C$13:$C$15, "&gt;0")</f>
        <v xml:space="preserve">  Maklouba Rice   2 / 1</v>
      </c>
      <c r="C53" s="240"/>
      <c r="D53" s="240"/>
      <c r="E53" s="240"/>
      <c r="F53" s="240"/>
      <c r="G53" s="240"/>
      <c r="H53" s="240"/>
      <c r="I53" s="240"/>
    </row>
    <row r="54" spans="2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23" t="s">
        <v>79</v>
      </c>
    </row>
    <row r="55" spans="2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13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25000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2:9" ht="24" customHeight="1" x14ac:dyDescent="0.35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112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2:9" ht="28.5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450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2:9" x14ac:dyDescent="0.35">
      <c r="B59" s="24" t="str">
        <f t="shared" si="3"/>
        <v>Butter - زبدة</v>
      </c>
      <c r="C59" s="24" t="str">
        <f t="shared" si="3"/>
        <v>gm</v>
      </c>
      <c r="D59" s="24">
        <f t="shared" si="3"/>
        <v>150</v>
      </c>
      <c r="E59" s="27">
        <f>$C$14</f>
        <v>0</v>
      </c>
      <c r="F59" s="58">
        <f>$D$14</f>
        <v>0</v>
      </c>
      <c r="G59" s="28">
        <f>F9</f>
        <v>1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</row>
    <row r="61" spans="2:9" x14ac:dyDescent="0.35">
      <c r="B61" s="18"/>
      <c r="E61" s="18"/>
      <c r="F61" s="18"/>
    </row>
    <row r="62" spans="2:9" x14ac:dyDescent="0.35">
      <c r="B62" s="18"/>
      <c r="E62" s="18"/>
      <c r="F62" s="18"/>
    </row>
    <row r="63" spans="2:9" x14ac:dyDescent="0.35">
      <c r="B63" s="18"/>
      <c r="E63" s="18"/>
      <c r="F63" s="18"/>
    </row>
    <row r="64" spans="2:9" ht="17.649999999999999" x14ac:dyDescent="0.35">
      <c r="B64" s="240" t="str">
        <f>"      رز المقلوبة  3 / " &amp; COUNTIF($C$13:$C$15, "&gt;0")</f>
        <v xml:space="preserve">      رز المقلوبة  3 / 1</v>
      </c>
      <c r="C64" s="240"/>
      <c r="D64" s="240"/>
      <c r="E64" s="240"/>
      <c r="F64" s="240"/>
      <c r="G64" s="240"/>
      <c r="H64" s="240"/>
      <c r="I64" s="240"/>
    </row>
    <row r="65" spans="2:9" ht="17.649999999999999" x14ac:dyDescent="0.35">
      <c r="B65" s="240" t="str">
        <f>"  Maklouba Rice   3 / " &amp; COUNTIF($C$13:$C$15, "&gt;0")</f>
        <v xml:space="preserve">  Maklouba Rice   3 / 1</v>
      </c>
      <c r="C65" s="240"/>
      <c r="D65" s="240"/>
      <c r="E65" s="240"/>
      <c r="F65" s="240"/>
      <c r="G65" s="240"/>
      <c r="H65" s="240"/>
      <c r="I65" s="240"/>
    </row>
    <row r="66" spans="2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22" t="s">
        <v>65</v>
      </c>
      <c r="I66" s="23" t="s">
        <v>66</v>
      </c>
    </row>
    <row r="67" spans="2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13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25000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ht="25.5" x14ac:dyDescent="0.35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112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450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x14ac:dyDescent="0.35">
      <c r="B71" s="24" t="str">
        <f t="shared" si="4"/>
        <v>Butter - زبدة</v>
      </c>
      <c r="C71" s="24" t="str">
        <f t="shared" si="4"/>
        <v>gm</v>
      </c>
      <c r="D71" s="24">
        <f t="shared" si="4"/>
        <v>150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64:I64"/>
    <mergeCell ref="B65:I65"/>
    <mergeCell ref="A2:A3"/>
    <mergeCell ref="M11:N11"/>
    <mergeCell ref="B2:H3"/>
    <mergeCell ref="B40:I40"/>
    <mergeCell ref="N20:O20"/>
    <mergeCell ref="B41:I41"/>
    <mergeCell ref="B52:I52"/>
    <mergeCell ref="B53:I53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55A11"/>
    <pageSetUpPr fitToPage="1"/>
  </sheetPr>
  <dimension ref="A1:AB71"/>
  <sheetViews>
    <sheetView topLeftCell="B1" zoomScale="70" zoomScaleNormal="70" workbookViewId="0">
      <selection activeCell="J5" sqref="I5:J9"/>
    </sheetView>
  </sheetViews>
  <sheetFormatPr defaultColWidth="12.5" defaultRowHeight="12.75" x14ac:dyDescent="0.35"/>
  <cols>
    <col min="1" max="1" width="8.0625" style="10" customWidth="1"/>
    <col min="2" max="2" width="20.5" style="10" customWidth="1"/>
    <col min="3" max="3" width="24" style="10" customWidth="1"/>
    <col min="4" max="4" width="21.8125" style="10" customWidth="1"/>
    <col min="5" max="5" width="16.1875" style="10" customWidth="1"/>
    <col min="6" max="6" width="19.1875" style="10" customWidth="1"/>
    <col min="7" max="7" width="16.7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64620</v>
      </c>
      <c r="F1" s="11" t="s">
        <v>55</v>
      </c>
      <c r="G1" s="15">
        <f>E1/C1</f>
        <v>2.1539999999999999</v>
      </c>
      <c r="H1" s="11" t="s">
        <v>56</v>
      </c>
      <c r="I1" s="16">
        <f>(G1/K1)</f>
        <v>2.1539999999999999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64620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58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2.1539999999999999</v>
      </c>
      <c r="F5" s="28">
        <v>1</v>
      </c>
      <c r="G5" s="29">
        <f>D5*E5</f>
        <v>21.54</v>
      </c>
      <c r="H5" s="30">
        <f>G5*F5</f>
        <v>21.54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21.54</v>
      </c>
      <c r="L5" s="25">
        <f>K5*J5</f>
        <v>123.85499999999999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>$G$1</f>
        <v>2.1539999999999999</v>
      </c>
      <c r="F6" s="28">
        <v>1</v>
      </c>
      <c r="G6" s="29">
        <f>D6*E6</f>
        <v>64620</v>
      </c>
      <c r="H6" s="31">
        <f>G6*F6</f>
        <v>64620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64.62</v>
      </c>
      <c r="L6" s="25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2.1539999999999999</v>
      </c>
      <c r="F7" s="28">
        <v>1</v>
      </c>
      <c r="G7" s="29">
        <f>D7*E7</f>
        <v>323.09999999999997</v>
      </c>
      <c r="H7" s="32">
        <f>G7*F7</f>
        <v>323.09999999999997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0.32309999999999994</v>
      </c>
      <c r="L7" s="25">
        <f t="shared" si="0"/>
        <v>9.6929999999999978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>$G$1</f>
        <v>2.1539999999999999</v>
      </c>
      <c r="F8" s="28">
        <v>1</v>
      </c>
      <c r="G8" s="29">
        <f>D8*E8</f>
        <v>861.59999999999991</v>
      </c>
      <c r="H8" s="32">
        <f>G8*F8</f>
        <v>861.59999999999991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0.86159999999999992</v>
      </c>
      <c r="L8" s="25">
        <f t="shared" si="0"/>
        <v>0.63758399999999993</v>
      </c>
    </row>
    <row r="9" spans="1:28" ht="25.5" x14ac:dyDescent="0.35">
      <c r="B9" s="24" t="s">
        <v>27</v>
      </c>
      <c r="C9" s="33" t="s">
        <v>17</v>
      </c>
      <c r="D9" s="34">
        <v>20</v>
      </c>
      <c r="E9" s="35">
        <f>$G$1</f>
        <v>2.1539999999999999</v>
      </c>
      <c r="F9" s="36">
        <v>1</v>
      </c>
      <c r="G9" s="37">
        <f>D9*E9</f>
        <v>43.08</v>
      </c>
      <c r="H9" s="38">
        <f>G9*F9</f>
        <v>43.08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4.308E-2</v>
      </c>
      <c r="L9" s="25">
        <f t="shared" si="0"/>
        <v>1.33548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67</v>
      </c>
      <c r="N11" s="243"/>
    </row>
    <row r="12" spans="1:28" ht="13.5" customHeight="1" x14ac:dyDescent="0.35">
      <c r="B12" s="48" t="s">
        <v>71</v>
      </c>
      <c r="C12" s="49">
        <f>I1</f>
        <v>2.1539999999999999</v>
      </c>
      <c r="D12" s="50">
        <f>E1</f>
        <v>64620</v>
      </c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73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72</v>
      </c>
      <c r="N13" s="130">
        <f>$Z$1</f>
        <v>64620</v>
      </c>
    </row>
    <row r="14" spans="1:28" ht="14.25" customHeight="1" x14ac:dyDescent="0.35">
      <c r="B14" s="48" t="s">
        <v>75</v>
      </c>
      <c r="C14" s="51">
        <f>MIN(MAX($C$12-C13,0),1)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74</v>
      </c>
      <c r="N14" s="129">
        <f>$AB$1</f>
        <v>0</v>
      </c>
    </row>
    <row r="15" spans="1:28" ht="14.25" customHeight="1" x14ac:dyDescent="0.35">
      <c r="B15" s="48" t="s">
        <v>76</v>
      </c>
      <c r="C15" s="51">
        <f>MIN(MAX($C$12-C13-C14,0),1)</f>
        <v>0.15399999999999991</v>
      </c>
      <c r="D15" s="50">
        <f>C15*$C$1</f>
        <v>4619.9999999999973</v>
      </c>
      <c r="E15" s="18"/>
      <c r="F15" s="18"/>
      <c r="I15" s="18"/>
      <c r="J15" s="18"/>
      <c r="K15" s="18"/>
      <c r="M15" s="53" t="s">
        <v>71</v>
      </c>
      <c r="N15" s="54">
        <f>N13+N14</f>
        <v>64620</v>
      </c>
    </row>
    <row r="20" spans="14:15" ht="13.5" customHeight="1" x14ac:dyDescent="0.35">
      <c r="N20" s="245"/>
      <c r="O20" s="245"/>
    </row>
    <row r="40" spans="1:9" ht="17.649999999999999" x14ac:dyDescent="0.35">
      <c r="A40" s="134"/>
      <c r="B40" s="240" t="str">
        <f>"      رز أبيض   1 / " &amp; COUNTIF($C$13:$C$15, "&gt;0")</f>
        <v xml:space="preserve">      رز أبيض   1 / 3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 White Rice   1 / " &amp; COUNTIF($C$13:$C$15, "&gt;0")</f>
        <v xml:space="preserve">  White Rice   1 / 3</v>
      </c>
      <c r="C41" s="240"/>
      <c r="D41" s="240"/>
      <c r="E41" s="240"/>
      <c r="F41" s="240"/>
      <c r="G41" s="240"/>
      <c r="H41" s="240"/>
      <c r="I41" s="240"/>
    </row>
    <row r="42" spans="1:9" ht="36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ht="21.5" customHeight="1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25.5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7.649999999999999" x14ac:dyDescent="0.35">
      <c r="A52" s="134"/>
      <c r="B52" s="240" t="str">
        <f>"      رز أبيض   2 / " &amp; COUNTIF($C$13:$C$15, "&gt;0")</f>
        <v xml:space="preserve">      رز أبيض   2 / 3</v>
      </c>
      <c r="C52" s="240"/>
      <c r="D52" s="240"/>
      <c r="E52" s="240"/>
      <c r="F52" s="240"/>
      <c r="G52" s="240"/>
      <c r="H52" s="240"/>
      <c r="I52" s="240"/>
    </row>
    <row r="53" spans="1:9" ht="18" customHeight="1" x14ac:dyDescent="0.35">
      <c r="A53" s="134"/>
      <c r="B53" s="240" t="str">
        <f>"  White Rice   2 / " &amp; COUNTIF($C$13:$C$15, "&gt;0")</f>
        <v xml:space="preserve">  White Rice   2 / 3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104" t="s">
        <v>65</v>
      </c>
      <c r="I54" s="23" t="s">
        <v>79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1</v>
      </c>
      <c r="F55" s="58">
        <f>$D$14</f>
        <v>30000</v>
      </c>
      <c r="G55" s="28">
        <f>F5</f>
        <v>1</v>
      </c>
      <c r="H55" s="84">
        <f>D55*E55</f>
        <v>10</v>
      </c>
      <c r="I55" s="30">
        <f>H55*G55</f>
        <v>10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1</v>
      </c>
      <c r="F56" s="58">
        <f>$D$14</f>
        <v>30000</v>
      </c>
      <c r="G56" s="28">
        <f>F6</f>
        <v>1</v>
      </c>
      <c r="H56" s="84">
        <f>D56*E56</f>
        <v>30000</v>
      </c>
      <c r="I56" s="32">
        <f>H56*G56</f>
        <v>30000</v>
      </c>
    </row>
    <row r="57" spans="1:9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1</v>
      </c>
      <c r="F57" s="58">
        <f>$D$14</f>
        <v>30000</v>
      </c>
      <c r="G57" s="28">
        <f>F7</f>
        <v>1</v>
      </c>
      <c r="H57" s="84">
        <f>D57*E57</f>
        <v>150</v>
      </c>
      <c r="I57" s="32">
        <f>H57*G57</f>
        <v>150</v>
      </c>
    </row>
    <row r="58" spans="1:9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1</v>
      </c>
      <c r="F58" s="58">
        <f>$D$14</f>
        <v>30000</v>
      </c>
      <c r="G58" s="28">
        <f>F8</f>
        <v>1</v>
      </c>
      <c r="H58" s="84">
        <f>D58*E58</f>
        <v>400</v>
      </c>
      <c r="I58" s="32">
        <f>H58*G58</f>
        <v>400</v>
      </c>
    </row>
    <row r="59" spans="1:9" ht="13.25" customHeight="1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1</v>
      </c>
      <c r="F59" s="58">
        <f>$D$14</f>
        <v>30000</v>
      </c>
      <c r="G59" s="28">
        <f>F9</f>
        <v>1</v>
      </c>
      <c r="H59" s="84">
        <f>D59*E59</f>
        <v>20</v>
      </c>
      <c r="I59" s="32">
        <f>H59*G59</f>
        <v>20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7.649999999999999" x14ac:dyDescent="0.35">
      <c r="A64" s="134"/>
      <c r="B64" s="240" t="str">
        <f>"      رز أبيض  3 / " &amp; COUNTIF($C$13:$C$15, "&gt;0")</f>
        <v xml:space="preserve">      رز أبيض  3 / 3</v>
      </c>
      <c r="C64" s="240"/>
      <c r="D64" s="240"/>
      <c r="E64" s="240"/>
      <c r="F64" s="240"/>
      <c r="G64" s="240"/>
      <c r="H64" s="240"/>
      <c r="I64" s="240"/>
    </row>
    <row r="65" spans="1:9" ht="17.649999999999999" x14ac:dyDescent="0.35">
      <c r="A65" s="134"/>
      <c r="B65" s="240" t="str">
        <f>"  White Rice   3 / " &amp; COUNTIF($C$13:$C$15, "&gt;0")</f>
        <v xml:space="preserve">  White Rice   3 / 3</v>
      </c>
      <c r="C65" s="240"/>
      <c r="D65" s="240"/>
      <c r="E65" s="240"/>
      <c r="F65" s="240"/>
      <c r="G65" s="240"/>
      <c r="H65" s="240"/>
      <c r="I65" s="240"/>
    </row>
    <row r="66" spans="1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104" t="s">
        <v>65</v>
      </c>
      <c r="I66" s="23" t="s">
        <v>66</v>
      </c>
    </row>
    <row r="67" spans="1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0.15399999999999991</v>
      </c>
      <c r="F67" s="58">
        <f>$D$15</f>
        <v>4619.9999999999973</v>
      </c>
      <c r="G67" s="28">
        <f>F5</f>
        <v>1</v>
      </c>
      <c r="H67" s="84">
        <f>D67*E67</f>
        <v>1.5399999999999991</v>
      </c>
      <c r="I67" s="32">
        <f>H67*G67</f>
        <v>1.5399999999999991</v>
      </c>
    </row>
    <row r="68" spans="1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0.15399999999999991</v>
      </c>
      <c r="F68" s="58">
        <f>$D$15</f>
        <v>4619.9999999999973</v>
      </c>
      <c r="G68" s="28">
        <f>F6</f>
        <v>1</v>
      </c>
      <c r="H68" s="84">
        <f>D68*E68</f>
        <v>4619.9999999999973</v>
      </c>
      <c r="I68" s="32">
        <f>H68*G68</f>
        <v>4619.9999999999973</v>
      </c>
    </row>
    <row r="69" spans="1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0.15399999999999991</v>
      </c>
      <c r="F69" s="58">
        <f>$D$15</f>
        <v>4619.9999999999973</v>
      </c>
      <c r="G69" s="28">
        <f>F7</f>
        <v>1</v>
      </c>
      <c r="H69" s="84">
        <f>D69*E69</f>
        <v>23.099999999999987</v>
      </c>
      <c r="I69" s="32">
        <f>H69*G69</f>
        <v>23.099999999999987</v>
      </c>
    </row>
    <row r="70" spans="1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0.15399999999999991</v>
      </c>
      <c r="F70" s="58">
        <f>$D$15</f>
        <v>4619.9999999999973</v>
      </c>
      <c r="G70" s="28">
        <f>F8</f>
        <v>1</v>
      </c>
      <c r="H70" s="84">
        <f>D70*E70</f>
        <v>61.599999999999966</v>
      </c>
      <c r="I70" s="32">
        <f>H70*G70</f>
        <v>61.599999999999966</v>
      </c>
    </row>
    <row r="71" spans="1:9" ht="25.5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0.15399999999999991</v>
      </c>
      <c r="F71" s="58">
        <f>$D$15</f>
        <v>4619.9999999999973</v>
      </c>
      <c r="G71" s="28">
        <f>F9</f>
        <v>1</v>
      </c>
      <c r="H71" s="84">
        <f>D71*E71</f>
        <v>3.0799999999999983</v>
      </c>
      <c r="I71" s="32">
        <f>H71*G71</f>
        <v>3.0799999999999983</v>
      </c>
    </row>
  </sheetData>
  <mergeCells count="10">
    <mergeCell ref="B53:I53"/>
    <mergeCell ref="B64:I64"/>
    <mergeCell ref="B65:I65"/>
    <mergeCell ref="A2:A3"/>
    <mergeCell ref="M11:N11"/>
    <mergeCell ref="B2:H3"/>
    <mergeCell ref="N20:O20"/>
    <mergeCell ref="B41:I41"/>
    <mergeCell ref="B40:I40"/>
    <mergeCell ref="B52:I52"/>
  </mergeCells>
  <printOptions horizontalCentered="1"/>
  <pageMargins left="0.5" right="0.5" top="1" bottom="0.5" header="0.3" footer="0.511811023622047"/>
  <pageSetup paperSize="9" scale="20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C55A11"/>
    <pageSetUpPr fitToPage="1"/>
  </sheetPr>
  <dimension ref="A1:AB60"/>
  <sheetViews>
    <sheetView zoomScale="70" zoomScaleNormal="70" workbookViewId="0">
      <selection activeCell="J5" sqref="I5:J10"/>
    </sheetView>
  </sheetViews>
  <sheetFormatPr defaultColWidth="12.5" defaultRowHeight="12.75" x14ac:dyDescent="0.35"/>
  <cols>
    <col min="1" max="1" width="8.0625" style="10" customWidth="1"/>
    <col min="2" max="2" width="28.5625" style="10" customWidth="1"/>
    <col min="3" max="3" width="24" style="10" customWidth="1"/>
    <col min="4" max="4" width="21.8125" style="10" customWidth="1"/>
    <col min="5" max="5" width="16.1875" style="10" customWidth="1"/>
    <col min="6" max="6" width="14.6875" style="10" customWidth="1"/>
    <col min="7" max="7" width="25.1875" style="10" customWidth="1"/>
    <col min="8" max="8" width="13.25" style="10" customWidth="1"/>
    <col min="9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25370</v>
      </c>
      <c r="F1" s="11" t="s">
        <v>55</v>
      </c>
      <c r="G1" s="15">
        <f>E1/C1</f>
        <v>0.84566666666666668</v>
      </c>
      <c r="H1" s="11" t="s">
        <v>56</v>
      </c>
      <c r="I1" s="16">
        <f>(G1/K1)</f>
        <v>0.84566666666666668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25370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93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108</v>
      </c>
      <c r="C5" s="25" t="s">
        <v>6</v>
      </c>
      <c r="D5" s="26">
        <v>15</v>
      </c>
      <c r="E5" s="27">
        <f t="shared" ref="E5:E10" si="0">$G$1</f>
        <v>0.84566666666666668</v>
      </c>
      <c r="F5" s="28">
        <v>1</v>
      </c>
      <c r="G5" s="29">
        <f t="shared" ref="G5:G10" si="1">D5*E5</f>
        <v>12.685</v>
      </c>
      <c r="H5" s="30">
        <f t="shared" ref="H5:H10" si="2">G5*F5</f>
        <v>12.685</v>
      </c>
      <c r="I5" s="12">
        <f>VLOOKUP(B5,Ordering!$A$1:$J$45,6,FALSE)</f>
        <v>1</v>
      </c>
      <c r="J5" s="12">
        <f>VLOOKUP(B5,Ordering!$A$1:$J$45,10,FALSE)</f>
        <v>6.9333333333333336</v>
      </c>
      <c r="K5" s="12">
        <f>(H5/I5)</f>
        <v>12.685</v>
      </c>
      <c r="L5" s="25">
        <f>K5*J5</f>
        <v>87.949333333333342</v>
      </c>
    </row>
    <row r="6" spans="1:28" x14ac:dyDescent="0.35">
      <c r="B6" s="24" t="s">
        <v>11</v>
      </c>
      <c r="C6" s="25" t="s">
        <v>213</v>
      </c>
      <c r="D6" s="26">
        <v>15000</v>
      </c>
      <c r="E6" s="27">
        <f t="shared" si="0"/>
        <v>0.84566666666666668</v>
      </c>
      <c r="F6" s="28">
        <v>1</v>
      </c>
      <c r="G6" s="29">
        <f t="shared" si="1"/>
        <v>12685</v>
      </c>
      <c r="H6" s="31">
        <f t="shared" si="2"/>
        <v>12685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12.685</v>
      </c>
      <c r="L6" s="25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0.84566666666666668</v>
      </c>
      <c r="F7" s="28">
        <v>1</v>
      </c>
      <c r="G7" s="29">
        <f t="shared" si="1"/>
        <v>126.85000000000001</v>
      </c>
      <c r="H7" s="32">
        <f t="shared" si="2"/>
        <v>126.85000000000001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0.12685000000000002</v>
      </c>
      <c r="L7" s="25">
        <f t="shared" si="3"/>
        <v>3.8055000000000003</v>
      </c>
    </row>
    <row r="8" spans="1:28" x14ac:dyDescent="0.35">
      <c r="B8" s="24" t="s">
        <v>22</v>
      </c>
      <c r="C8" s="25" t="s">
        <v>17</v>
      </c>
      <c r="D8" s="26">
        <v>250</v>
      </c>
      <c r="E8" s="27">
        <f t="shared" si="0"/>
        <v>0.84566666666666668</v>
      </c>
      <c r="F8" s="28">
        <v>1</v>
      </c>
      <c r="G8" s="29">
        <f t="shared" si="1"/>
        <v>211.41666666666666</v>
      </c>
      <c r="H8" s="32">
        <f t="shared" si="2"/>
        <v>211.41666666666666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0.21141666666666667</v>
      </c>
      <c r="L8" s="25">
        <f t="shared" si="3"/>
        <v>0.15644833333333333</v>
      </c>
    </row>
    <row r="9" spans="1:28" x14ac:dyDescent="0.35">
      <c r="B9" s="24" t="s">
        <v>27</v>
      </c>
      <c r="C9" s="25" t="s">
        <v>17</v>
      </c>
      <c r="D9" s="26">
        <v>20</v>
      </c>
      <c r="E9" s="35">
        <f t="shared" si="0"/>
        <v>0.84566666666666668</v>
      </c>
      <c r="F9" s="36">
        <v>1</v>
      </c>
      <c r="G9" s="37">
        <f t="shared" si="1"/>
        <v>16.913333333333334</v>
      </c>
      <c r="H9" s="38">
        <f t="shared" si="2"/>
        <v>16.913333333333334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1.6913333333333332E-2</v>
      </c>
      <c r="L9" s="25">
        <f t="shared" si="3"/>
        <v>0.5243133333333333</v>
      </c>
    </row>
    <row r="10" spans="1:28" ht="17" customHeight="1" x14ac:dyDescent="0.35">
      <c r="B10" s="24" t="s">
        <v>239</v>
      </c>
      <c r="C10" s="25" t="s">
        <v>17</v>
      </c>
      <c r="D10" s="26">
        <v>20</v>
      </c>
      <c r="E10" s="35">
        <f t="shared" si="0"/>
        <v>0.84566666666666668</v>
      </c>
      <c r="F10" s="36">
        <v>1</v>
      </c>
      <c r="G10" s="37">
        <f t="shared" si="1"/>
        <v>16.913333333333334</v>
      </c>
      <c r="H10" s="38">
        <f t="shared" si="2"/>
        <v>16.913333333333334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1.6913333333333332E-2</v>
      </c>
      <c r="L10" s="25">
        <f t="shared" ref="L10" si="6">K10*J10</f>
        <v>0.38055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93</v>
      </c>
      <c r="N11" s="243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71</v>
      </c>
      <c r="C13" s="49">
        <f>I1</f>
        <v>0.84566666666666668</v>
      </c>
      <c r="D13" s="50">
        <f>E1</f>
        <v>25370</v>
      </c>
      <c r="F13" s="18"/>
      <c r="I13" s="18"/>
      <c r="J13" s="18"/>
      <c r="K13" s="18"/>
      <c r="M13" s="48" t="s">
        <v>72</v>
      </c>
      <c r="N13" s="130">
        <f>$Z$1</f>
        <v>25370</v>
      </c>
    </row>
    <row r="14" spans="1:28" ht="13.5" customHeight="1" x14ac:dyDescent="0.35">
      <c r="B14" s="48" t="s">
        <v>73</v>
      </c>
      <c r="C14" s="51">
        <f>MIN($C$13,1)</f>
        <v>0.84566666666666668</v>
      </c>
      <c r="D14" s="50">
        <f>C14*$C$1</f>
        <v>25370</v>
      </c>
      <c r="E14" s="18"/>
      <c r="F14" s="18"/>
      <c r="I14" s="18"/>
      <c r="J14" s="18"/>
      <c r="K14" s="18"/>
      <c r="M14" s="48" t="s">
        <v>74</v>
      </c>
      <c r="N14" s="129">
        <f>$AB$1</f>
        <v>0</v>
      </c>
    </row>
    <row r="15" spans="1:28" ht="14.25" customHeight="1" x14ac:dyDescent="0.35">
      <c r="B15" s="48" t="s">
        <v>75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71</v>
      </c>
      <c r="N15" s="54">
        <f>N13+N14</f>
        <v>25370</v>
      </c>
    </row>
    <row r="16" spans="1:28" ht="14.25" customHeigh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5">
      <c r="N21" s="245"/>
      <c r="O21" s="245"/>
    </row>
    <row r="40" spans="1:9" ht="13.5" customHeight="1" x14ac:dyDescent="0.35">
      <c r="A40" s="134"/>
      <c r="B40" s="240" t="str">
        <f>"      رز مصرى   1 / " &amp; COUNTIF($C$14:$C$16, "&gt;0")</f>
        <v xml:space="preserve">      رز مصرى  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Egyptian   1 / " &amp; COUNTIF($C$14:$C$16, "&gt;0")</f>
        <v xml:space="preserve">  Egyptian   1 / 1</v>
      </c>
      <c r="C41" s="240"/>
      <c r="D41" s="240"/>
      <c r="E41" s="240"/>
      <c r="F41" s="240"/>
      <c r="G41" s="240"/>
      <c r="H41" s="240"/>
      <c r="I41" s="240"/>
    </row>
    <row r="42" spans="1:9" ht="78.7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8" si="7">B5</f>
        <v>Egyptian Rice - رز مصرى</v>
      </c>
      <c r="C43" s="24" t="str">
        <f t="shared" si="7"/>
        <v>KG</v>
      </c>
      <c r="D43" s="24">
        <f t="shared" si="7"/>
        <v>15</v>
      </c>
      <c r="E43" s="58">
        <f t="shared" ref="E43:E48" si="8">$C$14</f>
        <v>0.84566666666666668</v>
      </c>
      <c r="F43" s="58">
        <f t="shared" ref="F43:F48" si="9">$D$14</f>
        <v>25370</v>
      </c>
      <c r="G43" s="28">
        <f t="shared" ref="G43:G48" si="10">F5</f>
        <v>1</v>
      </c>
      <c r="H43" s="84">
        <f t="shared" ref="H43:H48" si="11">D43*E43</f>
        <v>12.685</v>
      </c>
      <c r="I43" s="32">
        <f t="shared" ref="I43:I48" si="12">H43*G43</f>
        <v>12.685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15000</v>
      </c>
      <c r="E44" s="58">
        <f t="shared" si="8"/>
        <v>0.84566666666666668</v>
      </c>
      <c r="F44" s="58">
        <f t="shared" si="9"/>
        <v>25370</v>
      </c>
      <c r="G44" s="28">
        <f t="shared" si="10"/>
        <v>1</v>
      </c>
      <c r="H44" s="84">
        <f t="shared" si="11"/>
        <v>12685</v>
      </c>
      <c r="I44" s="32">
        <f t="shared" si="12"/>
        <v>12685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8">
        <f t="shared" si="8"/>
        <v>0.84566666666666668</v>
      </c>
      <c r="F45" s="58">
        <f t="shared" si="9"/>
        <v>25370</v>
      </c>
      <c r="G45" s="28">
        <f t="shared" si="10"/>
        <v>1</v>
      </c>
      <c r="H45" s="84">
        <f t="shared" si="11"/>
        <v>126.85000000000001</v>
      </c>
      <c r="I45" s="32">
        <f t="shared" si="12"/>
        <v>126.85000000000001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250</v>
      </c>
      <c r="E46" s="58">
        <f t="shared" si="8"/>
        <v>0.84566666666666668</v>
      </c>
      <c r="F46" s="58">
        <f t="shared" si="9"/>
        <v>25370</v>
      </c>
      <c r="G46" s="28">
        <f t="shared" si="10"/>
        <v>1</v>
      </c>
      <c r="H46" s="84">
        <f t="shared" si="11"/>
        <v>211.41666666666666</v>
      </c>
      <c r="I46" s="32">
        <f t="shared" si="12"/>
        <v>211.41666666666666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8">
        <f t="shared" si="8"/>
        <v>0.84566666666666668</v>
      </c>
      <c r="F47" s="58">
        <f t="shared" si="9"/>
        <v>25370</v>
      </c>
      <c r="G47" s="28">
        <f t="shared" si="10"/>
        <v>1</v>
      </c>
      <c r="H47" s="84">
        <f t="shared" si="11"/>
        <v>16.913333333333334</v>
      </c>
      <c r="I47" s="32">
        <f t="shared" si="12"/>
        <v>16.913333333333334</v>
      </c>
    </row>
    <row r="48" spans="1:9" ht="16.25" customHeight="1" x14ac:dyDescent="0.35">
      <c r="B48" s="24" t="str">
        <f t="shared" si="7"/>
        <v>لون صفار زعفران بودر - Saffron yellow color powder</v>
      </c>
      <c r="C48" s="24" t="str">
        <f t="shared" si="7"/>
        <v>gm</v>
      </c>
      <c r="D48" s="24">
        <f t="shared" si="7"/>
        <v>20</v>
      </c>
      <c r="E48" s="58">
        <f t="shared" si="8"/>
        <v>0.84566666666666668</v>
      </c>
      <c r="F48" s="58">
        <f t="shared" si="9"/>
        <v>25370</v>
      </c>
      <c r="G48" s="28">
        <f t="shared" si="10"/>
        <v>1</v>
      </c>
      <c r="H48" s="84">
        <f t="shared" si="11"/>
        <v>16.913333333333334</v>
      </c>
      <c r="I48" s="32">
        <f t="shared" si="12"/>
        <v>16.913333333333334</v>
      </c>
    </row>
    <row r="52" spans="2:9" ht="17.649999999999999" x14ac:dyDescent="0.35">
      <c r="B52" s="240" t="str">
        <f>"      رز مصرى   2 / " &amp; COUNTIF($C$14:$C$16, "&gt;0")</f>
        <v xml:space="preserve">      رز مصرى   2 / 1</v>
      </c>
      <c r="C52" s="240"/>
      <c r="D52" s="240"/>
      <c r="E52" s="240"/>
      <c r="F52" s="240"/>
      <c r="G52" s="240"/>
      <c r="H52" s="240"/>
      <c r="I52" s="240"/>
    </row>
    <row r="53" spans="2:9" ht="17.649999999999999" x14ac:dyDescent="0.35">
      <c r="B53" s="240" t="str">
        <f>"  Egyptian   2 / " &amp; COUNTIF($C$14:$C$16, "&gt;0")</f>
        <v xml:space="preserve">  Egyptian   2 / 1</v>
      </c>
      <c r="C53" s="240"/>
      <c r="D53" s="240"/>
      <c r="E53" s="240"/>
      <c r="F53" s="240"/>
      <c r="G53" s="240"/>
      <c r="H53" s="240"/>
      <c r="I53" s="240"/>
    </row>
    <row r="54" spans="2:9" ht="78.7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55" t="s">
        <v>78</v>
      </c>
    </row>
    <row r="55" spans="2:9" x14ac:dyDescent="0.35">
      <c r="B55" s="24" t="str">
        <f t="shared" ref="B55:D60" si="13">B5</f>
        <v>Egyptian Rice - رز مصرى</v>
      </c>
      <c r="C55" s="24" t="str">
        <f t="shared" si="13"/>
        <v>KG</v>
      </c>
      <c r="D55" s="24">
        <f t="shared" si="13"/>
        <v>15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2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15000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2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2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250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2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2:9" ht="24" customHeight="1" x14ac:dyDescent="0.35">
      <c r="B60" s="24" t="str">
        <f t="shared" si="13"/>
        <v>لون صفار زعفران بودر - Saffron yellow color powder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B2:H3"/>
    <mergeCell ref="B40:I40"/>
    <mergeCell ref="B41:I41"/>
    <mergeCell ref="M11:N1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C55A11"/>
    <pageSetUpPr fitToPage="1"/>
  </sheetPr>
  <dimension ref="A1:AB60"/>
  <sheetViews>
    <sheetView zoomScale="70" zoomScaleNormal="70" workbookViewId="0">
      <selection activeCell="J5" sqref="I5:J10"/>
    </sheetView>
  </sheetViews>
  <sheetFormatPr defaultColWidth="12.5" defaultRowHeight="12.75" x14ac:dyDescent="0.35"/>
  <cols>
    <col min="1" max="1" width="8.0625" style="10" customWidth="1"/>
    <col min="2" max="2" width="30.5625" style="10" customWidth="1"/>
    <col min="3" max="3" width="16.5625" style="10" customWidth="1"/>
    <col min="4" max="4" width="21.8125" style="10" customWidth="1"/>
    <col min="5" max="5" width="16.1875" style="10" customWidth="1"/>
    <col min="6" max="6" width="23" style="10" customWidth="1"/>
    <col min="7" max="7" width="25.1875" style="10" customWidth="1"/>
    <col min="8" max="8" width="18.4375" style="10" customWidth="1"/>
    <col min="9" max="9" width="21.0625" style="10" customWidth="1"/>
    <col min="10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45840</v>
      </c>
      <c r="F1" s="11" t="s">
        <v>55</v>
      </c>
      <c r="G1" s="15">
        <f>E1/C1</f>
        <v>1.528</v>
      </c>
      <c r="H1" s="11" t="s">
        <v>56</v>
      </c>
      <c r="I1" s="16">
        <f>(G1/K1)</f>
        <v>1.528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45840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80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1.528</v>
      </c>
      <c r="F5" s="28">
        <v>1</v>
      </c>
      <c r="G5" s="29">
        <f t="shared" ref="G5:G10" si="1">D5*E5</f>
        <v>15.280000000000001</v>
      </c>
      <c r="H5" s="30">
        <f t="shared" ref="H5:H10" si="2">G5*F5</f>
        <v>15.280000000000001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15.280000000000001</v>
      </c>
      <c r="L5" s="25">
        <f>K5*J5</f>
        <v>87.860000000000014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 t="shared" si="0"/>
        <v>1.528</v>
      </c>
      <c r="F6" s="28">
        <v>1</v>
      </c>
      <c r="G6" s="29">
        <f t="shared" si="1"/>
        <v>45840</v>
      </c>
      <c r="H6" s="31">
        <f t="shared" si="2"/>
        <v>45840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45.84</v>
      </c>
      <c r="L6" s="25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1.528</v>
      </c>
      <c r="F7" s="28">
        <v>1</v>
      </c>
      <c r="G7" s="29">
        <f t="shared" si="1"/>
        <v>229.20000000000002</v>
      </c>
      <c r="H7" s="32">
        <f t="shared" si="2"/>
        <v>229.20000000000002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0.22920000000000001</v>
      </c>
      <c r="L7" s="25">
        <f t="shared" si="3"/>
        <v>6.8760000000000003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 t="shared" si="0"/>
        <v>1.528</v>
      </c>
      <c r="F8" s="28">
        <v>1</v>
      </c>
      <c r="G8" s="29">
        <f t="shared" si="1"/>
        <v>611.20000000000005</v>
      </c>
      <c r="H8" s="32">
        <f t="shared" si="2"/>
        <v>611.20000000000005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0.61120000000000008</v>
      </c>
      <c r="L8" s="25">
        <f t="shared" si="3"/>
        <v>0.45228800000000008</v>
      </c>
    </row>
    <row r="9" spans="1:28" x14ac:dyDescent="0.35">
      <c r="B9" s="24" t="s">
        <v>27</v>
      </c>
      <c r="C9" s="25" t="s">
        <v>17</v>
      </c>
      <c r="D9" s="26">
        <v>20</v>
      </c>
      <c r="E9" s="27">
        <f t="shared" si="0"/>
        <v>1.528</v>
      </c>
      <c r="F9" s="28">
        <v>1</v>
      </c>
      <c r="G9" s="29">
        <f t="shared" si="1"/>
        <v>30.560000000000002</v>
      </c>
      <c r="H9" s="32">
        <f t="shared" si="2"/>
        <v>30.560000000000002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3.0560000000000004E-2</v>
      </c>
      <c r="L9" s="25">
        <f t="shared" si="3"/>
        <v>0.94736000000000009</v>
      </c>
    </row>
    <row r="10" spans="1:28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1.528</v>
      </c>
      <c r="F10" s="28">
        <v>1</v>
      </c>
      <c r="G10" s="29">
        <f t="shared" si="1"/>
        <v>30.560000000000002</v>
      </c>
      <c r="H10" s="32">
        <f t="shared" si="2"/>
        <v>30.560000000000002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3.0560000000000004E-2</v>
      </c>
      <c r="L10" s="25">
        <f t="shared" ref="L10" si="6">K10*J10</f>
        <v>0.6876000000000001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80</v>
      </c>
      <c r="N11" s="243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71</v>
      </c>
      <c r="C13" s="49">
        <f>I1</f>
        <v>1.528</v>
      </c>
      <c r="D13" s="50">
        <f>E1</f>
        <v>45840</v>
      </c>
      <c r="F13" s="18"/>
      <c r="I13" s="18"/>
      <c r="J13" s="18"/>
      <c r="K13" s="18"/>
      <c r="M13" s="48" t="s">
        <v>81</v>
      </c>
      <c r="N13" s="130">
        <f>$Z$1</f>
        <v>45840</v>
      </c>
    </row>
    <row r="14" spans="1:28" ht="13.5" customHeight="1" x14ac:dyDescent="0.35">
      <c r="B14" s="48" t="s">
        <v>73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82</v>
      </c>
      <c r="N14" s="129">
        <f>$AB$1</f>
        <v>0</v>
      </c>
    </row>
    <row r="15" spans="1:28" ht="14.25" customHeight="1" x14ac:dyDescent="0.35">
      <c r="B15" s="48" t="s">
        <v>75</v>
      </c>
      <c r="C15" s="51">
        <f>MIN(MAX($C$13-C14,0),1)</f>
        <v>0.52800000000000002</v>
      </c>
      <c r="D15" s="50">
        <f>C15*$C$1</f>
        <v>15840</v>
      </c>
      <c r="E15" s="18"/>
      <c r="F15" s="18"/>
      <c r="I15" s="18"/>
      <c r="J15" s="18"/>
      <c r="K15" s="18"/>
      <c r="M15" s="53" t="s">
        <v>83</v>
      </c>
      <c r="N15" s="54">
        <f>N13+N14</f>
        <v>45840</v>
      </c>
    </row>
    <row r="16" spans="1:28" ht="14.25" customHeigh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5">
      <c r="N21" s="245"/>
      <c r="O21" s="245"/>
    </row>
    <row r="40" spans="1:9" ht="13.5" customHeight="1" x14ac:dyDescent="0.35">
      <c r="A40" s="134"/>
      <c r="B40" s="240" t="str">
        <f>"        رز بريانى-رز زعفران   1 / " &amp; COUNTIF($C$14:$C$16, "&gt;0")</f>
        <v xml:space="preserve">        رز بريانى-رز زعفران   1 / 2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Biryani - Saffron Rice 1 / " &amp; COUNTIF($C$14:$C$16, "&gt;0")</f>
        <v xml:space="preserve">  Biryani - Saffron Rice 1 / 2</v>
      </c>
      <c r="C41" s="240"/>
      <c r="D41" s="240"/>
      <c r="E41" s="240"/>
      <c r="F41" s="240"/>
      <c r="G41" s="240"/>
      <c r="H41" s="240"/>
      <c r="I41" s="240"/>
    </row>
    <row r="42" spans="1:9" ht="52.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1</v>
      </c>
      <c r="H43" s="120">
        <f t="shared" ref="H43:H48" si="11">D43*E43</f>
        <v>10</v>
      </c>
      <c r="I43" s="32">
        <f t="shared" ref="I43:I48" si="12">H43*G43</f>
        <v>10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120">
        <f t="shared" si="11"/>
        <v>30000</v>
      </c>
      <c r="I44" s="32">
        <f t="shared" si="12"/>
        <v>30000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120">
        <f t="shared" si="11"/>
        <v>150</v>
      </c>
      <c r="I45" s="32">
        <f t="shared" si="12"/>
        <v>150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120">
        <f t="shared" si="11"/>
        <v>400</v>
      </c>
      <c r="I46" s="32">
        <f t="shared" si="12"/>
        <v>400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120">
        <f t="shared" si="11"/>
        <v>20</v>
      </c>
      <c r="I47" s="32">
        <f t="shared" si="12"/>
        <v>20</v>
      </c>
    </row>
    <row r="48" spans="1:9" ht="25.5" x14ac:dyDescent="0.35">
      <c r="B48" s="24" t="str">
        <f t="shared" si="7"/>
        <v>لون صفار زعفران بودر - Saffron yellow color powder</v>
      </c>
      <c r="C48" s="24" t="str">
        <f t="shared" si="7"/>
        <v>gm</v>
      </c>
      <c r="D48" s="24">
        <f t="shared" si="7"/>
        <v>20</v>
      </c>
      <c r="E48" s="57">
        <f t="shared" si="8"/>
        <v>1</v>
      </c>
      <c r="F48" s="58">
        <f t="shared" si="9"/>
        <v>30000</v>
      </c>
      <c r="G48" s="28">
        <f t="shared" si="10"/>
        <v>1</v>
      </c>
      <c r="H48" s="120">
        <f t="shared" si="11"/>
        <v>20</v>
      </c>
      <c r="I48" s="32">
        <f t="shared" si="12"/>
        <v>20</v>
      </c>
    </row>
    <row r="52" spans="1:9" ht="17.649999999999999" x14ac:dyDescent="0.35">
      <c r="A52" s="134"/>
      <c r="B52" s="240" t="str">
        <f>"        رز بريانى-رز زعفران   2 / " &amp; COUNTIF($C$14:$C$16, "&gt;0")</f>
        <v xml:space="preserve">        رز بريانى-رز زعفران   2 / 2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Biryani - Saffron Rice  2 / " &amp; COUNTIF($C$14:$C$16, "&gt;0")</f>
        <v xml:space="preserve">  Biryani - Saffron Rice  2 / 2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55" t="s">
        <v>78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0.52800000000000002</v>
      </c>
      <c r="F55" s="68">
        <f t="shared" ref="F55:F60" si="15">$D$15</f>
        <v>15840</v>
      </c>
      <c r="G55" s="28">
        <f t="shared" ref="G55:G60" si="16">F5</f>
        <v>1</v>
      </c>
      <c r="H55" s="84">
        <f t="shared" ref="H55:H60" si="17">D55*E55</f>
        <v>5.28</v>
      </c>
      <c r="I55" s="32">
        <f t="shared" ref="I55:I60" si="18">H55*G55</f>
        <v>5.28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0.52800000000000002</v>
      </c>
      <c r="F56" s="68">
        <f t="shared" si="15"/>
        <v>15840</v>
      </c>
      <c r="G56" s="28">
        <f t="shared" si="16"/>
        <v>1</v>
      </c>
      <c r="H56" s="84">
        <f t="shared" si="17"/>
        <v>15840</v>
      </c>
      <c r="I56" s="32">
        <f t="shared" si="18"/>
        <v>15840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0.52800000000000002</v>
      </c>
      <c r="F57" s="68">
        <f t="shared" si="15"/>
        <v>15840</v>
      </c>
      <c r="G57" s="28">
        <f t="shared" si="16"/>
        <v>1</v>
      </c>
      <c r="H57" s="84">
        <f t="shared" si="17"/>
        <v>79.2</v>
      </c>
      <c r="I57" s="32">
        <f t="shared" si="18"/>
        <v>79.2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0.52800000000000002</v>
      </c>
      <c r="F58" s="68">
        <f t="shared" si="15"/>
        <v>15840</v>
      </c>
      <c r="G58" s="28">
        <f t="shared" si="16"/>
        <v>1</v>
      </c>
      <c r="H58" s="84">
        <f t="shared" si="17"/>
        <v>211.20000000000002</v>
      </c>
      <c r="I58" s="32">
        <f t="shared" si="18"/>
        <v>211.20000000000002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0.52800000000000002</v>
      </c>
      <c r="F59" s="68">
        <f t="shared" si="15"/>
        <v>15840</v>
      </c>
      <c r="G59" s="28">
        <f t="shared" si="16"/>
        <v>1</v>
      </c>
      <c r="H59" s="84">
        <f t="shared" si="17"/>
        <v>10.56</v>
      </c>
      <c r="I59" s="32">
        <f t="shared" si="18"/>
        <v>10.56</v>
      </c>
    </row>
    <row r="60" spans="1:9" ht="25.5" x14ac:dyDescent="0.35">
      <c r="B60" s="24" t="str">
        <f t="shared" si="13"/>
        <v>لون صفار زعفران بودر - Saffron yellow color powder</v>
      </c>
      <c r="C60" s="24" t="str">
        <f t="shared" si="13"/>
        <v>gm</v>
      </c>
      <c r="D60" s="24">
        <f t="shared" si="13"/>
        <v>20</v>
      </c>
      <c r="E60" s="27">
        <f t="shared" si="14"/>
        <v>0.52800000000000002</v>
      </c>
      <c r="F60" s="68">
        <f t="shared" si="15"/>
        <v>15840</v>
      </c>
      <c r="G60" s="28">
        <f t="shared" si="16"/>
        <v>1</v>
      </c>
      <c r="H60" s="84">
        <f t="shared" si="17"/>
        <v>10.56</v>
      </c>
      <c r="I60" s="32">
        <f t="shared" si="18"/>
        <v>10.56</v>
      </c>
    </row>
  </sheetData>
  <mergeCells count="8">
    <mergeCell ref="B52:I52"/>
    <mergeCell ref="B53:I53"/>
    <mergeCell ref="B2:H3"/>
    <mergeCell ref="N21:O21"/>
    <mergeCell ref="A2:A3"/>
    <mergeCell ref="B40:I40"/>
    <mergeCell ref="B41:I41"/>
    <mergeCell ref="M11:N11"/>
  </mergeCells>
  <printOptions horizontalCentered="1"/>
  <pageMargins left="0.5" right="0.5" top="1" bottom="0.5" header="0.3" footer="0.511811023622047"/>
  <pageSetup paperSize="9" orientation="portrait" r:id="rId1"/>
  <headerFooter>
    <oddHeader>&amp;C&amp;B&amp;16 رز بريانى-رز زعفران (5)&amp;R&amp;B&amp;14Day 5</oddHeader>
    <oddFooter>&amp;C&amp;B&amp;10Page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C55A11"/>
    <pageSetUpPr fitToPage="1"/>
  </sheetPr>
  <dimension ref="A1:AB78"/>
  <sheetViews>
    <sheetView zoomScale="55" zoomScaleNormal="55" workbookViewId="0">
      <selection activeCell="J5" sqref="I5:J18"/>
    </sheetView>
  </sheetViews>
  <sheetFormatPr defaultColWidth="12.5" defaultRowHeight="12.75" x14ac:dyDescent="0.35"/>
  <cols>
    <col min="1" max="1" width="12" style="10" customWidth="1"/>
    <col min="2" max="2" width="30.6875" style="10" customWidth="1"/>
    <col min="3" max="3" width="11" style="10" customWidth="1"/>
    <col min="4" max="4" width="21.8125" style="10" customWidth="1"/>
    <col min="5" max="5" width="16.1875" style="10" customWidth="1"/>
    <col min="6" max="6" width="10" style="10" customWidth="1"/>
    <col min="7" max="7" width="25" style="10" customWidth="1"/>
    <col min="8" max="8" width="14.6875" style="10" customWidth="1"/>
    <col min="9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17080</v>
      </c>
      <c r="F1" s="11" t="s">
        <v>55</v>
      </c>
      <c r="G1" s="15">
        <f>E1/C1</f>
        <v>0.56933333333333336</v>
      </c>
      <c r="H1" s="11" t="s">
        <v>56</v>
      </c>
      <c r="I1" s="16">
        <f>(G1/K1)</f>
        <v>0.56933333333333336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17080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95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8" si="0">$G$1</f>
        <v>0.56933333333333336</v>
      </c>
      <c r="F5" s="28">
        <v>1</v>
      </c>
      <c r="G5" s="29">
        <f t="shared" ref="G5:G18" si="1">D5*E5</f>
        <v>5.6933333333333334</v>
      </c>
      <c r="H5" s="30">
        <f t="shared" ref="H5:H18" si="2">G5*F5</f>
        <v>5.6933333333333334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5.6933333333333334</v>
      </c>
      <c r="L5" s="31">
        <f>K5*J5</f>
        <v>32.736666666666665</v>
      </c>
    </row>
    <row r="6" spans="1:28" x14ac:dyDescent="0.35">
      <c r="B6" s="24" t="s">
        <v>11</v>
      </c>
      <c r="C6" s="25" t="s">
        <v>213</v>
      </c>
      <c r="D6" s="26">
        <v>20000</v>
      </c>
      <c r="E6" s="27">
        <f t="shared" si="0"/>
        <v>0.56933333333333336</v>
      </c>
      <c r="F6" s="28">
        <v>1</v>
      </c>
      <c r="G6" s="29">
        <f t="shared" si="1"/>
        <v>11386.666666666668</v>
      </c>
      <c r="H6" s="31">
        <f t="shared" si="2"/>
        <v>11386.666666666668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11.386666666666668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0.56933333333333336</v>
      </c>
      <c r="F7" s="28">
        <v>1</v>
      </c>
      <c r="G7" s="29">
        <f t="shared" si="1"/>
        <v>85.4</v>
      </c>
      <c r="H7" s="32">
        <f t="shared" si="2"/>
        <v>85.4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8.5400000000000004E-2</v>
      </c>
      <c r="L7" s="31">
        <f t="shared" si="3"/>
        <v>2.5620000000000003</v>
      </c>
    </row>
    <row r="8" spans="1:28" ht="13.15" x14ac:dyDescent="0.4">
      <c r="B8" s="24" t="s">
        <v>22</v>
      </c>
      <c r="C8" s="25" t="s">
        <v>17</v>
      </c>
      <c r="D8" s="26">
        <v>400</v>
      </c>
      <c r="E8" s="27">
        <f t="shared" si="0"/>
        <v>0.56933333333333336</v>
      </c>
      <c r="F8" s="28">
        <v>1</v>
      </c>
      <c r="G8" s="29">
        <f t="shared" si="1"/>
        <v>227.73333333333335</v>
      </c>
      <c r="H8" s="32">
        <f t="shared" si="2"/>
        <v>227.73333333333335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4"/>
        <v>0.22773333333333334</v>
      </c>
      <c r="L8" s="31">
        <f t="shared" si="3"/>
        <v>0.16852266666666668</v>
      </c>
      <c r="V8" s="215" t="s">
        <v>17</v>
      </c>
      <c r="W8" s="216">
        <v>1</v>
      </c>
      <c r="X8" s="215" t="s">
        <v>250</v>
      </c>
      <c r="Y8" s="217">
        <f>(N16*W8)/N15</f>
        <v>5.4265623809523815E-2</v>
      </c>
    </row>
    <row r="9" spans="1:28" x14ac:dyDescent="0.35">
      <c r="B9" s="24" t="s">
        <v>35</v>
      </c>
      <c r="C9" s="25" t="s">
        <v>17</v>
      </c>
      <c r="D9" s="26">
        <v>3</v>
      </c>
      <c r="E9" s="27">
        <f t="shared" si="0"/>
        <v>0.56933333333333336</v>
      </c>
      <c r="F9" s="28">
        <v>1</v>
      </c>
      <c r="G9" s="29">
        <f t="shared" si="1"/>
        <v>1.7080000000000002</v>
      </c>
      <c r="H9" s="32">
        <f t="shared" si="2"/>
        <v>1.7080000000000002</v>
      </c>
      <c r="I9" s="12">
        <f>VLOOKUP(B9,Ordering!$A$1:$J$45,6,FALSE)</f>
        <v>1</v>
      </c>
      <c r="J9" s="59">
        <f>VLOOKUP(B9,Ordering!$A$1:$J$45,10,FALSE)</f>
        <v>14</v>
      </c>
      <c r="K9" s="59">
        <f t="shared" si="4"/>
        <v>1.7080000000000001E-3</v>
      </c>
      <c r="L9" s="31">
        <f t="shared" si="3"/>
        <v>2.3912000000000003E-2</v>
      </c>
    </row>
    <row r="10" spans="1:28" x14ac:dyDescent="0.35">
      <c r="B10" s="24" t="s">
        <v>32</v>
      </c>
      <c r="C10" s="25" t="s">
        <v>17</v>
      </c>
      <c r="D10" s="26">
        <v>10</v>
      </c>
      <c r="E10" s="27">
        <f t="shared" si="0"/>
        <v>0.56933333333333336</v>
      </c>
      <c r="F10" s="28">
        <v>1</v>
      </c>
      <c r="G10" s="29">
        <f t="shared" si="1"/>
        <v>5.6933333333333334</v>
      </c>
      <c r="H10" s="32">
        <f t="shared" si="2"/>
        <v>5.6933333333333334</v>
      </c>
      <c r="I10" s="12">
        <f>VLOOKUP(B10,Ordering!$A$1:$J$45,6,FALSE)</f>
        <v>1</v>
      </c>
      <c r="J10" s="59">
        <f>VLOOKUP(B10,Ordering!$A$1:$J$45,10,FALSE)</f>
        <v>15</v>
      </c>
      <c r="K10" s="59">
        <f t="shared" ref="K10:K18" si="5">(H10/I10)/1000</f>
        <v>5.6933333333333332E-3</v>
      </c>
      <c r="L10" s="31">
        <f t="shared" ref="L10:L18" si="6">K10*J10</f>
        <v>8.5400000000000004E-2</v>
      </c>
    </row>
    <row r="11" spans="1:28" ht="13.5" customHeight="1" x14ac:dyDescent="0.35">
      <c r="B11" s="24" t="s">
        <v>30</v>
      </c>
      <c r="C11" s="25" t="s">
        <v>17</v>
      </c>
      <c r="D11" s="26">
        <v>20</v>
      </c>
      <c r="E11" s="27">
        <f t="shared" si="0"/>
        <v>0.56933333333333336</v>
      </c>
      <c r="F11" s="28">
        <v>1</v>
      </c>
      <c r="G11" s="29">
        <f t="shared" si="1"/>
        <v>11.386666666666667</v>
      </c>
      <c r="H11" s="32">
        <f t="shared" si="2"/>
        <v>11.386666666666667</v>
      </c>
      <c r="I11" s="12">
        <f>VLOOKUP(B11,Ordering!$A$1:$J$45,6,FALSE)</f>
        <v>1</v>
      </c>
      <c r="J11" s="59">
        <f>VLOOKUP(B11,Ordering!$A$1:$J$45,10,FALSE)</f>
        <v>15</v>
      </c>
      <c r="K11" s="59">
        <f t="shared" si="5"/>
        <v>1.1386666666666666E-2</v>
      </c>
      <c r="L11" s="31">
        <f t="shared" si="6"/>
        <v>0.17080000000000001</v>
      </c>
      <c r="M11" s="243" t="s">
        <v>95</v>
      </c>
      <c r="N11" s="243"/>
    </row>
    <row r="12" spans="1:28" ht="13.5" customHeight="1" x14ac:dyDescent="0.35">
      <c r="B12" s="24" t="s">
        <v>42</v>
      </c>
      <c r="C12" s="25" t="s">
        <v>17</v>
      </c>
      <c r="D12" s="26">
        <v>20</v>
      </c>
      <c r="E12" s="27">
        <f t="shared" si="0"/>
        <v>0.56933333333333336</v>
      </c>
      <c r="F12" s="28">
        <v>1</v>
      </c>
      <c r="G12" s="29">
        <f t="shared" si="1"/>
        <v>11.386666666666667</v>
      </c>
      <c r="H12" s="32">
        <f t="shared" si="2"/>
        <v>11.386666666666667</v>
      </c>
      <c r="I12" s="12">
        <f>VLOOKUP(B12,Ordering!$A$1:$J$45,6,FALSE)</f>
        <v>1</v>
      </c>
      <c r="J12" s="59">
        <f>VLOOKUP(B12,Ordering!$A$1:$J$45,10,FALSE)</f>
        <v>125</v>
      </c>
      <c r="K12" s="59">
        <f t="shared" si="5"/>
        <v>1.1386666666666666E-2</v>
      </c>
      <c r="L12" s="31">
        <f t="shared" si="6"/>
        <v>1.4233333333333333</v>
      </c>
      <c r="M12" s="205" t="s">
        <v>69</v>
      </c>
      <c r="N12" s="48" t="s">
        <v>70</v>
      </c>
    </row>
    <row r="13" spans="1:28" ht="13.5" customHeight="1" x14ac:dyDescent="0.35">
      <c r="B13" s="24" t="s">
        <v>44</v>
      </c>
      <c r="C13" s="25" t="s">
        <v>17</v>
      </c>
      <c r="D13" s="26">
        <v>20</v>
      </c>
      <c r="E13" s="27">
        <f t="shared" si="0"/>
        <v>0.56933333333333336</v>
      </c>
      <c r="F13" s="28">
        <v>1</v>
      </c>
      <c r="G13" s="29">
        <f t="shared" si="1"/>
        <v>11.386666666666667</v>
      </c>
      <c r="H13" s="32">
        <f t="shared" si="2"/>
        <v>11.386666666666667</v>
      </c>
      <c r="I13" s="12">
        <f>VLOOKUP(B13,Ordering!$A$1:$J$45,6,FALSE)</f>
        <v>1</v>
      </c>
      <c r="J13" s="59">
        <f>VLOOKUP(B13,Ordering!$A$1:$J$45,10,FALSE)</f>
        <v>10</v>
      </c>
      <c r="K13" s="59">
        <f t="shared" si="5"/>
        <v>1.1386666666666666E-2</v>
      </c>
      <c r="L13" s="31">
        <f t="shared" si="6"/>
        <v>0.11386666666666667</v>
      </c>
      <c r="M13" s="205" t="s">
        <v>72</v>
      </c>
      <c r="N13" s="130">
        <f>$Z$1</f>
        <v>17080</v>
      </c>
    </row>
    <row r="14" spans="1:28" ht="13.5" customHeight="1" x14ac:dyDescent="0.35">
      <c r="B14" s="24" t="s">
        <v>24</v>
      </c>
      <c r="C14" s="25" t="s">
        <v>17</v>
      </c>
      <c r="D14" s="26">
        <v>30</v>
      </c>
      <c r="E14" s="27">
        <f t="shared" si="0"/>
        <v>0.56933333333333336</v>
      </c>
      <c r="F14" s="28">
        <v>1</v>
      </c>
      <c r="G14" s="29">
        <f t="shared" si="1"/>
        <v>17.080000000000002</v>
      </c>
      <c r="H14" s="32">
        <f t="shared" si="2"/>
        <v>17.080000000000002</v>
      </c>
      <c r="I14" s="12">
        <f>VLOOKUP(B14,Ordering!$A$1:$J$45,6,FALSE)</f>
        <v>1</v>
      </c>
      <c r="J14" s="59">
        <f>VLOOKUP(B14,Ordering!$A$1:$J$45,10,FALSE)</f>
        <v>15.277777777777779</v>
      </c>
      <c r="K14" s="59">
        <f t="shared" si="5"/>
        <v>1.7080000000000001E-2</v>
      </c>
      <c r="L14" s="31">
        <f t="shared" si="6"/>
        <v>0.26094444444444448</v>
      </c>
      <c r="M14" s="205" t="s">
        <v>74</v>
      </c>
      <c r="N14" s="129">
        <f>$AB$1</f>
        <v>0</v>
      </c>
    </row>
    <row r="15" spans="1:28" ht="14.25" customHeight="1" thickBot="1" x14ac:dyDescent="0.4">
      <c r="B15" s="24" t="s">
        <v>239</v>
      </c>
      <c r="C15" s="25" t="s">
        <v>17</v>
      </c>
      <c r="D15" s="26">
        <v>20</v>
      </c>
      <c r="E15" s="27">
        <f t="shared" si="0"/>
        <v>0.56933333333333336</v>
      </c>
      <c r="F15" s="28">
        <v>1</v>
      </c>
      <c r="G15" s="29">
        <f t="shared" si="1"/>
        <v>11.386666666666667</v>
      </c>
      <c r="H15" s="32">
        <f t="shared" si="2"/>
        <v>11.386666666666667</v>
      </c>
      <c r="I15" s="12">
        <f>VLOOKUP(B15,Ordering!$A$1:$J$45,6,FALSE)</f>
        <v>1</v>
      </c>
      <c r="J15" s="59">
        <f>VLOOKUP(B15,Ordering!$A$1:$J$45,10,FALSE)</f>
        <v>22.5</v>
      </c>
      <c r="K15" s="59">
        <f t="shared" si="5"/>
        <v>1.1386666666666666E-2</v>
      </c>
      <c r="L15" s="31">
        <f t="shared" si="6"/>
        <v>0.25619999999999998</v>
      </c>
      <c r="M15" s="206" t="s">
        <v>71</v>
      </c>
      <c r="N15" s="54">
        <f>N13+N14</f>
        <v>17080</v>
      </c>
    </row>
    <row r="16" spans="1:28" ht="14.25" customHeight="1" thickBot="1" x14ac:dyDescent="0.45">
      <c r="B16" s="24" t="s">
        <v>50</v>
      </c>
      <c r="C16" s="25" t="s">
        <v>17</v>
      </c>
      <c r="D16" s="26">
        <v>500</v>
      </c>
      <c r="E16" s="27">
        <f t="shared" si="0"/>
        <v>0.56933333333333336</v>
      </c>
      <c r="F16" s="28">
        <v>1</v>
      </c>
      <c r="G16" s="29">
        <f t="shared" si="1"/>
        <v>284.66666666666669</v>
      </c>
      <c r="H16" s="32">
        <f t="shared" si="2"/>
        <v>284.66666666666669</v>
      </c>
      <c r="I16" s="12">
        <f>VLOOKUP(B16,Ordering!$A$1:$J$45,6,FALSE)</f>
        <v>0.84</v>
      </c>
      <c r="J16" s="59">
        <f>VLOOKUP(B16,Ordering!$A$1:$J$45,10,FALSE)</f>
        <v>2600</v>
      </c>
      <c r="K16" s="59">
        <f t="shared" si="5"/>
        <v>0.33888888888888891</v>
      </c>
      <c r="L16" s="31">
        <f t="shared" si="6"/>
        <v>881.1111111111112</v>
      </c>
      <c r="M16" s="213" t="s">
        <v>250</v>
      </c>
      <c r="N16" s="214">
        <f>SUM(L5:L18)</f>
        <v>926.85685466666678</v>
      </c>
    </row>
    <row r="17" spans="2:15" ht="13.5" customHeight="1" x14ac:dyDescent="0.35">
      <c r="B17" s="24" t="s">
        <v>211</v>
      </c>
      <c r="C17" s="25" t="s">
        <v>17</v>
      </c>
      <c r="D17" s="26">
        <v>800</v>
      </c>
      <c r="E17" s="27">
        <f t="shared" si="0"/>
        <v>0.56933333333333336</v>
      </c>
      <c r="F17" s="28">
        <v>1</v>
      </c>
      <c r="G17" s="29">
        <f t="shared" si="1"/>
        <v>455.4666666666667</v>
      </c>
      <c r="H17" s="32">
        <f t="shared" si="2"/>
        <v>455.4666666666667</v>
      </c>
      <c r="I17" s="12">
        <f>VLOOKUP(B17,Ordering!$A$1:$J$45,6,FALSE)</f>
        <v>1</v>
      </c>
      <c r="J17" s="59">
        <f>VLOOKUP(B17,Ordering!$A$1:$J$45,10,FALSE)</f>
        <v>16.666666666666668</v>
      </c>
      <c r="K17" s="59">
        <f t="shared" si="5"/>
        <v>0.45546666666666669</v>
      </c>
      <c r="L17" s="31">
        <f t="shared" si="6"/>
        <v>7.591111111111112</v>
      </c>
    </row>
    <row r="18" spans="2:15" x14ac:dyDescent="0.35">
      <c r="B18" s="24" t="s">
        <v>27</v>
      </c>
      <c r="C18" s="25" t="s">
        <v>17</v>
      </c>
      <c r="D18" s="26">
        <v>20</v>
      </c>
      <c r="E18" s="27">
        <f t="shared" si="0"/>
        <v>0.56933333333333336</v>
      </c>
      <c r="F18" s="28">
        <v>1</v>
      </c>
      <c r="G18" s="29">
        <f t="shared" si="1"/>
        <v>11.386666666666667</v>
      </c>
      <c r="H18" s="32">
        <f t="shared" si="2"/>
        <v>11.386666666666667</v>
      </c>
      <c r="I18" s="12">
        <f>VLOOKUP(B18,Ordering!$A$1:$J$45,6,FALSE)</f>
        <v>1</v>
      </c>
      <c r="J18" s="59">
        <f>VLOOKUP(B18,Ordering!$A$1:$J$45,10,FALSE)</f>
        <v>31</v>
      </c>
      <c r="K18" s="59">
        <f t="shared" si="5"/>
        <v>1.1386666666666666E-2</v>
      </c>
      <c r="L18" s="31">
        <f t="shared" si="6"/>
        <v>0.35298666666666667</v>
      </c>
    </row>
    <row r="19" spans="2:15" x14ac:dyDescent="0.35">
      <c r="B19" s="40"/>
      <c r="C19" s="41"/>
      <c r="D19" s="42"/>
      <c r="E19" s="43"/>
      <c r="F19" s="44"/>
      <c r="G19" s="45"/>
      <c r="H19" s="46"/>
      <c r="I19" s="18"/>
      <c r="J19" s="18"/>
      <c r="K19" s="18"/>
    </row>
    <row r="20" spans="2:15" ht="13.5" customHeight="1" x14ac:dyDescent="0.35">
      <c r="B20" s="47"/>
      <c r="C20" s="47" t="s">
        <v>55</v>
      </c>
      <c r="D20" s="47" t="s">
        <v>68</v>
      </c>
      <c r="E20" s="18"/>
      <c r="F20" s="18"/>
      <c r="G20" s="18"/>
      <c r="I20" s="18"/>
      <c r="J20" s="18"/>
      <c r="K20" s="18"/>
    </row>
    <row r="21" spans="2:15" ht="13.5" customHeight="1" x14ac:dyDescent="0.35">
      <c r="B21" s="48" t="s">
        <v>71</v>
      </c>
      <c r="C21" s="49">
        <f>I1</f>
        <v>0.56933333333333336</v>
      </c>
      <c r="D21" s="50">
        <f>E1</f>
        <v>17080</v>
      </c>
      <c r="G21" s="18"/>
    </row>
    <row r="22" spans="2:15" ht="13.5" customHeight="1" x14ac:dyDescent="0.35">
      <c r="B22" s="48" t="s">
        <v>73</v>
      </c>
      <c r="C22" s="51">
        <f>MIN($C$21,1)</f>
        <v>0.56933333333333336</v>
      </c>
      <c r="D22" s="50">
        <f>C22*$C$1</f>
        <v>17080</v>
      </c>
      <c r="E22" s="18"/>
      <c r="F22" s="18"/>
      <c r="G22" s="18"/>
    </row>
    <row r="23" spans="2:15" ht="13.5" customHeight="1" x14ac:dyDescent="0.35">
      <c r="B23" s="48" t="s">
        <v>75</v>
      </c>
      <c r="C23" s="51">
        <f>MIN(MAX($C$21-C22,0),30)</f>
        <v>0</v>
      </c>
      <c r="D23" s="50">
        <f>C23*$C$1</f>
        <v>0</v>
      </c>
      <c r="E23" s="18"/>
      <c r="F23" s="18"/>
      <c r="G23" s="18"/>
    </row>
    <row r="24" spans="2:15" ht="13.5" customHeight="1" x14ac:dyDescent="0.35">
      <c r="B24" s="48"/>
      <c r="C24" s="66">
        <f>MIN(MAX($C$21-C22-C23,0),10)</f>
        <v>0</v>
      </c>
      <c r="D24" s="67">
        <f>C24*$K$1</f>
        <v>0</v>
      </c>
      <c r="E24" s="18"/>
      <c r="F24" s="18"/>
      <c r="G24" s="18"/>
    </row>
    <row r="25" spans="2:15" x14ac:dyDescent="0.35">
      <c r="B25" s="18"/>
      <c r="E25" s="18"/>
      <c r="F25" s="18"/>
      <c r="G25" s="18"/>
    </row>
    <row r="26" spans="2:15" ht="18" customHeight="1" x14ac:dyDescent="0.35"/>
    <row r="27" spans="2:15" ht="18" customHeight="1" x14ac:dyDescent="0.35"/>
    <row r="28" spans="2:15" ht="82.5" customHeight="1" x14ac:dyDescent="0.35"/>
    <row r="29" spans="2:15" ht="13.5" customHeight="1" x14ac:dyDescent="0.35">
      <c r="N29" s="245"/>
      <c r="O29" s="245"/>
    </row>
    <row r="40" spans="1:9" ht="17.649999999999999" x14ac:dyDescent="0.35">
      <c r="A40" s="134"/>
      <c r="B40" s="240" t="str">
        <f>"        رز بالخضار الأربعاء   1 / " &amp; COUNTIF($C$22:$C$24, "&gt;0")</f>
        <v xml:space="preserve">        رز بالخضار الأربعاء  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Vegetables Rice  Wed  1 / " &amp; COUNTIF($C$22:$C$24, "&gt;0")</f>
        <v xml:space="preserve">  Vegetables Rice  Wed  1 / 1</v>
      </c>
      <c r="C41" s="240"/>
      <c r="D41" s="240"/>
      <c r="E41" s="240"/>
      <c r="F41" s="240"/>
      <c r="G41" s="240"/>
      <c r="H41" s="240"/>
      <c r="I41" s="240"/>
    </row>
    <row r="42" spans="1:9" ht="78.7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x14ac:dyDescent="0.35">
      <c r="B43" s="86" t="str">
        <f t="shared" ref="B43:D56" si="7">B5</f>
        <v>Rice - رز</v>
      </c>
      <c r="C43" s="86" t="str">
        <f t="shared" si="7"/>
        <v>KG</v>
      </c>
      <c r="D43" s="86">
        <f t="shared" si="7"/>
        <v>10</v>
      </c>
      <c r="E43" s="88">
        <f t="shared" ref="E43:E56" si="8">$C$22</f>
        <v>0.56933333333333336</v>
      </c>
      <c r="F43" s="88">
        <f t="shared" ref="F43:F56" si="9">$D$22</f>
        <v>17080</v>
      </c>
      <c r="G43" s="89">
        <f t="shared" ref="G43:G56" si="10">F5</f>
        <v>1</v>
      </c>
      <c r="H43" s="121">
        <f t="shared" ref="H43" si="11">D43*E43</f>
        <v>5.6933333333333334</v>
      </c>
      <c r="I43" s="93">
        <f>H43*G43</f>
        <v>5.6933333333333334</v>
      </c>
    </row>
    <row r="44" spans="1:9" x14ac:dyDescent="0.35">
      <c r="B44" s="86" t="str">
        <f t="shared" si="7"/>
        <v>Water - ماء</v>
      </c>
      <c r="C44" s="86" t="str">
        <f t="shared" si="7"/>
        <v>ml</v>
      </c>
      <c r="D44" s="86">
        <f t="shared" si="7"/>
        <v>20000</v>
      </c>
      <c r="E44" s="88">
        <f t="shared" si="8"/>
        <v>0.56933333333333336</v>
      </c>
      <c r="F44" s="88">
        <f t="shared" si="9"/>
        <v>17080</v>
      </c>
      <c r="G44" s="89">
        <f t="shared" si="10"/>
        <v>1</v>
      </c>
      <c r="H44" s="121">
        <f t="shared" ref="H44:H56" si="12">D44*E44</f>
        <v>11386.666666666668</v>
      </c>
      <c r="I44" s="93">
        <f t="shared" ref="I44:I56" si="13">H44*G44</f>
        <v>11386.666666666668</v>
      </c>
    </row>
    <row r="45" spans="1:9" x14ac:dyDescent="0.35">
      <c r="B45" s="86" t="str">
        <f t="shared" si="7"/>
        <v>Butter - زبدة</v>
      </c>
      <c r="C45" s="86" t="str">
        <f t="shared" si="7"/>
        <v>gm</v>
      </c>
      <c r="D45" s="86">
        <f t="shared" si="7"/>
        <v>150</v>
      </c>
      <c r="E45" s="88">
        <f t="shared" si="8"/>
        <v>0.56933333333333336</v>
      </c>
      <c r="F45" s="88">
        <f t="shared" si="9"/>
        <v>17080</v>
      </c>
      <c r="G45" s="89">
        <f t="shared" si="10"/>
        <v>1</v>
      </c>
      <c r="H45" s="121">
        <f t="shared" si="12"/>
        <v>85.4</v>
      </c>
      <c r="I45" s="93">
        <f t="shared" si="13"/>
        <v>85.4</v>
      </c>
    </row>
    <row r="46" spans="1:9" ht="13.5" customHeight="1" x14ac:dyDescent="0.35">
      <c r="B46" s="86" t="str">
        <f t="shared" si="7"/>
        <v>Salt - ملح</v>
      </c>
      <c r="C46" s="86" t="str">
        <f t="shared" si="7"/>
        <v>gm</v>
      </c>
      <c r="D46" s="86">
        <f t="shared" si="7"/>
        <v>400</v>
      </c>
      <c r="E46" s="88">
        <f t="shared" si="8"/>
        <v>0.56933333333333336</v>
      </c>
      <c r="F46" s="88">
        <f t="shared" si="9"/>
        <v>17080</v>
      </c>
      <c r="G46" s="89">
        <f t="shared" si="10"/>
        <v>1</v>
      </c>
      <c r="H46" s="121">
        <f t="shared" si="12"/>
        <v>227.73333333333335</v>
      </c>
      <c r="I46" s="93">
        <f t="shared" si="13"/>
        <v>227.73333333333335</v>
      </c>
    </row>
    <row r="47" spans="1:9" x14ac:dyDescent="0.35">
      <c r="B47" s="86" t="str">
        <f t="shared" si="7"/>
        <v>Black Pepper Powder - فلفل أسود مطحون</v>
      </c>
      <c r="C47" s="86" t="str">
        <f t="shared" si="7"/>
        <v>gm</v>
      </c>
      <c r="D47" s="86">
        <f t="shared" si="7"/>
        <v>3</v>
      </c>
      <c r="E47" s="88">
        <f t="shared" si="8"/>
        <v>0.56933333333333336</v>
      </c>
      <c r="F47" s="88">
        <f t="shared" si="9"/>
        <v>17080</v>
      </c>
      <c r="G47" s="89">
        <f t="shared" si="10"/>
        <v>1</v>
      </c>
      <c r="H47" s="121">
        <f t="shared" si="12"/>
        <v>1.7080000000000002</v>
      </c>
      <c r="I47" s="93">
        <f t="shared" si="13"/>
        <v>1.7080000000000002</v>
      </c>
    </row>
    <row r="48" spans="1:9" ht="18" customHeight="1" x14ac:dyDescent="0.35">
      <c r="B48" s="86" t="str">
        <f t="shared" si="7"/>
        <v>Coriander Powder - كزبرة مطحونة</v>
      </c>
      <c r="C48" s="86" t="str">
        <f t="shared" si="7"/>
        <v>gm</v>
      </c>
      <c r="D48" s="86">
        <f t="shared" si="7"/>
        <v>10</v>
      </c>
      <c r="E48" s="88">
        <f t="shared" si="8"/>
        <v>0.56933333333333336</v>
      </c>
      <c r="F48" s="88">
        <f t="shared" si="9"/>
        <v>17080</v>
      </c>
      <c r="G48" s="89">
        <f t="shared" si="10"/>
        <v>1</v>
      </c>
      <c r="H48" s="121">
        <f t="shared" si="12"/>
        <v>5.6933333333333334</v>
      </c>
      <c r="I48" s="93">
        <f t="shared" si="13"/>
        <v>5.6933333333333334</v>
      </c>
    </row>
    <row r="49" spans="2:9" x14ac:dyDescent="0.35">
      <c r="B49" s="86" t="str">
        <f t="shared" si="7"/>
        <v>Cumin Powder - كمون مطحون</v>
      </c>
      <c r="C49" s="86" t="str">
        <f t="shared" si="7"/>
        <v>gm</v>
      </c>
      <c r="D49" s="86">
        <f t="shared" si="7"/>
        <v>20</v>
      </c>
      <c r="E49" s="88">
        <f t="shared" si="8"/>
        <v>0.56933333333333336</v>
      </c>
      <c r="F49" s="88">
        <f t="shared" si="9"/>
        <v>17080</v>
      </c>
      <c r="G49" s="89">
        <f t="shared" si="10"/>
        <v>1</v>
      </c>
      <c r="H49" s="121">
        <f t="shared" si="12"/>
        <v>11.386666666666667</v>
      </c>
      <c r="I49" s="93">
        <f t="shared" si="13"/>
        <v>11.386666666666667</v>
      </c>
    </row>
    <row r="50" spans="2:9" x14ac:dyDescent="0.35">
      <c r="B50" s="86" t="str">
        <f t="shared" si="7"/>
        <v>Garlic Powder - ثوم بودرة</v>
      </c>
      <c r="C50" s="86" t="str">
        <f t="shared" si="7"/>
        <v>gm</v>
      </c>
      <c r="D50" s="86">
        <f t="shared" si="7"/>
        <v>20</v>
      </c>
      <c r="E50" s="88">
        <f t="shared" si="8"/>
        <v>0.56933333333333336</v>
      </c>
      <c r="F50" s="88">
        <f t="shared" si="9"/>
        <v>17080</v>
      </c>
      <c r="G50" s="89">
        <f t="shared" si="10"/>
        <v>1</v>
      </c>
      <c r="H50" s="121">
        <f t="shared" si="12"/>
        <v>11.386666666666667</v>
      </c>
      <c r="I50" s="93">
        <f t="shared" si="13"/>
        <v>11.386666666666667</v>
      </c>
    </row>
    <row r="51" spans="2:9" ht="18.75" customHeight="1" x14ac:dyDescent="0.35">
      <c r="B51" s="86" t="str">
        <f t="shared" si="7"/>
        <v>Onion Powder - بصل بودرة</v>
      </c>
      <c r="C51" s="86" t="str">
        <f t="shared" si="7"/>
        <v>gm</v>
      </c>
      <c r="D51" s="86">
        <f t="shared" si="7"/>
        <v>20</v>
      </c>
      <c r="E51" s="88">
        <f t="shared" si="8"/>
        <v>0.56933333333333336</v>
      </c>
      <c r="F51" s="88">
        <f t="shared" si="9"/>
        <v>17080</v>
      </c>
      <c r="G51" s="89">
        <f t="shared" si="10"/>
        <v>1</v>
      </c>
      <c r="H51" s="121">
        <f t="shared" si="12"/>
        <v>11.386666666666667</v>
      </c>
      <c r="I51" s="93">
        <f t="shared" si="13"/>
        <v>11.386666666666667</v>
      </c>
    </row>
    <row r="52" spans="2:9" x14ac:dyDescent="0.35">
      <c r="B52" s="86" t="str">
        <f t="shared" si="7"/>
        <v>Maggi Cubes - مكعبات ماجي</v>
      </c>
      <c r="C52" s="86" t="str">
        <f t="shared" si="7"/>
        <v>gm</v>
      </c>
      <c r="D52" s="86">
        <f t="shared" si="7"/>
        <v>30</v>
      </c>
      <c r="E52" s="88">
        <f t="shared" si="8"/>
        <v>0.56933333333333336</v>
      </c>
      <c r="F52" s="88">
        <f t="shared" si="9"/>
        <v>17080</v>
      </c>
      <c r="G52" s="89">
        <f t="shared" si="10"/>
        <v>1</v>
      </c>
      <c r="H52" s="121">
        <f t="shared" si="12"/>
        <v>17.080000000000002</v>
      </c>
      <c r="I52" s="93">
        <f t="shared" si="13"/>
        <v>17.080000000000002</v>
      </c>
    </row>
    <row r="53" spans="2:9" ht="25.5" x14ac:dyDescent="0.35">
      <c r="B53" s="86" t="str">
        <f t="shared" si="7"/>
        <v>لون صفار زعفران بودر - Saffron yellow color powder</v>
      </c>
      <c r="C53" s="86" t="str">
        <f t="shared" si="7"/>
        <v>gm</v>
      </c>
      <c r="D53" s="86">
        <f t="shared" si="7"/>
        <v>20</v>
      </c>
      <c r="E53" s="88">
        <f t="shared" si="8"/>
        <v>0.56933333333333336</v>
      </c>
      <c r="F53" s="88">
        <f t="shared" si="9"/>
        <v>17080</v>
      </c>
      <c r="G53" s="89">
        <f t="shared" si="10"/>
        <v>1</v>
      </c>
      <c r="H53" s="121">
        <f t="shared" si="12"/>
        <v>11.386666666666667</v>
      </c>
      <c r="I53" s="93">
        <f t="shared" si="13"/>
        <v>11.386666666666667</v>
      </c>
    </row>
    <row r="54" spans="2:9" x14ac:dyDescent="0.35">
      <c r="B54" s="86" t="str">
        <f t="shared" si="7"/>
        <v>Carrot - جزر</v>
      </c>
      <c r="C54" s="86" t="str">
        <f t="shared" si="7"/>
        <v>gm</v>
      </c>
      <c r="D54" s="86">
        <f t="shared" si="7"/>
        <v>500</v>
      </c>
      <c r="E54" s="88">
        <f t="shared" si="8"/>
        <v>0.56933333333333336</v>
      </c>
      <c r="F54" s="88">
        <f t="shared" si="9"/>
        <v>17080</v>
      </c>
      <c r="G54" s="89">
        <f t="shared" si="10"/>
        <v>1</v>
      </c>
      <c r="H54" s="121">
        <f t="shared" si="12"/>
        <v>284.66666666666669</v>
      </c>
      <c r="I54" s="93">
        <f t="shared" si="13"/>
        <v>284.66666666666669</v>
      </c>
    </row>
    <row r="55" spans="2:9" x14ac:dyDescent="0.35">
      <c r="B55" s="86" t="str">
        <f t="shared" si="7"/>
        <v>Frozen Green Peas - بازلاء خضراء مجمده</v>
      </c>
      <c r="C55" s="86" t="str">
        <f t="shared" si="7"/>
        <v>gm</v>
      </c>
      <c r="D55" s="86">
        <f t="shared" si="7"/>
        <v>800</v>
      </c>
      <c r="E55" s="88">
        <f t="shared" si="8"/>
        <v>0.56933333333333336</v>
      </c>
      <c r="F55" s="88">
        <f t="shared" si="9"/>
        <v>17080</v>
      </c>
      <c r="G55" s="89">
        <f t="shared" si="10"/>
        <v>1</v>
      </c>
      <c r="H55" s="121">
        <f t="shared" si="12"/>
        <v>455.4666666666667</v>
      </c>
      <c r="I55" s="93">
        <f t="shared" si="13"/>
        <v>455.4666666666667</v>
      </c>
    </row>
    <row r="56" spans="2:9" x14ac:dyDescent="0.35">
      <c r="B56" s="86" t="str">
        <f t="shared" si="7"/>
        <v>Cardamom Whole - هيل حب</v>
      </c>
      <c r="C56" s="86" t="str">
        <f t="shared" si="7"/>
        <v>gm</v>
      </c>
      <c r="D56" s="86">
        <f t="shared" si="7"/>
        <v>20</v>
      </c>
      <c r="E56" s="88">
        <f t="shared" si="8"/>
        <v>0.56933333333333336</v>
      </c>
      <c r="F56" s="88">
        <f t="shared" si="9"/>
        <v>17080</v>
      </c>
      <c r="G56" s="89">
        <f t="shared" si="10"/>
        <v>1</v>
      </c>
      <c r="H56" s="121">
        <f t="shared" si="12"/>
        <v>11.386666666666667</v>
      </c>
      <c r="I56" s="93">
        <f t="shared" si="13"/>
        <v>11.386666666666667</v>
      </c>
    </row>
    <row r="57" spans="2:9" x14ac:dyDescent="0.35">
      <c r="B57" s="60"/>
      <c r="C57" s="60"/>
      <c r="D57" s="60"/>
      <c r="E57" s="61"/>
      <c r="F57" s="61"/>
      <c r="G57" s="62"/>
      <c r="H57" s="18"/>
      <c r="I57" s="63"/>
    </row>
    <row r="58" spans="2:9" x14ac:dyDescent="0.35">
      <c r="B58" s="60"/>
      <c r="C58" s="60"/>
      <c r="D58" s="60"/>
      <c r="E58" s="61"/>
      <c r="F58" s="62"/>
      <c r="G58" s="18"/>
      <c r="H58" s="63"/>
      <c r="I58" s="18"/>
    </row>
    <row r="59" spans="2:9" x14ac:dyDescent="0.35">
      <c r="B59" s="18"/>
      <c r="E59" s="18"/>
      <c r="F59" s="18"/>
    </row>
    <row r="60" spans="2:9" x14ac:dyDescent="0.35">
      <c r="B60" s="60"/>
      <c r="C60" s="60"/>
      <c r="D60" s="60"/>
      <c r="E60" s="61"/>
      <c r="F60" s="62"/>
      <c r="G60" s="18"/>
      <c r="H60" s="63"/>
      <c r="I60" s="18"/>
    </row>
    <row r="61" spans="2:9" ht="10.5" customHeight="1" x14ac:dyDescent="0.35">
      <c r="B61" s="18"/>
      <c r="E61" s="18"/>
      <c r="F61" s="18"/>
    </row>
    <row r="62" spans="2:9" ht="17.649999999999999" x14ac:dyDescent="0.35">
      <c r="B62" s="240" t="str">
        <f>"        رز بالخضار الأربعاء   2 / " &amp; COUNTIF($C$22:$C$24, "&gt;0")</f>
        <v xml:space="preserve">        رز بالخضار الأربعاء   2 / 1</v>
      </c>
      <c r="C62" s="240"/>
      <c r="D62" s="240"/>
      <c r="E62" s="240"/>
      <c r="F62" s="240"/>
      <c r="G62" s="240"/>
      <c r="H62" s="240"/>
      <c r="I62" s="240"/>
    </row>
    <row r="63" spans="2:9" ht="10.5" customHeight="1" x14ac:dyDescent="0.35">
      <c r="B63" s="240" t="str">
        <f>"  Vegetables Rice  Wed  2 / " &amp; COUNTIF($C$22:$C$24, "&gt;0")</f>
        <v xml:space="preserve">  Vegetables Rice  Wed  2 / 1</v>
      </c>
      <c r="C63" s="240"/>
      <c r="D63" s="240"/>
      <c r="E63" s="240"/>
      <c r="F63" s="240"/>
      <c r="G63" s="240"/>
      <c r="H63" s="240"/>
      <c r="I63" s="240"/>
    </row>
    <row r="64" spans="2:9" ht="78.75" x14ac:dyDescent="0.35">
      <c r="B64" s="19" t="s">
        <v>60</v>
      </c>
      <c r="C64" s="20" t="s">
        <v>61</v>
      </c>
      <c r="D64" s="19" t="s">
        <v>62</v>
      </c>
      <c r="E64" s="21" t="s">
        <v>63</v>
      </c>
      <c r="F64" s="55" t="s">
        <v>77</v>
      </c>
      <c r="G64" s="21" t="s">
        <v>96</v>
      </c>
      <c r="H64" s="56" t="s">
        <v>97</v>
      </c>
      <c r="I64" s="55" t="s">
        <v>78</v>
      </c>
    </row>
    <row r="65" spans="2:9" x14ac:dyDescent="0.35">
      <c r="B65" s="24" t="str">
        <f t="shared" ref="B65:D78" si="14">B5</f>
        <v>Rice - رز</v>
      </c>
      <c r="C65" s="24" t="str">
        <f t="shared" si="14"/>
        <v>KG</v>
      </c>
      <c r="D65" s="24">
        <f t="shared" si="14"/>
        <v>10</v>
      </c>
      <c r="E65" s="27">
        <f t="shared" ref="E65:E78" si="15">$C$23</f>
        <v>0</v>
      </c>
      <c r="F65" s="68">
        <f t="shared" ref="F65:F78" si="16">$D$23</f>
        <v>0</v>
      </c>
      <c r="G65" s="28">
        <f t="shared" ref="G65:G78" si="17">F5</f>
        <v>1</v>
      </c>
      <c r="H65" s="84">
        <f t="shared" ref="H65:H78" si="18">D65*E65</f>
        <v>0</v>
      </c>
      <c r="I65" s="32">
        <f t="shared" ref="I65:I78" si="19">H65*G65</f>
        <v>0</v>
      </c>
    </row>
    <row r="66" spans="2:9" ht="13.5" customHeight="1" x14ac:dyDescent="0.35">
      <c r="B66" s="24" t="str">
        <f t="shared" si="14"/>
        <v>Water - ماء</v>
      </c>
      <c r="C66" s="24" t="str">
        <f t="shared" si="14"/>
        <v>ml</v>
      </c>
      <c r="D66" s="24">
        <f t="shared" si="14"/>
        <v>20000</v>
      </c>
      <c r="E66" s="27">
        <f t="shared" si="15"/>
        <v>0</v>
      </c>
      <c r="F66" s="68">
        <f t="shared" si="16"/>
        <v>0</v>
      </c>
      <c r="G66" s="28">
        <f t="shared" si="17"/>
        <v>1</v>
      </c>
      <c r="H66" s="84">
        <f t="shared" si="18"/>
        <v>0</v>
      </c>
      <c r="I66" s="32">
        <f t="shared" si="19"/>
        <v>0</v>
      </c>
    </row>
    <row r="67" spans="2:9" x14ac:dyDescent="0.35">
      <c r="B67" s="24" t="str">
        <f t="shared" si="14"/>
        <v>Butter - زبدة</v>
      </c>
      <c r="C67" s="24" t="str">
        <f t="shared" si="14"/>
        <v>gm</v>
      </c>
      <c r="D67" s="24">
        <f t="shared" si="14"/>
        <v>150</v>
      </c>
      <c r="E67" s="27">
        <f t="shared" si="15"/>
        <v>0</v>
      </c>
      <c r="F67" s="68">
        <f t="shared" si="16"/>
        <v>0</v>
      </c>
      <c r="G67" s="28">
        <f t="shared" si="17"/>
        <v>1</v>
      </c>
      <c r="H67" s="84">
        <f t="shared" si="18"/>
        <v>0</v>
      </c>
      <c r="I67" s="32">
        <f t="shared" si="19"/>
        <v>0</v>
      </c>
    </row>
    <row r="68" spans="2:9" x14ac:dyDescent="0.35">
      <c r="B68" s="24" t="str">
        <f t="shared" si="14"/>
        <v>Salt - ملح</v>
      </c>
      <c r="C68" s="24" t="str">
        <f t="shared" si="14"/>
        <v>gm</v>
      </c>
      <c r="D68" s="24">
        <f t="shared" si="14"/>
        <v>400</v>
      </c>
      <c r="E68" s="27">
        <f t="shared" si="15"/>
        <v>0</v>
      </c>
      <c r="F68" s="68">
        <f t="shared" si="16"/>
        <v>0</v>
      </c>
      <c r="G68" s="28">
        <f t="shared" si="17"/>
        <v>1</v>
      </c>
      <c r="H68" s="84">
        <f t="shared" si="18"/>
        <v>0</v>
      </c>
      <c r="I68" s="32">
        <f t="shared" si="19"/>
        <v>0</v>
      </c>
    </row>
    <row r="69" spans="2:9" x14ac:dyDescent="0.35">
      <c r="B69" s="24" t="str">
        <f t="shared" si="14"/>
        <v>Black Pepper Powder - فلفل أسود مطحون</v>
      </c>
      <c r="C69" s="24" t="str">
        <f t="shared" si="14"/>
        <v>gm</v>
      </c>
      <c r="D69" s="24">
        <f t="shared" si="14"/>
        <v>3</v>
      </c>
      <c r="E69" s="27">
        <f t="shared" si="15"/>
        <v>0</v>
      </c>
      <c r="F69" s="68">
        <f t="shared" si="16"/>
        <v>0</v>
      </c>
      <c r="G69" s="28">
        <f t="shared" si="17"/>
        <v>1</v>
      </c>
      <c r="H69" s="84">
        <f t="shared" si="18"/>
        <v>0</v>
      </c>
      <c r="I69" s="32">
        <f t="shared" si="19"/>
        <v>0</v>
      </c>
    </row>
    <row r="70" spans="2:9" x14ac:dyDescent="0.35">
      <c r="B70" s="24" t="str">
        <f t="shared" si="14"/>
        <v>Coriander Powder - كزبرة مطحونة</v>
      </c>
      <c r="C70" s="24" t="str">
        <f t="shared" si="14"/>
        <v>gm</v>
      </c>
      <c r="D70" s="24">
        <f t="shared" si="14"/>
        <v>10</v>
      </c>
      <c r="E70" s="27">
        <f t="shared" si="15"/>
        <v>0</v>
      </c>
      <c r="F70" s="68">
        <f t="shared" si="16"/>
        <v>0</v>
      </c>
      <c r="G70" s="28">
        <f t="shared" si="17"/>
        <v>1</v>
      </c>
      <c r="H70" s="84">
        <f t="shared" si="18"/>
        <v>0</v>
      </c>
      <c r="I70" s="32">
        <f t="shared" si="19"/>
        <v>0</v>
      </c>
    </row>
    <row r="71" spans="2:9" x14ac:dyDescent="0.35">
      <c r="B71" s="24" t="str">
        <f t="shared" si="14"/>
        <v>Cumin Powder - كمون مطحون</v>
      </c>
      <c r="C71" s="24" t="str">
        <f t="shared" si="14"/>
        <v>gm</v>
      </c>
      <c r="D71" s="24">
        <f t="shared" si="14"/>
        <v>20</v>
      </c>
      <c r="E71" s="27">
        <f t="shared" si="15"/>
        <v>0</v>
      </c>
      <c r="F71" s="68">
        <f t="shared" si="16"/>
        <v>0</v>
      </c>
      <c r="G71" s="28">
        <f t="shared" si="17"/>
        <v>1</v>
      </c>
      <c r="H71" s="84">
        <f t="shared" si="18"/>
        <v>0</v>
      </c>
      <c r="I71" s="32">
        <f t="shared" si="19"/>
        <v>0</v>
      </c>
    </row>
    <row r="72" spans="2:9" x14ac:dyDescent="0.35">
      <c r="B72" s="24" t="str">
        <f t="shared" si="14"/>
        <v>Garlic Powder - ثوم بودرة</v>
      </c>
      <c r="C72" s="24" t="str">
        <f t="shared" si="14"/>
        <v>gm</v>
      </c>
      <c r="D72" s="24">
        <f t="shared" si="14"/>
        <v>20</v>
      </c>
      <c r="E72" s="27">
        <f t="shared" si="15"/>
        <v>0</v>
      </c>
      <c r="F72" s="68">
        <f t="shared" si="16"/>
        <v>0</v>
      </c>
      <c r="G72" s="28">
        <f t="shared" si="17"/>
        <v>1</v>
      </c>
      <c r="H72" s="84">
        <f t="shared" si="18"/>
        <v>0</v>
      </c>
      <c r="I72" s="32">
        <f t="shared" si="19"/>
        <v>0</v>
      </c>
    </row>
    <row r="73" spans="2:9" x14ac:dyDescent="0.35">
      <c r="B73" s="24" t="str">
        <f t="shared" si="14"/>
        <v>Onion Powder - بصل بودرة</v>
      </c>
      <c r="C73" s="24" t="str">
        <f t="shared" si="14"/>
        <v>gm</v>
      </c>
      <c r="D73" s="24">
        <f t="shared" si="14"/>
        <v>20</v>
      </c>
      <c r="E73" s="27">
        <f t="shared" si="15"/>
        <v>0</v>
      </c>
      <c r="F73" s="68">
        <f t="shared" si="16"/>
        <v>0</v>
      </c>
      <c r="G73" s="28">
        <f t="shared" si="17"/>
        <v>1</v>
      </c>
      <c r="H73" s="84">
        <f t="shared" si="18"/>
        <v>0</v>
      </c>
      <c r="I73" s="32">
        <f t="shared" si="19"/>
        <v>0</v>
      </c>
    </row>
    <row r="74" spans="2:9" x14ac:dyDescent="0.35">
      <c r="B74" s="24" t="str">
        <f t="shared" si="14"/>
        <v>Maggi Cubes - مكعبات ماجي</v>
      </c>
      <c r="C74" s="24" t="str">
        <f t="shared" si="14"/>
        <v>gm</v>
      </c>
      <c r="D74" s="24">
        <f t="shared" si="14"/>
        <v>30</v>
      </c>
      <c r="E74" s="27">
        <f t="shared" si="15"/>
        <v>0</v>
      </c>
      <c r="F74" s="68">
        <f t="shared" si="16"/>
        <v>0</v>
      </c>
      <c r="G74" s="28">
        <f t="shared" si="17"/>
        <v>1</v>
      </c>
      <c r="H74" s="84">
        <f t="shared" si="18"/>
        <v>0</v>
      </c>
      <c r="I74" s="32">
        <f t="shared" si="19"/>
        <v>0</v>
      </c>
    </row>
    <row r="75" spans="2:9" ht="25.5" x14ac:dyDescent="0.35">
      <c r="B75" s="24" t="str">
        <f t="shared" si="14"/>
        <v>لون صفار زعفران بودر - Saffron yellow color powder</v>
      </c>
      <c r="C75" s="24" t="str">
        <f t="shared" si="14"/>
        <v>gm</v>
      </c>
      <c r="D75" s="24">
        <f t="shared" si="14"/>
        <v>20</v>
      </c>
      <c r="E75" s="27">
        <f t="shared" si="15"/>
        <v>0</v>
      </c>
      <c r="F75" s="68">
        <f t="shared" si="16"/>
        <v>0</v>
      </c>
      <c r="G75" s="28">
        <f t="shared" si="17"/>
        <v>1</v>
      </c>
      <c r="H75" s="84">
        <f t="shared" si="18"/>
        <v>0</v>
      </c>
      <c r="I75" s="32">
        <f t="shared" si="19"/>
        <v>0</v>
      </c>
    </row>
    <row r="76" spans="2:9" x14ac:dyDescent="0.35">
      <c r="B76" s="24" t="str">
        <f t="shared" si="14"/>
        <v>Carrot - جزر</v>
      </c>
      <c r="C76" s="24" t="str">
        <f t="shared" si="14"/>
        <v>gm</v>
      </c>
      <c r="D76" s="24">
        <f t="shared" si="14"/>
        <v>500</v>
      </c>
      <c r="E76" s="27">
        <f t="shared" si="15"/>
        <v>0</v>
      </c>
      <c r="F76" s="68">
        <f t="shared" si="16"/>
        <v>0</v>
      </c>
      <c r="G76" s="28">
        <f t="shared" si="17"/>
        <v>1</v>
      </c>
      <c r="H76" s="84">
        <f t="shared" si="18"/>
        <v>0</v>
      </c>
      <c r="I76" s="32">
        <f t="shared" si="19"/>
        <v>0</v>
      </c>
    </row>
    <row r="77" spans="2:9" x14ac:dyDescent="0.35">
      <c r="B77" s="24" t="str">
        <f t="shared" si="14"/>
        <v>Frozen Green Peas - بازلاء خضراء مجمده</v>
      </c>
      <c r="C77" s="24" t="str">
        <f t="shared" si="14"/>
        <v>gm</v>
      </c>
      <c r="D77" s="24">
        <f t="shared" si="14"/>
        <v>800</v>
      </c>
      <c r="E77" s="27">
        <f t="shared" si="15"/>
        <v>0</v>
      </c>
      <c r="F77" s="68">
        <f t="shared" si="16"/>
        <v>0</v>
      </c>
      <c r="G77" s="28">
        <f t="shared" si="17"/>
        <v>1</v>
      </c>
      <c r="H77" s="84">
        <f t="shared" si="18"/>
        <v>0</v>
      </c>
      <c r="I77" s="32">
        <f t="shared" si="19"/>
        <v>0</v>
      </c>
    </row>
    <row r="78" spans="2:9" x14ac:dyDescent="0.35">
      <c r="B78" s="24" t="str">
        <f t="shared" si="14"/>
        <v>Cardamom Whole - هيل حب</v>
      </c>
      <c r="C78" s="24" t="str">
        <f t="shared" si="14"/>
        <v>gm</v>
      </c>
      <c r="D78" s="24">
        <f t="shared" si="14"/>
        <v>20</v>
      </c>
      <c r="E78" s="27">
        <f t="shared" si="15"/>
        <v>0</v>
      </c>
      <c r="F78" s="68">
        <f t="shared" si="16"/>
        <v>0</v>
      </c>
      <c r="G78" s="28">
        <f t="shared" si="17"/>
        <v>1</v>
      </c>
      <c r="H78" s="84">
        <f t="shared" si="18"/>
        <v>0</v>
      </c>
      <c r="I78" s="32">
        <f t="shared" si="19"/>
        <v>0</v>
      </c>
    </row>
  </sheetData>
  <mergeCells count="8">
    <mergeCell ref="A2:A3"/>
    <mergeCell ref="B2:H3"/>
    <mergeCell ref="B62:I62"/>
    <mergeCell ref="B63:I63"/>
    <mergeCell ref="B40:I40"/>
    <mergeCell ref="B41:I41"/>
    <mergeCell ref="N29:O29"/>
    <mergeCell ref="M11:N1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C55A11"/>
    <pageSetUpPr fitToPage="1"/>
  </sheetPr>
  <dimension ref="A1:AB62"/>
  <sheetViews>
    <sheetView topLeftCell="G4" zoomScale="85" zoomScaleNormal="85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30.6875" style="10" customWidth="1"/>
    <col min="3" max="3" width="24" style="10" customWidth="1"/>
    <col min="4" max="4" width="21.8125" style="10" customWidth="1"/>
    <col min="5" max="5" width="16.1875" style="10" customWidth="1"/>
    <col min="6" max="6" width="14.0625" style="10" customWidth="1"/>
    <col min="7" max="7" width="15.1875" style="10" customWidth="1"/>
    <col min="8" max="8" width="11.5" style="10" customWidth="1"/>
    <col min="9" max="9" width="16.1875" style="10" customWidth="1"/>
    <col min="10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24150</v>
      </c>
      <c r="F1" s="11" t="s">
        <v>55</v>
      </c>
      <c r="G1" s="15">
        <f>E1/C1</f>
        <v>0.80500000000000005</v>
      </c>
      <c r="H1" s="11" t="s">
        <v>56</v>
      </c>
      <c r="I1" s="16">
        <f>(G1/K1)</f>
        <v>0.80500000000000005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24150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98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1" si="0">$G$1</f>
        <v>0.80500000000000005</v>
      </c>
      <c r="F5" s="28">
        <v>1</v>
      </c>
      <c r="G5" s="29">
        <f t="shared" ref="G5:G11" si="1">D5*E5</f>
        <v>8.0500000000000007</v>
      </c>
      <c r="H5" s="30">
        <f t="shared" ref="H5:H11" si="2">G5*F5</f>
        <v>8.0500000000000007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8.0500000000000007</v>
      </c>
      <c r="L5" s="31">
        <f>K5*J5</f>
        <v>46.287500000000001</v>
      </c>
    </row>
    <row r="6" spans="1:28" x14ac:dyDescent="0.35">
      <c r="B6" s="24" t="s">
        <v>11</v>
      </c>
      <c r="C6" s="25" t="s">
        <v>213</v>
      </c>
      <c r="D6" s="26">
        <v>20000</v>
      </c>
      <c r="E6" s="27">
        <f t="shared" si="0"/>
        <v>0.80500000000000005</v>
      </c>
      <c r="F6" s="28">
        <v>1</v>
      </c>
      <c r="G6" s="29">
        <f t="shared" si="1"/>
        <v>16100.000000000002</v>
      </c>
      <c r="H6" s="31">
        <f t="shared" si="2"/>
        <v>16100.000000000002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16.100000000000001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0.80500000000000005</v>
      </c>
      <c r="F7" s="28">
        <v>1</v>
      </c>
      <c r="G7" s="29">
        <f t="shared" si="1"/>
        <v>120.75000000000001</v>
      </c>
      <c r="H7" s="32">
        <f t="shared" si="2"/>
        <v>120.75000000000001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0.12075000000000001</v>
      </c>
      <c r="L7" s="31">
        <f t="shared" si="3"/>
        <v>3.6225000000000005</v>
      </c>
      <c r="V7" s="251"/>
    </row>
    <row r="8" spans="1:28" ht="13.15" x14ac:dyDescent="0.4">
      <c r="B8" s="24" t="s">
        <v>22</v>
      </c>
      <c r="C8" s="25" t="s">
        <v>17</v>
      </c>
      <c r="D8" s="26">
        <v>400</v>
      </c>
      <c r="E8" s="27">
        <f t="shared" si="0"/>
        <v>0.80500000000000005</v>
      </c>
      <c r="F8" s="28">
        <v>1</v>
      </c>
      <c r="G8" s="29">
        <f t="shared" si="1"/>
        <v>322</v>
      </c>
      <c r="H8" s="32">
        <f t="shared" si="2"/>
        <v>322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4"/>
        <v>0.32200000000000001</v>
      </c>
      <c r="L8" s="31">
        <f t="shared" si="3"/>
        <v>0.23827999999999999</v>
      </c>
      <c r="V8" s="215" t="s">
        <v>17</v>
      </c>
      <c r="W8" s="216">
        <v>1</v>
      </c>
      <c r="X8" s="215" t="s">
        <v>250</v>
      </c>
      <c r="Y8" s="217">
        <f>(N16*W8)/N15</f>
        <v>2.1280333333333337E-3</v>
      </c>
    </row>
    <row r="9" spans="1:28" x14ac:dyDescent="0.35">
      <c r="B9" s="24" t="s">
        <v>47</v>
      </c>
      <c r="C9" s="25" t="s">
        <v>17</v>
      </c>
      <c r="D9" s="26">
        <v>10</v>
      </c>
      <c r="E9" s="35">
        <f t="shared" si="0"/>
        <v>0.80500000000000005</v>
      </c>
      <c r="F9" s="36">
        <v>1</v>
      </c>
      <c r="G9" s="37">
        <f t="shared" si="1"/>
        <v>8.0500000000000007</v>
      </c>
      <c r="H9" s="38">
        <f t="shared" si="2"/>
        <v>8.0500000000000007</v>
      </c>
      <c r="I9" s="12">
        <f>VLOOKUP(B9,Ordering!$A$1:$J$45,6,FALSE)</f>
        <v>1</v>
      </c>
      <c r="J9" s="59">
        <f>VLOOKUP(B9,Ordering!$A$1:$J$45,10,FALSE)</f>
        <v>22.5</v>
      </c>
      <c r="K9" s="59">
        <f t="shared" si="4"/>
        <v>8.0499999999999999E-3</v>
      </c>
      <c r="L9" s="31">
        <f t="shared" si="3"/>
        <v>0.18112500000000001</v>
      </c>
    </row>
    <row r="10" spans="1:28" x14ac:dyDescent="0.35">
      <c r="B10" s="24" t="s">
        <v>27</v>
      </c>
      <c r="C10" s="25" t="s">
        <v>17</v>
      </c>
      <c r="D10" s="26">
        <v>20</v>
      </c>
      <c r="E10" s="35">
        <f t="shared" si="0"/>
        <v>0.80500000000000005</v>
      </c>
      <c r="F10" s="36">
        <v>1</v>
      </c>
      <c r="G10" s="37">
        <f t="shared" si="1"/>
        <v>16.100000000000001</v>
      </c>
      <c r="H10" s="38">
        <f t="shared" si="2"/>
        <v>16.100000000000001</v>
      </c>
      <c r="I10" s="12">
        <f>VLOOKUP(B10,Ordering!$A$1:$J$45,6,FALSE)</f>
        <v>1</v>
      </c>
      <c r="J10" s="59">
        <f>VLOOKUP(B10,Ordering!$A$1:$J$45,10,FALSE)</f>
        <v>31</v>
      </c>
      <c r="K10" s="59">
        <f t="shared" ref="K10:K11" si="5">(H10/I10)/1000</f>
        <v>1.61E-2</v>
      </c>
      <c r="L10" s="31">
        <f t="shared" ref="L10:L11" si="6">K10*J10</f>
        <v>0.49909999999999999</v>
      </c>
    </row>
    <row r="11" spans="1:28" ht="13.5" customHeight="1" x14ac:dyDescent="0.35">
      <c r="B11" s="24" t="s">
        <v>48</v>
      </c>
      <c r="C11" s="25" t="s">
        <v>17</v>
      </c>
      <c r="D11" s="26">
        <v>20</v>
      </c>
      <c r="E11" s="35">
        <f t="shared" si="0"/>
        <v>0.80500000000000005</v>
      </c>
      <c r="F11" s="36">
        <v>1</v>
      </c>
      <c r="G11" s="37">
        <f t="shared" si="1"/>
        <v>16.100000000000001</v>
      </c>
      <c r="H11" s="38">
        <f t="shared" si="2"/>
        <v>16.100000000000001</v>
      </c>
      <c r="I11" s="12">
        <f>VLOOKUP(B11,Ordering!$A$1:$J$45,6,FALSE)</f>
        <v>1</v>
      </c>
      <c r="J11" s="59">
        <f>VLOOKUP(B11,Ordering!$A$1:$J$45,10,FALSE)</f>
        <v>35</v>
      </c>
      <c r="K11" s="59">
        <f t="shared" si="5"/>
        <v>1.61E-2</v>
      </c>
      <c r="L11" s="31">
        <f t="shared" si="6"/>
        <v>0.5635</v>
      </c>
      <c r="M11" s="243" t="s">
        <v>98</v>
      </c>
      <c r="N11" s="243"/>
    </row>
    <row r="12" spans="1:28" ht="13.5" customHeight="1" x14ac:dyDescent="0.35">
      <c r="B12" s="40"/>
      <c r="C12" s="41"/>
      <c r="D12" s="42"/>
      <c r="E12" s="43"/>
      <c r="F12" s="44"/>
      <c r="G12" s="45"/>
      <c r="H12" s="46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7"/>
      <c r="C13" s="47" t="s">
        <v>55</v>
      </c>
      <c r="D13" s="47" t="s">
        <v>68</v>
      </c>
      <c r="E13" s="18"/>
      <c r="F13" s="18"/>
      <c r="I13" s="18"/>
      <c r="J13" s="18"/>
      <c r="K13" s="18"/>
      <c r="M13" s="48" t="s">
        <v>72</v>
      </c>
      <c r="N13" s="130">
        <f>$Z$1</f>
        <v>24150</v>
      </c>
    </row>
    <row r="14" spans="1:28" ht="13.5" customHeight="1" x14ac:dyDescent="0.35">
      <c r="B14" s="48" t="s">
        <v>71</v>
      </c>
      <c r="C14" s="49">
        <f>I1</f>
        <v>0.80500000000000005</v>
      </c>
      <c r="D14" s="50">
        <f>E1</f>
        <v>24150</v>
      </c>
      <c r="F14" s="18"/>
      <c r="I14" s="18"/>
      <c r="J14" s="18"/>
      <c r="K14" s="18"/>
      <c r="M14" s="48" t="s">
        <v>74</v>
      </c>
      <c r="N14" s="129">
        <f>$AB$1</f>
        <v>0</v>
      </c>
    </row>
    <row r="15" spans="1:28" ht="14.25" customHeight="1" thickBot="1" x14ac:dyDescent="0.4">
      <c r="B15" s="48" t="s">
        <v>73</v>
      </c>
      <c r="C15" s="51">
        <f>MIN($C$14,1)</f>
        <v>0.80500000000000005</v>
      </c>
      <c r="D15" s="70">
        <f>C15*$C$1</f>
        <v>24150</v>
      </c>
      <c r="E15" s="18"/>
      <c r="F15" s="18"/>
      <c r="I15" s="18"/>
      <c r="J15" s="18"/>
      <c r="K15" s="18"/>
      <c r="M15" s="53" t="s">
        <v>71</v>
      </c>
      <c r="N15" s="54">
        <f>N13+N14</f>
        <v>24150</v>
      </c>
    </row>
    <row r="16" spans="1:28" ht="14.25" customHeight="1" thickBot="1" x14ac:dyDescent="0.45">
      <c r="B16" s="48" t="s">
        <v>75</v>
      </c>
      <c r="C16" s="51">
        <f>MIN(MAX($C$14-C15,0),30)</f>
        <v>0</v>
      </c>
      <c r="D16" s="70">
        <f>C16*$C$1</f>
        <v>0</v>
      </c>
      <c r="E16" s="18"/>
      <c r="F16" s="18"/>
      <c r="M16" s="213" t="s">
        <v>250</v>
      </c>
      <c r="N16" s="214">
        <f>SUM(L5:L11)</f>
        <v>51.392005000000005</v>
      </c>
    </row>
    <row r="17" spans="2:15" ht="13.5" customHeight="1" x14ac:dyDescent="0.35">
      <c r="B17" s="100"/>
      <c r="C17" s="101">
        <f>MIN(MAX($C$14-C15-C16,0),10)</f>
        <v>0</v>
      </c>
      <c r="D17" s="102">
        <f>C17*$K$1</f>
        <v>0</v>
      </c>
      <c r="E17" s="91"/>
      <c r="F17" s="91"/>
      <c r="G17" s="85"/>
      <c r="H17" s="85"/>
      <c r="I17" s="85"/>
    </row>
    <row r="18" spans="2:15" x14ac:dyDescent="0.35">
      <c r="B18" s="91"/>
      <c r="C18" s="85"/>
      <c r="D18" s="85"/>
      <c r="E18" s="91"/>
      <c r="F18" s="91"/>
      <c r="G18" s="85"/>
      <c r="H18" s="85"/>
      <c r="I18" s="85"/>
    </row>
    <row r="19" spans="2:15" ht="18" customHeight="1" x14ac:dyDescent="0.35"/>
    <row r="20" spans="2:15" ht="18" customHeight="1" x14ac:dyDescent="0.35"/>
    <row r="21" spans="2:15" ht="50.75" customHeight="1" x14ac:dyDescent="0.35"/>
    <row r="22" spans="2:15" ht="13.5" customHeight="1" x14ac:dyDescent="0.35">
      <c r="N22" s="245"/>
      <c r="O22" s="245"/>
    </row>
    <row r="40" spans="1:9" ht="17.649999999999999" x14ac:dyDescent="0.35">
      <c r="A40" s="134"/>
      <c r="B40" s="240" t="str">
        <f>"        رز مشكل   1 / " &amp; COUNTIF($C$15:$C$17, "&gt;0")</f>
        <v xml:space="preserve">        رز مشكل  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Mix Rice   1 / " &amp; COUNTIF($C$15:$C$17, "&gt;0")</f>
        <v xml:space="preserve">  Mix Rice   1 / 1</v>
      </c>
      <c r="C41" s="240"/>
      <c r="D41" s="240"/>
      <c r="E41" s="240"/>
      <c r="F41" s="240"/>
      <c r="G41" s="240"/>
      <c r="H41" s="240"/>
      <c r="I41" s="240"/>
    </row>
    <row r="42" spans="1:9" ht="65.650000000000006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ht="13.5" customHeight="1" x14ac:dyDescent="0.35">
      <c r="B43" s="24" t="str">
        <f t="shared" ref="B43:D49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9" si="8">$C$15</f>
        <v>0.80500000000000005</v>
      </c>
      <c r="F43" s="58">
        <f t="shared" ref="F43:F49" si="9">$D$15</f>
        <v>24150</v>
      </c>
      <c r="G43" s="28">
        <f t="shared" ref="G43:G49" si="10">F5</f>
        <v>1</v>
      </c>
      <c r="H43" s="120">
        <f t="shared" ref="H43:H49" si="11">D43*E43</f>
        <v>8.0500000000000007</v>
      </c>
      <c r="I43" s="32">
        <f t="shared" ref="I43:I49" si="12">H43*G43</f>
        <v>8.0500000000000007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20000</v>
      </c>
      <c r="E44" s="57">
        <f t="shared" si="8"/>
        <v>0.80500000000000005</v>
      </c>
      <c r="F44" s="58">
        <f t="shared" si="9"/>
        <v>24150</v>
      </c>
      <c r="G44" s="28">
        <f t="shared" si="10"/>
        <v>1</v>
      </c>
      <c r="H44" s="120">
        <f t="shared" si="11"/>
        <v>16100.000000000002</v>
      </c>
      <c r="I44" s="32">
        <f t="shared" si="12"/>
        <v>16100.000000000002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0.80500000000000005</v>
      </c>
      <c r="F45" s="58">
        <f t="shared" si="9"/>
        <v>24150</v>
      </c>
      <c r="G45" s="28">
        <f t="shared" si="10"/>
        <v>1</v>
      </c>
      <c r="H45" s="120">
        <f t="shared" si="11"/>
        <v>120.75000000000001</v>
      </c>
      <c r="I45" s="32">
        <f t="shared" si="12"/>
        <v>120.75000000000001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0.80500000000000005</v>
      </c>
      <c r="F46" s="58">
        <f t="shared" si="9"/>
        <v>24150</v>
      </c>
      <c r="G46" s="28">
        <f t="shared" si="10"/>
        <v>1</v>
      </c>
      <c r="H46" s="120">
        <f t="shared" si="11"/>
        <v>322</v>
      </c>
      <c r="I46" s="32">
        <f t="shared" si="12"/>
        <v>322</v>
      </c>
    </row>
    <row r="47" spans="1:9" x14ac:dyDescent="0.35">
      <c r="B47" s="24" t="str">
        <f t="shared" si="7"/>
        <v>Green Color - لون أخضر</v>
      </c>
      <c r="C47" s="24" t="str">
        <f t="shared" si="7"/>
        <v>gm</v>
      </c>
      <c r="D47" s="24">
        <f t="shared" si="7"/>
        <v>10</v>
      </c>
      <c r="E47" s="57">
        <f t="shared" si="8"/>
        <v>0.80500000000000005</v>
      </c>
      <c r="F47" s="58">
        <f t="shared" si="9"/>
        <v>24150</v>
      </c>
      <c r="G47" s="28">
        <f t="shared" si="10"/>
        <v>1</v>
      </c>
      <c r="H47" s="120">
        <f t="shared" si="11"/>
        <v>8.0500000000000007</v>
      </c>
      <c r="I47" s="32">
        <f t="shared" si="12"/>
        <v>8.0500000000000007</v>
      </c>
    </row>
    <row r="48" spans="1:9" x14ac:dyDescent="0.35">
      <c r="B48" s="24" t="str">
        <f t="shared" si="7"/>
        <v>Cardamom Whole - هيل حب</v>
      </c>
      <c r="C48" s="24" t="str">
        <f t="shared" si="7"/>
        <v>gm</v>
      </c>
      <c r="D48" s="24">
        <f t="shared" si="7"/>
        <v>20</v>
      </c>
      <c r="E48" s="57">
        <f t="shared" si="8"/>
        <v>0.80500000000000005</v>
      </c>
      <c r="F48" s="58">
        <f t="shared" si="9"/>
        <v>24150</v>
      </c>
      <c r="G48" s="28">
        <f t="shared" si="10"/>
        <v>1</v>
      </c>
      <c r="H48" s="120">
        <f t="shared" si="11"/>
        <v>16.100000000000001</v>
      </c>
      <c r="I48" s="32">
        <f t="shared" si="12"/>
        <v>16.100000000000001</v>
      </c>
    </row>
    <row r="49" spans="2:9" x14ac:dyDescent="0.35">
      <c r="B49" s="24" t="str">
        <f t="shared" si="7"/>
        <v>Orange Color - لون برتقالي</v>
      </c>
      <c r="C49" s="24" t="str">
        <f t="shared" si="7"/>
        <v>gm</v>
      </c>
      <c r="D49" s="24">
        <f t="shared" si="7"/>
        <v>20</v>
      </c>
      <c r="E49" s="57">
        <f t="shared" si="8"/>
        <v>0.80500000000000005</v>
      </c>
      <c r="F49" s="58">
        <f t="shared" si="9"/>
        <v>24150</v>
      </c>
      <c r="G49" s="28">
        <f t="shared" si="10"/>
        <v>1</v>
      </c>
      <c r="H49" s="120">
        <f t="shared" si="11"/>
        <v>16.100000000000001</v>
      </c>
      <c r="I49" s="32">
        <f t="shared" si="12"/>
        <v>16.100000000000001</v>
      </c>
    </row>
    <row r="50" spans="2:9" x14ac:dyDescent="0.35">
      <c r="B50" s="91"/>
      <c r="C50" s="85"/>
      <c r="D50" s="85"/>
      <c r="E50" s="91"/>
      <c r="F50" s="91"/>
      <c r="G50" s="85"/>
      <c r="H50" s="85"/>
      <c r="I50" s="85"/>
    </row>
    <row r="51" spans="2:9" x14ac:dyDescent="0.35">
      <c r="B51" s="18"/>
      <c r="E51" s="18"/>
      <c r="F51" s="18"/>
      <c r="G51" s="85"/>
      <c r="H51" s="85"/>
      <c r="I51" s="85"/>
    </row>
    <row r="52" spans="2:9" x14ac:dyDescent="0.35">
      <c r="B52" s="18"/>
      <c r="E52" s="18"/>
      <c r="F52" s="18"/>
    </row>
    <row r="53" spans="2:9" ht="17.649999999999999" x14ac:dyDescent="0.35">
      <c r="B53" s="240" t="str">
        <f>"        رز مشكل   2 / " &amp; COUNTIF($C$15:$C$17, "&gt;0")</f>
        <v xml:space="preserve">        رز مشكل   2 / 1</v>
      </c>
      <c r="C53" s="240"/>
      <c r="D53" s="240"/>
      <c r="E53" s="240"/>
      <c r="F53" s="240"/>
      <c r="G53" s="240"/>
      <c r="H53" s="240"/>
      <c r="I53" s="240"/>
    </row>
    <row r="54" spans="2:9" ht="17.649999999999999" x14ac:dyDescent="0.35">
      <c r="B54" s="240" t="str">
        <f>"  Mix Rice   2 / " &amp; COUNTIF($C$15:$C$17, "&gt;0")</f>
        <v xml:space="preserve">  Mix Rice   2 / 1</v>
      </c>
      <c r="C54" s="240"/>
      <c r="D54" s="240"/>
      <c r="E54" s="240"/>
      <c r="F54" s="240"/>
      <c r="G54" s="240"/>
      <c r="H54" s="240"/>
      <c r="I54" s="240"/>
    </row>
    <row r="55" spans="2:9" ht="65.650000000000006" x14ac:dyDescent="0.35">
      <c r="B55" s="19" t="s">
        <v>60</v>
      </c>
      <c r="C55" s="20" t="s">
        <v>61</v>
      </c>
      <c r="D55" s="19" t="s">
        <v>62</v>
      </c>
      <c r="E55" s="21" t="s">
        <v>63</v>
      </c>
      <c r="F55" s="55" t="s">
        <v>77</v>
      </c>
      <c r="G55" s="21" t="s">
        <v>64</v>
      </c>
      <c r="H55" s="22" t="s">
        <v>65</v>
      </c>
      <c r="I55" s="55" t="s">
        <v>78</v>
      </c>
    </row>
    <row r="56" spans="2:9" x14ac:dyDescent="0.35">
      <c r="B56" s="24" t="str">
        <f t="shared" ref="B56:D62" si="13">B5</f>
        <v>Rice - رز</v>
      </c>
      <c r="C56" s="24" t="str">
        <f t="shared" si="13"/>
        <v>KG</v>
      </c>
      <c r="D56" s="24">
        <f t="shared" si="13"/>
        <v>10</v>
      </c>
      <c r="E56" s="27">
        <f t="shared" ref="E56:E62" si="14">$C$16</f>
        <v>0</v>
      </c>
      <c r="F56" s="68">
        <f t="shared" ref="F56:F62" si="15">$D$16</f>
        <v>0</v>
      </c>
      <c r="G56" s="28">
        <f t="shared" ref="G56:G62" si="16">F5</f>
        <v>1</v>
      </c>
      <c r="H56" s="84">
        <f t="shared" ref="H56:H61" si="17">D56*E56</f>
        <v>0</v>
      </c>
      <c r="I56" s="32">
        <f t="shared" ref="I56:I61" si="18">H56*G56</f>
        <v>0</v>
      </c>
    </row>
    <row r="57" spans="2:9" x14ac:dyDescent="0.35">
      <c r="B57" s="24" t="str">
        <f t="shared" si="13"/>
        <v>Water - ماء</v>
      </c>
      <c r="C57" s="24" t="str">
        <f t="shared" si="13"/>
        <v>ml</v>
      </c>
      <c r="D57" s="24">
        <f t="shared" si="13"/>
        <v>20000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2:9" x14ac:dyDescent="0.35">
      <c r="B58" s="24" t="str">
        <f t="shared" si="13"/>
        <v>Butter - زبدة</v>
      </c>
      <c r="C58" s="24" t="str">
        <f t="shared" si="13"/>
        <v>gm</v>
      </c>
      <c r="D58" s="24">
        <f t="shared" si="13"/>
        <v>150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2:9" x14ac:dyDescent="0.35">
      <c r="B59" s="24" t="str">
        <f t="shared" si="13"/>
        <v>Salt - ملح</v>
      </c>
      <c r="C59" s="24" t="str">
        <f t="shared" si="13"/>
        <v>gm</v>
      </c>
      <c r="D59" s="24">
        <f t="shared" si="13"/>
        <v>400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2:9" x14ac:dyDescent="0.35">
      <c r="B60" s="24" t="str">
        <f t="shared" si="13"/>
        <v>Green Color - لون أخضر</v>
      </c>
      <c r="C60" s="24" t="str">
        <f t="shared" si="13"/>
        <v>gm</v>
      </c>
      <c r="D60" s="24">
        <f t="shared" si="13"/>
        <v>10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  <row r="61" spans="2:9" x14ac:dyDescent="0.35">
      <c r="B61" s="24" t="str">
        <f t="shared" si="13"/>
        <v>Cardamom Whole - هيل حب</v>
      </c>
      <c r="C61" s="24" t="str">
        <f t="shared" si="13"/>
        <v>gm</v>
      </c>
      <c r="D61" s="24">
        <f t="shared" si="13"/>
        <v>20</v>
      </c>
      <c r="E61" s="27">
        <f t="shared" si="14"/>
        <v>0</v>
      </c>
      <c r="F61" s="68">
        <f t="shared" si="15"/>
        <v>0</v>
      </c>
      <c r="G61" s="28">
        <f t="shared" si="16"/>
        <v>1</v>
      </c>
      <c r="H61" s="84">
        <f t="shared" si="17"/>
        <v>0</v>
      </c>
      <c r="I61" s="32">
        <f t="shared" si="18"/>
        <v>0</v>
      </c>
    </row>
    <row r="62" spans="2:9" x14ac:dyDescent="0.35">
      <c r="B62" s="24" t="str">
        <f t="shared" si="13"/>
        <v>Orange Color - لون برتقالي</v>
      </c>
      <c r="C62" s="24" t="str">
        <f t="shared" si="13"/>
        <v>gm</v>
      </c>
      <c r="D62" s="24">
        <f t="shared" si="13"/>
        <v>20</v>
      </c>
      <c r="E62" s="27">
        <f t="shared" si="14"/>
        <v>0</v>
      </c>
      <c r="F62" s="68">
        <f t="shared" si="15"/>
        <v>0</v>
      </c>
      <c r="G62" s="28">
        <f t="shared" si="16"/>
        <v>1</v>
      </c>
      <c r="H62" s="84">
        <f t="shared" ref="H62" si="19">D62*E62</f>
        <v>0</v>
      </c>
      <c r="I62" s="32">
        <f t="shared" ref="I62" si="20">H62*G62</f>
        <v>0</v>
      </c>
    </row>
  </sheetData>
  <mergeCells count="8">
    <mergeCell ref="B53:I53"/>
    <mergeCell ref="B54:I54"/>
    <mergeCell ref="N22:O22"/>
    <mergeCell ref="A2:A3"/>
    <mergeCell ref="B2:H3"/>
    <mergeCell ref="B40:I40"/>
    <mergeCell ref="B41:I41"/>
    <mergeCell ref="M11:N1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C55A11"/>
    <pageSetUpPr fitToPage="1"/>
  </sheetPr>
  <dimension ref="A1:AB72"/>
  <sheetViews>
    <sheetView zoomScale="70" zoomScaleNormal="70" workbookViewId="0">
      <selection activeCell="J14" sqref="J14"/>
    </sheetView>
  </sheetViews>
  <sheetFormatPr defaultColWidth="12.5" defaultRowHeight="12.75" x14ac:dyDescent="0.35"/>
  <cols>
    <col min="1" max="1" width="10.0625" style="10" customWidth="1"/>
    <col min="2" max="2" width="35.0625" style="10" customWidth="1"/>
    <col min="3" max="3" width="10" style="10" customWidth="1"/>
    <col min="4" max="4" width="21.75" style="10" customWidth="1"/>
    <col min="5" max="5" width="16.1875" style="10" customWidth="1"/>
    <col min="6" max="6" width="19.0625" style="10" customWidth="1"/>
    <col min="7" max="7" width="16.8125" style="10" customWidth="1"/>
    <col min="8" max="8" width="18.1875" style="10" customWidth="1"/>
    <col min="9" max="9" width="25.312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27480</v>
      </c>
      <c r="F1" s="11" t="s">
        <v>55</v>
      </c>
      <c r="G1" s="15">
        <f>E1/C1</f>
        <v>0.91600000000000004</v>
      </c>
      <c r="H1" s="11" t="s">
        <v>56</v>
      </c>
      <c r="I1" s="16">
        <f>(G1/K1)</f>
        <v>0.91600000000000004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27480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99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13</v>
      </c>
      <c r="E5" s="27">
        <f>$G$1</f>
        <v>0.91600000000000004</v>
      </c>
      <c r="F5" s="28">
        <v>0.7</v>
      </c>
      <c r="G5" s="29">
        <f>D5*E5</f>
        <v>11.908000000000001</v>
      </c>
      <c r="H5" s="30">
        <f>G5*F5</f>
        <v>8.3356000000000012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8.3356000000000012</v>
      </c>
      <c r="L5" s="31">
        <f>K5*J5</f>
        <v>47.929700000000004</v>
      </c>
    </row>
    <row r="6" spans="1:28" x14ac:dyDescent="0.35">
      <c r="B6" s="24" t="s">
        <v>50</v>
      </c>
      <c r="C6" s="25" t="s">
        <v>17</v>
      </c>
      <c r="D6" s="26">
        <v>3000</v>
      </c>
      <c r="E6" s="27">
        <f>$G$1</f>
        <v>0.91600000000000004</v>
      </c>
      <c r="F6" s="28">
        <v>1</v>
      </c>
      <c r="G6" s="29">
        <f>D6*E6</f>
        <v>2748</v>
      </c>
      <c r="H6" s="31">
        <f>G6*F6</f>
        <v>2748</v>
      </c>
      <c r="I6" s="59">
        <f>VLOOKUP(B6,Ordering!$A$1:$J$45,6,FALSE)</f>
        <v>0.84</v>
      </c>
      <c r="J6" s="59">
        <f>VLOOKUP(B6,Ordering!$A$1:$J$45,10,FALSE)</f>
        <v>2600</v>
      </c>
      <c r="K6" s="59">
        <f>(H6/I6)/1000</f>
        <v>3.2714285714285714</v>
      </c>
      <c r="L6" s="31">
        <f t="shared" ref="L6:L9" si="0">K6*J6</f>
        <v>8505.7142857142862</v>
      </c>
    </row>
    <row r="7" spans="1:28" x14ac:dyDescent="0.35">
      <c r="B7" s="24" t="s">
        <v>49</v>
      </c>
      <c r="C7" s="25" t="s">
        <v>17</v>
      </c>
      <c r="D7" s="26">
        <v>1500</v>
      </c>
      <c r="E7" s="27">
        <f>$G$1</f>
        <v>0.91600000000000004</v>
      </c>
      <c r="F7" s="28">
        <v>1</v>
      </c>
      <c r="G7" s="29">
        <f>D7*E7</f>
        <v>1374</v>
      </c>
      <c r="H7" s="32">
        <f>G7*F7</f>
        <v>1374</v>
      </c>
      <c r="I7" s="59">
        <f>VLOOKUP(B7,Ordering!$A$1:$J$45,6,FALSE)</f>
        <v>0.9</v>
      </c>
      <c r="J7" s="59">
        <f>VLOOKUP(B7,Ordering!$A$1:$J$45,10,FALSE)</f>
        <v>3</v>
      </c>
      <c r="K7" s="59">
        <f t="shared" ref="K7:K9" si="1">(H7/I7)/1000</f>
        <v>1.5266666666666668</v>
      </c>
      <c r="L7" s="31">
        <f t="shared" si="0"/>
        <v>4.58</v>
      </c>
    </row>
    <row r="8" spans="1:28" ht="13.15" x14ac:dyDescent="0.4">
      <c r="B8" s="24" t="s">
        <v>16</v>
      </c>
      <c r="C8" s="33" t="s">
        <v>17</v>
      </c>
      <c r="D8" s="26">
        <v>150</v>
      </c>
      <c r="E8" s="27">
        <f>$G$1</f>
        <v>0.91600000000000004</v>
      </c>
      <c r="F8" s="28">
        <v>1</v>
      </c>
      <c r="G8" s="29">
        <f>D8*E8</f>
        <v>137.4</v>
      </c>
      <c r="H8" s="32">
        <f>G8*F8</f>
        <v>137.4</v>
      </c>
      <c r="I8" s="59">
        <f>VLOOKUP(B8,Ordering!$A$1:$J$45,6,FALSE)</f>
        <v>1</v>
      </c>
      <c r="J8" s="59">
        <f>VLOOKUP(B8,Ordering!$A$1:$J$45,10,FALSE)</f>
        <v>30</v>
      </c>
      <c r="K8" s="59">
        <f t="shared" si="1"/>
        <v>0.13739999999999999</v>
      </c>
      <c r="L8" s="31">
        <f t="shared" si="0"/>
        <v>4.1219999999999999</v>
      </c>
      <c r="V8" s="215" t="s">
        <v>17</v>
      </c>
      <c r="W8" s="216">
        <v>27480</v>
      </c>
      <c r="X8" s="215" t="s">
        <v>250</v>
      </c>
      <c r="Y8" s="217">
        <f>(N16*W8)/N15</f>
        <v>8562.6975007142846</v>
      </c>
    </row>
    <row r="9" spans="1:28" x14ac:dyDescent="0.35">
      <c r="B9" s="24" t="s">
        <v>106</v>
      </c>
      <c r="C9" s="33" t="s">
        <v>17</v>
      </c>
      <c r="D9" s="26">
        <v>2</v>
      </c>
      <c r="E9" s="27">
        <f t="shared" ref="E9:E10" si="2">$G$1</f>
        <v>0.91600000000000004</v>
      </c>
      <c r="F9" s="28">
        <v>0.75</v>
      </c>
      <c r="G9" s="29">
        <f>D9*E9</f>
        <v>1.8320000000000001</v>
      </c>
      <c r="H9" s="32">
        <f>G9*F9</f>
        <v>1.3740000000000001</v>
      </c>
      <c r="I9" s="59">
        <f>VLOOKUP(B9,Ordering!$A$1:$J$45,6,FALSE)</f>
        <v>1</v>
      </c>
      <c r="J9" s="59">
        <f>VLOOKUP(B9,Ordering!$A$1:$J$45,10,FALSE)</f>
        <v>22.5</v>
      </c>
      <c r="K9" s="59">
        <f t="shared" si="1"/>
        <v>1.374E-3</v>
      </c>
      <c r="L9" s="31">
        <f t="shared" si="0"/>
        <v>3.0915000000000002E-2</v>
      </c>
    </row>
    <row r="10" spans="1:28" ht="13.5" customHeight="1" x14ac:dyDescent="0.35">
      <c r="B10" s="24" t="s">
        <v>105</v>
      </c>
      <c r="C10" s="25" t="s">
        <v>17</v>
      </c>
      <c r="D10" s="26">
        <v>20</v>
      </c>
      <c r="E10" s="27">
        <f t="shared" si="2"/>
        <v>0.91600000000000004</v>
      </c>
      <c r="F10" s="28">
        <v>1</v>
      </c>
      <c r="G10" s="29">
        <f t="shared" ref="G10" si="3">D10*E10</f>
        <v>18.32</v>
      </c>
      <c r="H10" s="32">
        <f t="shared" ref="H10" si="4">G10*F10</f>
        <v>18.32</v>
      </c>
      <c r="I10" s="59">
        <f>VLOOKUP(B10,Ordering!$A$1:$J$45,6,FALSE)</f>
        <v>1</v>
      </c>
      <c r="J10" s="59">
        <f>VLOOKUP(B10,Ordering!$A$1:$J$45,10,FALSE)</f>
        <v>17.5</v>
      </c>
      <c r="K10" s="59">
        <f t="shared" ref="K10" si="5">(H10/I10)/1000</f>
        <v>1.8319999999999999E-2</v>
      </c>
      <c r="L10" s="31">
        <f t="shared" ref="L10" si="6">K10*J10</f>
        <v>0.3206</v>
      </c>
    </row>
    <row r="11" spans="1:28" ht="13.5" customHeight="1" x14ac:dyDescent="0.35">
      <c r="B11" s="113"/>
      <c r="D11" s="114"/>
      <c r="E11" s="115"/>
      <c r="F11" s="62"/>
      <c r="G11" s="116"/>
      <c r="H11" s="63"/>
      <c r="I11" s="18"/>
      <c r="J11" s="18"/>
      <c r="K11" s="18"/>
      <c r="M11" s="124" t="s">
        <v>99</v>
      </c>
      <c r="N11" s="124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/>
      <c r="N12" s="48" t="s">
        <v>70</v>
      </c>
    </row>
    <row r="13" spans="1:28" ht="13.5" customHeight="1" x14ac:dyDescent="0.35">
      <c r="B13" s="48" t="s">
        <v>71</v>
      </c>
      <c r="C13" s="49">
        <f>I1</f>
        <v>0.91600000000000004</v>
      </c>
      <c r="D13" s="50">
        <f>E1</f>
        <v>27480</v>
      </c>
      <c r="F13" s="18"/>
      <c r="I13" s="18"/>
      <c r="J13" s="18"/>
      <c r="K13" s="18"/>
      <c r="M13" s="48" t="s">
        <v>86</v>
      </c>
      <c r="N13" s="130">
        <f>$Z$1</f>
        <v>27480</v>
      </c>
    </row>
    <row r="14" spans="1:28" ht="14.25" customHeight="1" x14ac:dyDescent="0.35">
      <c r="B14" s="48" t="s">
        <v>73</v>
      </c>
      <c r="C14" s="51">
        <f>MIN($C$13,1)</f>
        <v>0.91600000000000004</v>
      </c>
      <c r="D14" s="50">
        <f>C14*$C$1</f>
        <v>27480</v>
      </c>
      <c r="E14" s="18"/>
      <c r="F14" s="18"/>
      <c r="I14" s="18"/>
      <c r="J14" s="18"/>
      <c r="K14" s="18"/>
      <c r="M14" s="48" t="s">
        <v>87</v>
      </c>
      <c r="N14" s="129">
        <f>$AB$1</f>
        <v>0</v>
      </c>
    </row>
    <row r="15" spans="1:28" ht="14.25" customHeight="1" thickBot="1" x14ac:dyDescent="0.4">
      <c r="B15" s="48" t="s">
        <v>75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88</v>
      </c>
      <c r="N15" s="54">
        <f>N13+N14</f>
        <v>27480</v>
      </c>
    </row>
    <row r="16" spans="1:28" ht="18" customHeight="1" thickBot="1" x14ac:dyDescent="0.45">
      <c r="B16" s="48" t="s">
        <v>76</v>
      </c>
      <c r="C16" s="51">
        <f>MIN(MAX($C$13-C14-C15,0),1)</f>
        <v>0</v>
      </c>
      <c r="D16" s="50">
        <f>C16*$C$1</f>
        <v>0</v>
      </c>
      <c r="E16" s="18"/>
      <c r="F16" s="18"/>
      <c r="I16" s="18"/>
      <c r="J16" s="18"/>
      <c r="K16" s="18"/>
      <c r="M16" s="213" t="s">
        <v>250</v>
      </c>
      <c r="N16" s="214">
        <f>SUM(L5:L10)</f>
        <v>8562.6975007142846</v>
      </c>
    </row>
    <row r="20" spans="14:15" ht="43.5" customHeight="1" x14ac:dyDescent="0.35">
      <c r="N20" s="245"/>
      <c r="O20" s="245"/>
    </row>
    <row r="40" spans="1:9" ht="18" customHeight="1" x14ac:dyDescent="0.35">
      <c r="A40" s="134"/>
      <c r="B40" s="240" t="str">
        <f>"      رزالبخارى   1 / " &amp; COUNTIF($C$14:$C$16, "&gt;0")</f>
        <v xml:space="preserve">      رزالبخارى  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Boukhary Rice   1 / " &amp; COUNTIF($C$14:$C$16, "&gt;0")</f>
        <v xml:space="preserve">  Boukhary Rice   1 / 1</v>
      </c>
      <c r="C41" s="240"/>
      <c r="D41" s="240"/>
      <c r="E41" s="240"/>
      <c r="F41" s="240"/>
      <c r="G41" s="240"/>
      <c r="H41" s="240"/>
      <c r="I41" s="240"/>
    </row>
    <row r="42" spans="1:9" ht="52.5" x14ac:dyDescent="0.35">
      <c r="B42" s="94" t="s">
        <v>60</v>
      </c>
      <c r="C42" s="95" t="s">
        <v>61</v>
      </c>
      <c r="D42" s="94" t="s">
        <v>62</v>
      </c>
      <c r="E42" s="96" t="s">
        <v>63</v>
      </c>
      <c r="F42" s="97" t="s">
        <v>77</v>
      </c>
      <c r="G42" s="96" t="s">
        <v>64</v>
      </c>
      <c r="H42" s="117" t="s">
        <v>65</v>
      </c>
      <c r="I42" s="97" t="s">
        <v>78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13</v>
      </c>
      <c r="E43" s="57">
        <f t="shared" ref="E43:E48" si="8">$C$14</f>
        <v>0.91600000000000004</v>
      </c>
      <c r="F43" s="58">
        <f t="shared" ref="F43:F48" si="9">$D$14</f>
        <v>27480</v>
      </c>
      <c r="G43" s="28">
        <f t="shared" ref="G43:G48" si="10">F5</f>
        <v>0.7</v>
      </c>
      <c r="H43" s="83">
        <f t="shared" ref="H43:H48" si="11">D43*E43</f>
        <v>11.908000000000001</v>
      </c>
      <c r="I43" s="32">
        <f t="shared" ref="I43:I48" si="12">H43*G43</f>
        <v>8.3356000000000012</v>
      </c>
    </row>
    <row r="44" spans="1:9" x14ac:dyDescent="0.35">
      <c r="B44" s="24" t="str">
        <f t="shared" si="7"/>
        <v>Carrot - جزر</v>
      </c>
      <c r="C44" s="24" t="str">
        <f t="shared" si="7"/>
        <v>gm</v>
      </c>
      <c r="D44" s="24">
        <f t="shared" si="7"/>
        <v>3000</v>
      </c>
      <c r="E44" s="57">
        <f t="shared" si="8"/>
        <v>0.91600000000000004</v>
      </c>
      <c r="F44" s="58">
        <f t="shared" si="9"/>
        <v>27480</v>
      </c>
      <c r="G44" s="28">
        <f t="shared" si="10"/>
        <v>1</v>
      </c>
      <c r="H44" s="83">
        <f t="shared" si="11"/>
        <v>2748</v>
      </c>
      <c r="I44" s="32">
        <f t="shared" si="12"/>
        <v>2748</v>
      </c>
    </row>
    <row r="45" spans="1:9" x14ac:dyDescent="0.35">
      <c r="B45" s="24" t="str">
        <f t="shared" si="7"/>
        <v>Onion - بصل</v>
      </c>
      <c r="C45" s="24" t="str">
        <f t="shared" si="7"/>
        <v>gm</v>
      </c>
      <c r="D45" s="24">
        <f t="shared" si="7"/>
        <v>1500</v>
      </c>
      <c r="E45" s="57">
        <f t="shared" si="8"/>
        <v>0.91600000000000004</v>
      </c>
      <c r="F45" s="58">
        <f t="shared" si="9"/>
        <v>27480</v>
      </c>
      <c r="G45" s="28">
        <f t="shared" si="10"/>
        <v>1</v>
      </c>
      <c r="H45" s="83">
        <f t="shared" si="11"/>
        <v>1374</v>
      </c>
      <c r="I45" s="32">
        <f t="shared" si="12"/>
        <v>1374</v>
      </c>
    </row>
    <row r="46" spans="1:9" x14ac:dyDescent="0.35">
      <c r="B46" s="24" t="str">
        <f t="shared" si="7"/>
        <v>Butter - زبدة</v>
      </c>
      <c r="C46" s="24" t="str">
        <f t="shared" si="7"/>
        <v>gm</v>
      </c>
      <c r="D46" s="24">
        <f t="shared" si="7"/>
        <v>150</v>
      </c>
      <c r="E46" s="57">
        <f t="shared" si="8"/>
        <v>0.91600000000000004</v>
      </c>
      <c r="F46" s="58">
        <f t="shared" si="9"/>
        <v>27480</v>
      </c>
      <c r="G46" s="28">
        <f t="shared" si="10"/>
        <v>1</v>
      </c>
      <c r="H46" s="83">
        <f t="shared" si="11"/>
        <v>137.4</v>
      </c>
      <c r="I46" s="32">
        <f t="shared" si="12"/>
        <v>137.4</v>
      </c>
    </row>
    <row r="47" spans="1:9" x14ac:dyDescent="0.35">
      <c r="B47" s="24" t="str">
        <f t="shared" si="7"/>
        <v>Egg yellow colour powder - لون صفار البيض</v>
      </c>
      <c r="C47" s="24" t="str">
        <f t="shared" si="7"/>
        <v>gm</v>
      </c>
      <c r="D47" s="24">
        <f t="shared" si="7"/>
        <v>2</v>
      </c>
      <c r="E47" s="57">
        <f t="shared" si="8"/>
        <v>0.91600000000000004</v>
      </c>
      <c r="F47" s="58">
        <f t="shared" si="9"/>
        <v>27480</v>
      </c>
      <c r="G47" s="28">
        <f t="shared" si="10"/>
        <v>0.75</v>
      </c>
      <c r="H47" s="83">
        <f t="shared" si="11"/>
        <v>1.8320000000000001</v>
      </c>
      <c r="I47" s="32">
        <f t="shared" si="12"/>
        <v>1.3740000000000001</v>
      </c>
    </row>
    <row r="48" spans="1:9" ht="13.5" customHeight="1" x14ac:dyDescent="0.35">
      <c r="B48" s="24" t="str">
        <f t="shared" si="7"/>
        <v>Raisin - زبيب</v>
      </c>
      <c r="C48" s="24" t="str">
        <f t="shared" si="7"/>
        <v>gm</v>
      </c>
      <c r="D48" s="24">
        <f t="shared" si="7"/>
        <v>20</v>
      </c>
      <c r="E48" s="57">
        <f t="shared" si="8"/>
        <v>0.91600000000000004</v>
      </c>
      <c r="F48" s="58">
        <f t="shared" si="9"/>
        <v>27480</v>
      </c>
      <c r="G48" s="28">
        <f t="shared" si="10"/>
        <v>1</v>
      </c>
      <c r="H48" s="83">
        <f t="shared" si="11"/>
        <v>18.32</v>
      </c>
      <c r="I48" s="32">
        <f t="shared" si="12"/>
        <v>18.32</v>
      </c>
    </row>
    <row r="51" spans="1:9" ht="17.649999999999999" x14ac:dyDescent="0.35">
      <c r="A51" s="134"/>
      <c r="B51" s="240" t="str">
        <f>"      رز البخارى   2 / " &amp; COUNTIF($C$14:$C$16, "&gt;0")</f>
        <v xml:space="preserve">      رز البخارى   2 / 1</v>
      </c>
      <c r="C51" s="240"/>
      <c r="D51" s="240"/>
      <c r="E51" s="240"/>
      <c r="F51" s="240"/>
      <c r="G51" s="240"/>
      <c r="H51" s="240"/>
      <c r="I51" s="240"/>
    </row>
    <row r="52" spans="1:9" ht="17.649999999999999" x14ac:dyDescent="0.35">
      <c r="A52" s="134"/>
      <c r="B52" s="240" t="str">
        <f>"  Boukhary Rice   2 / " &amp; COUNTIF($C$14:$C$16, "&gt;0")</f>
        <v xml:space="preserve">  Boukhary Rice   2 / 1</v>
      </c>
      <c r="C52" s="240"/>
      <c r="D52" s="240"/>
      <c r="E52" s="240"/>
      <c r="F52" s="240"/>
      <c r="G52" s="240"/>
      <c r="H52" s="240"/>
      <c r="I52" s="240"/>
    </row>
    <row r="53" spans="1:9" ht="52.5" x14ac:dyDescent="0.35">
      <c r="B53" s="94" t="s">
        <v>60</v>
      </c>
      <c r="C53" s="95" t="s">
        <v>61</v>
      </c>
      <c r="D53" s="94" t="s">
        <v>62</v>
      </c>
      <c r="E53" s="96" t="s">
        <v>63</v>
      </c>
      <c r="F53" s="97" t="s">
        <v>77</v>
      </c>
      <c r="G53" s="96" t="s">
        <v>64</v>
      </c>
      <c r="H53" s="117" t="s">
        <v>65</v>
      </c>
      <c r="I53" s="98" t="s">
        <v>79</v>
      </c>
    </row>
    <row r="54" spans="1:9" x14ac:dyDescent="0.35">
      <c r="B54" s="86" t="str">
        <f t="shared" ref="B54:D59" si="13">B5</f>
        <v>Rice - رز</v>
      </c>
      <c r="C54" s="86" t="str">
        <f t="shared" si="13"/>
        <v>KG</v>
      </c>
      <c r="D54" s="86">
        <f t="shared" si="13"/>
        <v>13</v>
      </c>
      <c r="E54" s="92">
        <f t="shared" ref="E54:E59" si="14">$C$15</f>
        <v>0</v>
      </c>
      <c r="F54" s="88">
        <f t="shared" ref="F54:F59" si="15">$D$15</f>
        <v>0</v>
      </c>
      <c r="G54" s="89">
        <f t="shared" ref="G54:G59" si="16">F5</f>
        <v>0.7</v>
      </c>
      <c r="H54" s="107">
        <f t="shared" ref="H54:H59" si="17">D54*E54</f>
        <v>0</v>
      </c>
      <c r="I54" s="99">
        <f t="shared" ref="I54:I59" si="18">H54*G54</f>
        <v>0</v>
      </c>
    </row>
    <row r="55" spans="1:9" x14ac:dyDescent="0.35">
      <c r="B55" s="24" t="str">
        <f t="shared" si="13"/>
        <v>Carrot - جزر</v>
      </c>
      <c r="C55" s="24" t="str">
        <f t="shared" si="13"/>
        <v>gm</v>
      </c>
      <c r="D55" s="24">
        <f t="shared" si="13"/>
        <v>3000</v>
      </c>
      <c r="E55" s="27">
        <f t="shared" si="14"/>
        <v>0</v>
      </c>
      <c r="F55" s="58">
        <f t="shared" si="15"/>
        <v>0</v>
      </c>
      <c r="G55" s="28">
        <f t="shared" si="16"/>
        <v>1</v>
      </c>
      <c r="H55" s="84">
        <f t="shared" si="17"/>
        <v>0</v>
      </c>
      <c r="I55" s="32">
        <f t="shared" si="18"/>
        <v>0</v>
      </c>
    </row>
    <row r="56" spans="1:9" x14ac:dyDescent="0.35">
      <c r="B56" s="24" t="str">
        <f t="shared" si="13"/>
        <v>Onion - بصل</v>
      </c>
      <c r="C56" s="24" t="str">
        <f t="shared" si="13"/>
        <v>gm</v>
      </c>
      <c r="D56" s="24">
        <f t="shared" si="13"/>
        <v>1500</v>
      </c>
      <c r="E56" s="27">
        <f t="shared" si="14"/>
        <v>0</v>
      </c>
      <c r="F56" s="5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5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5">
      <c r="B58" s="24" t="str">
        <f t="shared" si="13"/>
        <v>Egg yellow colour powder - لون صفار البيض</v>
      </c>
      <c r="C58" s="24" t="str">
        <f t="shared" si="13"/>
        <v>gm</v>
      </c>
      <c r="D58" s="24">
        <f t="shared" si="13"/>
        <v>2</v>
      </c>
      <c r="E58" s="27">
        <f t="shared" si="14"/>
        <v>0</v>
      </c>
      <c r="F58" s="58">
        <f t="shared" si="15"/>
        <v>0</v>
      </c>
      <c r="G58" s="28">
        <f t="shared" si="16"/>
        <v>0.75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Raisin - زبيب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5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ht="13.5" x14ac:dyDescent="0.35">
      <c r="B60" s="18"/>
      <c r="C60" s="1"/>
      <c r="D60" s="105"/>
      <c r="E60" s="106"/>
      <c r="F60" s="18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</row>
    <row r="63" spans="1:9" ht="17.649999999999999" x14ac:dyDescent="0.35">
      <c r="B63" s="240" t="str">
        <f>"      رز البخارى   3 / " &amp; COUNTIF($C$14:$C$16, "&gt;0")</f>
        <v xml:space="preserve">      رز البخارى   3 / 1</v>
      </c>
      <c r="C63" s="240"/>
      <c r="D63" s="240"/>
      <c r="E63" s="240"/>
      <c r="F63" s="240"/>
      <c r="G63" s="240"/>
      <c r="H63" s="240"/>
      <c r="I63" s="240"/>
    </row>
    <row r="64" spans="1:9" ht="17.649999999999999" x14ac:dyDescent="0.35">
      <c r="B64" s="240" t="str">
        <f>"  Boukhary Rice  3 / " &amp; COUNTIF($C$14:$C$16, "&gt;0")</f>
        <v xml:space="preserve">  Boukhary Rice  3 / 1</v>
      </c>
      <c r="C64" s="240"/>
      <c r="D64" s="240"/>
      <c r="E64" s="240"/>
      <c r="F64" s="240"/>
      <c r="G64" s="240"/>
      <c r="H64" s="240"/>
      <c r="I64" s="240"/>
    </row>
    <row r="65" spans="2:9" ht="52.5" x14ac:dyDescent="0.35">
      <c r="B65" s="94" t="s">
        <v>60</v>
      </c>
      <c r="C65" s="95" t="s">
        <v>61</v>
      </c>
      <c r="D65" s="94" t="s">
        <v>62</v>
      </c>
      <c r="E65" s="96" t="s">
        <v>63</v>
      </c>
      <c r="F65" s="97" t="s">
        <v>77</v>
      </c>
      <c r="G65" s="96" t="s">
        <v>64</v>
      </c>
      <c r="H65" s="117" t="s">
        <v>65</v>
      </c>
      <c r="I65" s="98" t="s">
        <v>66</v>
      </c>
    </row>
    <row r="66" spans="2:9" x14ac:dyDescent="0.35">
      <c r="B66" s="86" t="str">
        <f t="shared" ref="B66:D72" si="19">B5</f>
        <v>Rice - رز</v>
      </c>
      <c r="C66" s="86" t="str">
        <f t="shared" si="19"/>
        <v>KG</v>
      </c>
      <c r="D66" s="86">
        <f t="shared" si="19"/>
        <v>13</v>
      </c>
      <c r="E66" s="92">
        <f>$C$16</f>
        <v>0</v>
      </c>
      <c r="F66" s="88">
        <f>$D$16</f>
        <v>0</v>
      </c>
      <c r="G66" s="89">
        <f t="shared" ref="G66:G72" si="20">F5</f>
        <v>0.7</v>
      </c>
      <c r="H66" s="107">
        <f>D66*E66</f>
        <v>0</v>
      </c>
      <c r="I66" s="90">
        <f>H66*G66</f>
        <v>0</v>
      </c>
    </row>
    <row r="67" spans="2:9" x14ac:dyDescent="0.35">
      <c r="B67" s="24" t="str">
        <f t="shared" si="19"/>
        <v>Carrot - جزر</v>
      </c>
      <c r="C67" s="24" t="str">
        <f t="shared" si="19"/>
        <v>gm</v>
      </c>
      <c r="D67" s="24">
        <f t="shared" si="19"/>
        <v>3000</v>
      </c>
      <c r="E67" s="27">
        <f>$C$16</f>
        <v>0</v>
      </c>
      <c r="F67" s="58">
        <f>$D$16</f>
        <v>0</v>
      </c>
      <c r="G67" s="28">
        <f t="shared" si="20"/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19"/>
        <v>Onion - بصل</v>
      </c>
      <c r="C68" s="24" t="str">
        <f t="shared" si="19"/>
        <v>gm</v>
      </c>
      <c r="D68" s="24">
        <f t="shared" si="19"/>
        <v>1500</v>
      </c>
      <c r="E68" s="27">
        <f>$C$16</f>
        <v>0</v>
      </c>
      <c r="F68" s="58">
        <f>$D$16</f>
        <v>0</v>
      </c>
      <c r="G68" s="28">
        <f t="shared" si="20"/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19"/>
        <v>Butter - زبدة</v>
      </c>
      <c r="C69" s="24" t="str">
        <f t="shared" si="19"/>
        <v>gm</v>
      </c>
      <c r="D69" s="24">
        <f t="shared" si="19"/>
        <v>150</v>
      </c>
      <c r="E69" s="27">
        <f>$C$16</f>
        <v>0</v>
      </c>
      <c r="F69" s="58">
        <f>$D$16</f>
        <v>0</v>
      </c>
      <c r="G69" s="28">
        <f t="shared" si="20"/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19"/>
        <v>Egg yellow colour powder - لون صفار البيض</v>
      </c>
      <c r="C70" s="24" t="str">
        <f t="shared" si="19"/>
        <v>gm</v>
      </c>
      <c r="D70" s="24">
        <f t="shared" si="19"/>
        <v>2</v>
      </c>
      <c r="E70" s="27">
        <f t="shared" ref="E70:E72" si="21">$C$16</f>
        <v>0</v>
      </c>
      <c r="F70" s="58">
        <f t="shared" ref="F70:F72" si="22">$D$16</f>
        <v>0</v>
      </c>
      <c r="G70" s="28">
        <f t="shared" si="20"/>
        <v>0.75</v>
      </c>
      <c r="H70" s="84">
        <f t="shared" ref="H70:H72" si="23">D70*E70</f>
        <v>0</v>
      </c>
      <c r="I70" s="32">
        <f t="shared" ref="I70:I72" si="24">H70*G70</f>
        <v>0</v>
      </c>
    </row>
    <row r="71" spans="2:9" x14ac:dyDescent="0.35">
      <c r="B71" s="24" t="str">
        <f t="shared" si="19"/>
        <v>Raisin - زبيب</v>
      </c>
      <c r="C71" s="24" t="str">
        <f t="shared" si="19"/>
        <v>gm</v>
      </c>
      <c r="D71" s="24">
        <f t="shared" si="19"/>
        <v>20</v>
      </c>
      <c r="E71" s="27">
        <f t="shared" si="21"/>
        <v>0</v>
      </c>
      <c r="F71" s="58">
        <f t="shared" si="22"/>
        <v>0</v>
      </c>
      <c r="G71" s="28">
        <f t="shared" si="20"/>
        <v>1</v>
      </c>
      <c r="H71" s="84">
        <f t="shared" si="23"/>
        <v>0</v>
      </c>
      <c r="I71" s="32">
        <f t="shared" si="24"/>
        <v>0</v>
      </c>
    </row>
    <row r="72" spans="2:9" x14ac:dyDescent="0.35">
      <c r="B72" s="24">
        <f t="shared" si="19"/>
        <v>0</v>
      </c>
      <c r="C72" s="24">
        <f t="shared" si="19"/>
        <v>0</v>
      </c>
      <c r="D72" s="24">
        <f t="shared" si="19"/>
        <v>0</v>
      </c>
      <c r="E72" s="27">
        <f t="shared" si="21"/>
        <v>0</v>
      </c>
      <c r="F72" s="58">
        <f t="shared" si="22"/>
        <v>0</v>
      </c>
      <c r="G72" s="28">
        <f t="shared" si="20"/>
        <v>0</v>
      </c>
      <c r="H72" s="84">
        <f t="shared" si="23"/>
        <v>0</v>
      </c>
      <c r="I72" s="32">
        <f t="shared" si="24"/>
        <v>0</v>
      </c>
    </row>
  </sheetData>
  <mergeCells count="9">
    <mergeCell ref="A2:A3"/>
    <mergeCell ref="B63:I63"/>
    <mergeCell ref="B64:I64"/>
    <mergeCell ref="B2:H3"/>
    <mergeCell ref="N20:O20"/>
    <mergeCell ref="B40:I40"/>
    <mergeCell ref="B41:I41"/>
    <mergeCell ref="B51:I51"/>
    <mergeCell ref="B52:I52"/>
  </mergeCells>
  <printOptions horizontalCentered="1"/>
  <pageMargins left="0.5" right="0.5" top="1" bottom="0.5" header="0.3" footer="0.511811023622047"/>
  <pageSetup paperSize="9" orientation="portrait" r:id="rId1"/>
  <headerFooter>
    <oddHeader>&amp;C&amp;B&amp;16رز  البخارى &amp;R&amp;B&amp;14Day 5</oddHeader>
    <oddFooter>&amp;C&amp;B&amp;10Page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2F5597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75" x14ac:dyDescent="0.35"/>
  <cols>
    <col min="1" max="1" width="11" style="10" customWidth="1"/>
    <col min="2" max="2" width="20.5" style="10" customWidth="1"/>
    <col min="3" max="3" width="24" style="10" customWidth="1"/>
    <col min="4" max="4" width="21.8125" style="10" customWidth="1"/>
    <col min="5" max="5" width="16.1875" style="10" customWidth="1"/>
    <col min="6" max="6" width="19.1875" style="10" customWidth="1"/>
    <col min="7" max="7" width="16.75" style="10" customWidth="1"/>
    <col min="8" max="8" width="29.06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72420</v>
      </c>
      <c r="F1" s="11" t="s">
        <v>55</v>
      </c>
      <c r="G1" s="15">
        <f>E1/C1</f>
        <v>2.4140000000000001</v>
      </c>
      <c r="H1" s="11" t="s">
        <v>56</v>
      </c>
      <c r="I1" s="16">
        <f>(G1/K1)</f>
        <v>2.4140000000000001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72420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58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2.4140000000000001</v>
      </c>
      <c r="F5" s="28">
        <v>1</v>
      </c>
      <c r="G5" s="29">
        <f>D5*E5</f>
        <v>24.14</v>
      </c>
      <c r="H5" s="30">
        <f>G5*F5</f>
        <v>24.14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24.14</v>
      </c>
      <c r="L5" s="25">
        <f>K5*J5</f>
        <v>138.80500000000001</v>
      </c>
    </row>
    <row r="6" spans="1:28" x14ac:dyDescent="0.35">
      <c r="B6" s="24" t="s">
        <v>11</v>
      </c>
      <c r="C6" s="25" t="s">
        <v>213</v>
      </c>
      <c r="D6" s="26">
        <v>30000</v>
      </c>
      <c r="E6" s="27">
        <f>$G$1</f>
        <v>2.4140000000000001</v>
      </c>
      <c r="F6" s="28">
        <v>1</v>
      </c>
      <c r="G6" s="29">
        <f>D6*E6</f>
        <v>72420</v>
      </c>
      <c r="H6" s="31">
        <f>G6*F6</f>
        <v>72420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72.42</v>
      </c>
      <c r="L6" s="25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2.4140000000000001</v>
      </c>
      <c r="F7" s="28">
        <v>1</v>
      </c>
      <c r="G7" s="29">
        <f>D7*E7</f>
        <v>362.1</v>
      </c>
      <c r="H7" s="32">
        <f>G7*F7</f>
        <v>362.1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0.36210000000000003</v>
      </c>
      <c r="L7" s="25">
        <f t="shared" si="0"/>
        <v>10.863000000000001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>$G$1</f>
        <v>2.4140000000000001</v>
      </c>
      <c r="F8" s="28">
        <v>1</v>
      </c>
      <c r="G8" s="29">
        <f>D8*E8</f>
        <v>965.6</v>
      </c>
      <c r="H8" s="32">
        <f>G8*F8</f>
        <v>965.6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0.96560000000000001</v>
      </c>
      <c r="L8" s="25">
        <f t="shared" si="0"/>
        <v>0.71454399999999996</v>
      </c>
    </row>
    <row r="9" spans="1:28" ht="12.5" customHeight="1" x14ac:dyDescent="0.35">
      <c r="B9" s="24" t="s">
        <v>27</v>
      </c>
      <c r="C9" s="33" t="s">
        <v>17</v>
      </c>
      <c r="D9" s="34">
        <v>20</v>
      </c>
      <c r="E9" s="35">
        <f>$G$1</f>
        <v>2.4140000000000001</v>
      </c>
      <c r="F9" s="36">
        <v>1</v>
      </c>
      <c r="G9" s="37">
        <f>D9*E9</f>
        <v>48.28</v>
      </c>
      <c r="H9" s="38">
        <f>G9*F9</f>
        <v>48.28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4.8280000000000003E-2</v>
      </c>
      <c r="L9" s="25">
        <f t="shared" si="0"/>
        <v>1.49668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67</v>
      </c>
      <c r="N11" s="242"/>
    </row>
    <row r="12" spans="1:28" ht="13.5" customHeight="1" x14ac:dyDescent="0.35">
      <c r="B12" s="48" t="s">
        <v>71</v>
      </c>
      <c r="C12" s="49">
        <f>I1</f>
        <v>2.4140000000000001</v>
      </c>
      <c r="D12" s="50">
        <f>E1</f>
        <v>72420</v>
      </c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73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72</v>
      </c>
      <c r="N13" s="130">
        <f>$Z$1</f>
        <v>72420</v>
      </c>
    </row>
    <row r="14" spans="1:28" ht="14.25" customHeight="1" x14ac:dyDescent="0.35">
      <c r="B14" s="48" t="s">
        <v>75</v>
      </c>
      <c r="C14" s="51">
        <f>MIN(MAX($C$12-C13,0),1)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74</v>
      </c>
      <c r="N14" s="133">
        <f>$AB$1</f>
        <v>0</v>
      </c>
    </row>
    <row r="15" spans="1:28" ht="14.25" customHeight="1" x14ac:dyDescent="0.35">
      <c r="B15" s="48" t="s">
        <v>76</v>
      </c>
      <c r="C15" s="51">
        <f>MIN(MAX($C$12-C13-C14,0),1)</f>
        <v>0.41400000000000015</v>
      </c>
      <c r="D15" s="50">
        <f>C15*$C$1</f>
        <v>12420.000000000004</v>
      </c>
      <c r="E15" s="18"/>
      <c r="F15" s="18"/>
      <c r="I15" s="18"/>
      <c r="J15" s="18"/>
      <c r="K15" s="18"/>
      <c r="M15" s="53" t="s">
        <v>71</v>
      </c>
      <c r="N15" s="54">
        <f>N13+N14</f>
        <v>72420</v>
      </c>
    </row>
    <row r="20" spans="14:15" ht="13.5" customHeight="1" x14ac:dyDescent="0.35">
      <c r="N20" s="245"/>
      <c r="O20" s="245"/>
    </row>
    <row r="40" spans="1:9" ht="17.649999999999999" x14ac:dyDescent="0.35">
      <c r="A40" s="134"/>
      <c r="B40" s="240" t="str">
        <f>"      رز أبيض   1 / " &amp; COUNTIF($C$13:$C$15, "&gt;0")</f>
        <v xml:space="preserve">      رز أبيض   1 / 3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 White Rice   1 / " &amp; COUNTIF($C$13:$C$15, "&gt;0")</f>
        <v xml:space="preserve">  White Rice   1 / 3</v>
      </c>
      <c r="C41" s="240"/>
      <c r="D41" s="240"/>
      <c r="E41" s="240"/>
      <c r="F41" s="240"/>
      <c r="G41" s="240"/>
      <c r="H41" s="240"/>
      <c r="I41" s="240"/>
    </row>
    <row r="42" spans="1:9" ht="40.25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25.5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7.649999999999999" x14ac:dyDescent="0.35">
      <c r="A52" s="134"/>
      <c r="B52" s="240" t="str">
        <f>"      رز أبيض   2 / " &amp; COUNTIF($C$13:$C$15, "&gt;0")</f>
        <v xml:space="preserve">      رز أبيض   2 / 3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White Rice   2 / " &amp; COUNTIF($C$13:$C$15, "&gt;0")</f>
        <v xml:space="preserve">  White Rice   2 / 3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104" t="s">
        <v>65</v>
      </c>
      <c r="I54" s="23" t="s">
        <v>79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1</v>
      </c>
      <c r="F55" s="58">
        <f>$D$14</f>
        <v>30000</v>
      </c>
      <c r="G55" s="28">
        <f>F5</f>
        <v>1</v>
      </c>
      <c r="H55" s="84">
        <f>D55*E55</f>
        <v>10</v>
      </c>
      <c r="I55" s="30">
        <f>H55*G55</f>
        <v>10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1</v>
      </c>
      <c r="F56" s="58">
        <f>$D$14</f>
        <v>30000</v>
      </c>
      <c r="G56" s="28">
        <f>F6</f>
        <v>1</v>
      </c>
      <c r="H56" s="84">
        <f>D56*E56</f>
        <v>30000</v>
      </c>
      <c r="I56" s="32">
        <f>H56*G56</f>
        <v>30000</v>
      </c>
    </row>
    <row r="57" spans="1:9" ht="24" customHeight="1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1</v>
      </c>
      <c r="F57" s="58">
        <f>$D$14</f>
        <v>30000</v>
      </c>
      <c r="G57" s="28">
        <f>F7</f>
        <v>1</v>
      </c>
      <c r="H57" s="84">
        <f>D57*E57</f>
        <v>150</v>
      </c>
      <c r="I57" s="32">
        <f>H57*G57</f>
        <v>150</v>
      </c>
    </row>
    <row r="58" spans="1:9" ht="28.5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1</v>
      </c>
      <c r="F58" s="58">
        <f>$D$14</f>
        <v>30000</v>
      </c>
      <c r="G58" s="28">
        <f>F8</f>
        <v>1</v>
      </c>
      <c r="H58" s="84">
        <f>D58*E58</f>
        <v>400</v>
      </c>
      <c r="I58" s="32">
        <f>H58*G58</f>
        <v>400</v>
      </c>
    </row>
    <row r="59" spans="1:9" ht="25.5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1</v>
      </c>
      <c r="F59" s="58">
        <f>$D$14</f>
        <v>30000</v>
      </c>
      <c r="G59" s="28">
        <f>F9</f>
        <v>1</v>
      </c>
      <c r="H59" s="84">
        <f>D59*E59</f>
        <v>20</v>
      </c>
      <c r="I59" s="32">
        <f>H59*G59</f>
        <v>20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7.649999999999999" x14ac:dyDescent="0.35">
      <c r="A64" s="134"/>
      <c r="B64" s="240" t="str">
        <f>"      رز أبيض  3 / " &amp; COUNTIF($C$13:$C$15, "&gt;0")</f>
        <v xml:space="preserve">      رز أبيض  3 / 3</v>
      </c>
      <c r="C64" s="240"/>
      <c r="D64" s="240"/>
      <c r="E64" s="240"/>
      <c r="F64" s="240"/>
      <c r="G64" s="240"/>
      <c r="H64" s="240"/>
      <c r="I64" s="240"/>
    </row>
    <row r="65" spans="1:9" ht="17.649999999999999" x14ac:dyDescent="0.35">
      <c r="A65" s="134"/>
      <c r="B65" s="240" t="str">
        <f>"  White Rice   3 / " &amp; COUNTIF($C$13:$C$15, "&gt;0")</f>
        <v xml:space="preserve">  White Rice   3 / 3</v>
      </c>
      <c r="C65" s="240"/>
      <c r="D65" s="240"/>
      <c r="E65" s="240"/>
      <c r="F65" s="240"/>
      <c r="G65" s="240"/>
      <c r="H65" s="240"/>
      <c r="I65" s="240"/>
    </row>
    <row r="66" spans="1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104" t="s">
        <v>65</v>
      </c>
      <c r="I66" s="23" t="s">
        <v>66</v>
      </c>
    </row>
    <row r="67" spans="1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0.41400000000000015</v>
      </c>
      <c r="F67" s="58">
        <f>$D$15</f>
        <v>12420.000000000004</v>
      </c>
      <c r="G67" s="28">
        <f>F5</f>
        <v>1</v>
      </c>
      <c r="H67" s="84">
        <f>D67*E67</f>
        <v>4.1400000000000015</v>
      </c>
      <c r="I67" s="32">
        <f>H67*G67</f>
        <v>4.1400000000000015</v>
      </c>
    </row>
    <row r="68" spans="1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0.41400000000000015</v>
      </c>
      <c r="F68" s="58">
        <f>$D$15</f>
        <v>12420.000000000004</v>
      </c>
      <c r="G68" s="28">
        <f>F6</f>
        <v>1</v>
      </c>
      <c r="H68" s="84">
        <f>D68*E68</f>
        <v>12420.000000000004</v>
      </c>
      <c r="I68" s="32">
        <f>H68*G68</f>
        <v>12420.000000000004</v>
      </c>
    </row>
    <row r="69" spans="1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0.41400000000000015</v>
      </c>
      <c r="F69" s="58">
        <f>$D$15</f>
        <v>12420.000000000004</v>
      </c>
      <c r="G69" s="28">
        <f>F7</f>
        <v>1</v>
      </c>
      <c r="H69" s="84">
        <f>D69*E69</f>
        <v>62.100000000000023</v>
      </c>
      <c r="I69" s="32">
        <f>H69*G69</f>
        <v>62.100000000000023</v>
      </c>
    </row>
    <row r="70" spans="1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0.41400000000000015</v>
      </c>
      <c r="F70" s="58">
        <f>$D$15</f>
        <v>12420.000000000004</v>
      </c>
      <c r="G70" s="28">
        <f>F8</f>
        <v>1</v>
      </c>
      <c r="H70" s="84">
        <f>D70*E70</f>
        <v>165.60000000000005</v>
      </c>
      <c r="I70" s="32">
        <f>H70*G70</f>
        <v>165.60000000000005</v>
      </c>
    </row>
    <row r="71" spans="1:9" ht="25.5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0.41400000000000015</v>
      </c>
      <c r="F71" s="58">
        <f>$D$15</f>
        <v>12420.000000000004</v>
      </c>
      <c r="G71" s="28">
        <f>F9</f>
        <v>1</v>
      </c>
      <c r="H71" s="84">
        <f>D71*E71</f>
        <v>8.2800000000000029</v>
      </c>
      <c r="I71" s="32">
        <f>H71*G71</f>
        <v>8.2800000000000029</v>
      </c>
    </row>
  </sheetData>
  <mergeCells count="10">
    <mergeCell ref="B52:I52"/>
    <mergeCell ref="B53:I53"/>
    <mergeCell ref="B64:I64"/>
    <mergeCell ref="B65:I65"/>
    <mergeCell ref="A2:A3"/>
    <mergeCell ref="M11:N11"/>
    <mergeCell ref="B2:H3"/>
    <mergeCell ref="N20:O20"/>
    <mergeCell ref="B41:I41"/>
    <mergeCell ref="B40:I40"/>
  </mergeCells>
  <printOptions horizontalCentered="1"/>
  <pageMargins left="0.5" right="0.5" top="1" bottom="0.5" header="0.3" footer="0.511811023622047"/>
  <pageSetup paperSize="9" scale="23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2F5597"/>
    <pageSetUpPr fitToPage="1"/>
  </sheetPr>
  <dimension ref="A1:AB62"/>
  <sheetViews>
    <sheetView topLeftCell="G4" zoomScale="85" zoomScaleNormal="85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30.6875" style="10" customWidth="1"/>
    <col min="3" max="3" width="24" style="10" customWidth="1"/>
    <col min="4" max="4" width="21.8125" style="10" customWidth="1"/>
    <col min="5" max="5" width="16.1875" style="10" customWidth="1"/>
    <col min="6" max="6" width="14.3125" style="10" customWidth="1"/>
    <col min="7" max="7" width="15.4375" style="10" customWidth="1"/>
    <col min="8" max="8" width="16.9375" style="10" customWidth="1"/>
    <col min="9" max="9" width="14.6875" style="10" customWidth="1"/>
    <col min="10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29070</v>
      </c>
      <c r="F1" s="11" t="s">
        <v>55</v>
      </c>
      <c r="G1" s="15">
        <f>E1/C1</f>
        <v>0.96899999999999997</v>
      </c>
      <c r="H1" s="11" t="s">
        <v>56</v>
      </c>
      <c r="I1" s="110">
        <f>(G1/K1)</f>
        <v>0.96899999999999997</v>
      </c>
      <c r="J1" s="111" t="s">
        <v>57</v>
      </c>
      <c r="K1" s="39">
        <v>1</v>
      </c>
      <c r="L1" s="18"/>
      <c r="M1" s="18"/>
      <c r="N1" s="18"/>
      <c r="Y1" s="150" t="s">
        <v>209</v>
      </c>
      <c r="Z1" s="148">
        <v>29070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100</v>
      </c>
      <c r="C2" s="244"/>
      <c r="D2" s="244"/>
      <c r="E2" s="244"/>
      <c r="F2" s="244"/>
      <c r="G2" s="244"/>
      <c r="H2" s="244"/>
      <c r="I2" s="118"/>
      <c r="J2" s="118"/>
      <c r="K2" s="24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12"/>
      <c r="J3" s="112"/>
      <c r="K3" s="249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8.33</v>
      </c>
      <c r="E5" s="27">
        <f t="shared" ref="E5:E11" si="0">$G$1</f>
        <v>0.96899999999999997</v>
      </c>
      <c r="F5" s="28">
        <v>1</v>
      </c>
      <c r="G5" s="29">
        <f t="shared" ref="G5:G11" si="1">D5*E5</f>
        <v>8.071769999999999</v>
      </c>
      <c r="H5" s="30">
        <f t="shared" ref="H5:H11" si="2">G5*F5</f>
        <v>8.071769999999999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8.071769999999999</v>
      </c>
      <c r="L5" s="31">
        <f>K5*J5</f>
        <v>46.412677499999994</v>
      </c>
    </row>
    <row r="6" spans="1:28" x14ac:dyDescent="0.35">
      <c r="B6" s="24" t="s">
        <v>11</v>
      </c>
      <c r="C6" s="25" t="s">
        <v>213</v>
      </c>
      <c r="D6" s="26">
        <v>20000</v>
      </c>
      <c r="E6" s="27">
        <f t="shared" si="0"/>
        <v>0.96899999999999997</v>
      </c>
      <c r="F6" s="28">
        <v>1</v>
      </c>
      <c r="G6" s="29">
        <f t="shared" si="1"/>
        <v>19380</v>
      </c>
      <c r="H6" s="31">
        <f t="shared" si="2"/>
        <v>19380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19.38</v>
      </c>
      <c r="L6" s="31">
        <f t="shared" ref="L6:L8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0.96899999999999997</v>
      </c>
      <c r="F7" s="28">
        <v>1</v>
      </c>
      <c r="G7" s="29">
        <f t="shared" si="1"/>
        <v>145.35</v>
      </c>
      <c r="H7" s="32">
        <f t="shared" si="2"/>
        <v>145.35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8" si="4">(H7/I7)/1000</f>
        <v>0.14535000000000001</v>
      </c>
      <c r="L7" s="31">
        <f t="shared" si="3"/>
        <v>4.3605</v>
      </c>
      <c r="V7" s="251"/>
    </row>
    <row r="8" spans="1:28" ht="13.15" x14ac:dyDescent="0.4">
      <c r="B8" s="24" t="s">
        <v>22</v>
      </c>
      <c r="C8" s="25" t="s">
        <v>17</v>
      </c>
      <c r="D8" s="26">
        <v>400</v>
      </c>
      <c r="E8" s="27">
        <f t="shared" si="0"/>
        <v>0.96899999999999997</v>
      </c>
      <c r="F8" s="28">
        <v>1</v>
      </c>
      <c r="G8" s="29">
        <f t="shared" si="1"/>
        <v>387.59999999999997</v>
      </c>
      <c r="H8" s="32">
        <f t="shared" si="2"/>
        <v>387.59999999999997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0.38759999999999994</v>
      </c>
      <c r="L8" s="31">
        <f t="shared" si="3"/>
        <v>0.28682399999999997</v>
      </c>
      <c r="V8" s="215" t="s">
        <v>17</v>
      </c>
      <c r="W8" s="216">
        <v>1</v>
      </c>
      <c r="X8" s="215" t="s">
        <v>250</v>
      </c>
      <c r="Y8" s="217">
        <f>(N16*W8)/N15</f>
        <v>1.8004499999999999E-3</v>
      </c>
    </row>
    <row r="9" spans="1:28" x14ac:dyDescent="0.35">
      <c r="B9" s="24" t="s">
        <v>48</v>
      </c>
      <c r="C9" s="25" t="s">
        <v>17</v>
      </c>
      <c r="D9" s="26">
        <v>20</v>
      </c>
      <c r="E9" s="35">
        <f t="shared" si="0"/>
        <v>0.96899999999999997</v>
      </c>
      <c r="F9" s="36">
        <v>1</v>
      </c>
      <c r="G9" s="37">
        <f t="shared" si="1"/>
        <v>19.38</v>
      </c>
      <c r="H9" s="38">
        <f t="shared" si="2"/>
        <v>19.38</v>
      </c>
      <c r="I9" s="59">
        <f>VLOOKUP(B9,Ordering!$A$1:$J$45,6,FALSE)</f>
        <v>1</v>
      </c>
      <c r="J9" s="59">
        <f>VLOOKUP(B9,Ordering!$A$1:$J$45,10,FALSE)</f>
        <v>35</v>
      </c>
      <c r="K9" s="59">
        <f>(H9/I9)/1000</f>
        <v>1.9379999999999998E-2</v>
      </c>
      <c r="L9" s="31">
        <f t="shared" ref="L9:L10" si="5">K9*J9</f>
        <v>0.6782999999999999</v>
      </c>
    </row>
    <row r="10" spans="1:28" x14ac:dyDescent="0.35">
      <c r="B10" s="24" t="s">
        <v>27</v>
      </c>
      <c r="C10" s="25" t="s">
        <v>17</v>
      </c>
      <c r="D10" s="26">
        <v>20</v>
      </c>
      <c r="E10" s="35">
        <f t="shared" si="0"/>
        <v>0.96899999999999997</v>
      </c>
      <c r="F10" s="36">
        <v>1</v>
      </c>
      <c r="G10" s="37">
        <f t="shared" si="1"/>
        <v>19.38</v>
      </c>
      <c r="H10" s="38">
        <f t="shared" si="2"/>
        <v>19.38</v>
      </c>
      <c r="I10" s="59">
        <f>VLOOKUP(B10,Ordering!$A$1:$J$45,6,FALSE)</f>
        <v>1</v>
      </c>
      <c r="J10" s="59">
        <f>VLOOKUP(B10,Ordering!$A$1:$J$45,10,FALSE)</f>
        <v>31</v>
      </c>
      <c r="K10" s="59">
        <f t="shared" ref="K10" si="6">(H10/I10)/1000</f>
        <v>1.9379999999999998E-2</v>
      </c>
      <c r="L10" s="31">
        <f t="shared" si="5"/>
        <v>0.60077999999999998</v>
      </c>
    </row>
    <row r="11" spans="1:28" ht="13.5" customHeight="1" x14ac:dyDescent="0.35">
      <c r="B11" s="40" t="s">
        <v>52</v>
      </c>
      <c r="C11" s="25" t="s">
        <v>6</v>
      </c>
      <c r="D11" s="42">
        <v>5</v>
      </c>
      <c r="E11" s="27">
        <f t="shared" si="0"/>
        <v>0.96899999999999997</v>
      </c>
      <c r="F11" s="28">
        <v>1</v>
      </c>
      <c r="G11" s="29">
        <f t="shared" si="1"/>
        <v>4.8449999999999998</v>
      </c>
      <c r="H11" s="32">
        <f t="shared" si="2"/>
        <v>4.8449999999999998</v>
      </c>
      <c r="I11" s="59"/>
      <c r="J11" s="59"/>
      <c r="K11" s="59"/>
      <c r="L11" s="31"/>
      <c r="M11" s="243" t="s">
        <v>100</v>
      </c>
      <c r="N11" s="242"/>
    </row>
    <row r="12" spans="1:28" ht="13.5" customHeight="1" x14ac:dyDescent="0.35">
      <c r="B12" s="40"/>
      <c r="C12" s="41"/>
      <c r="D12" s="42"/>
      <c r="E12" s="43"/>
      <c r="F12" s="44"/>
      <c r="G12" s="45"/>
      <c r="H12" s="46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7"/>
      <c r="C13" s="47" t="s">
        <v>55</v>
      </c>
      <c r="D13" s="47" t="s">
        <v>68</v>
      </c>
      <c r="E13" s="18"/>
      <c r="F13" s="18"/>
      <c r="I13" s="18"/>
      <c r="J13" s="18"/>
      <c r="K13" s="18"/>
      <c r="M13" s="48" t="s">
        <v>72</v>
      </c>
      <c r="N13" s="252">
        <f>$Z$1</f>
        <v>29070</v>
      </c>
    </row>
    <row r="14" spans="1:28" ht="13.5" customHeight="1" x14ac:dyDescent="0.35">
      <c r="B14" s="48" t="s">
        <v>71</v>
      </c>
      <c r="C14" s="49">
        <f>I1</f>
        <v>0.96899999999999997</v>
      </c>
      <c r="D14" s="50">
        <f>E1</f>
        <v>29070</v>
      </c>
      <c r="F14" s="18"/>
      <c r="I14" s="18"/>
      <c r="J14" s="18"/>
      <c r="K14" s="18"/>
      <c r="M14" s="48" t="s">
        <v>74</v>
      </c>
      <c r="N14" s="253">
        <f>$AB$1</f>
        <v>0</v>
      </c>
    </row>
    <row r="15" spans="1:28" ht="14.25" customHeight="1" thickBot="1" x14ac:dyDescent="0.4">
      <c r="B15" s="48" t="s">
        <v>73</v>
      </c>
      <c r="C15" s="51">
        <f>MIN($C$14,1)</f>
        <v>0.96899999999999997</v>
      </c>
      <c r="D15" s="50">
        <f>C15*$C$1</f>
        <v>29070</v>
      </c>
      <c r="E15" s="18"/>
      <c r="F15" s="18"/>
      <c r="I15" s="18"/>
      <c r="J15" s="18"/>
      <c r="K15" s="18"/>
      <c r="M15" s="53" t="s">
        <v>71</v>
      </c>
      <c r="N15" s="254">
        <f>N13+N14</f>
        <v>29070</v>
      </c>
    </row>
    <row r="16" spans="1:28" ht="14.25" customHeight="1" thickBot="1" x14ac:dyDescent="0.45">
      <c r="B16" s="48" t="s">
        <v>75</v>
      </c>
      <c r="C16" s="51">
        <f>MIN(MAX($C$14-C15,0),30)</f>
        <v>0</v>
      </c>
      <c r="D16" s="50">
        <f>C16*$C$1</f>
        <v>0</v>
      </c>
      <c r="E16" s="18"/>
      <c r="F16" s="18"/>
      <c r="M16" s="213" t="s">
        <v>250</v>
      </c>
      <c r="N16" s="214">
        <f>SUM(L5:L11)</f>
        <v>52.339081499999999</v>
      </c>
    </row>
    <row r="17" spans="2:15" ht="13.5" customHeight="1" x14ac:dyDescent="0.35">
      <c r="B17" s="48"/>
      <c r="C17" s="66">
        <f>MIN(MAX($C$14-C15-C16,0),10)</f>
        <v>0</v>
      </c>
      <c r="D17" s="67">
        <f>C17*$K$1</f>
        <v>0</v>
      </c>
      <c r="E17" s="18"/>
      <c r="F17" s="18"/>
      <c r="G17" s="128"/>
    </row>
    <row r="18" spans="2:15" x14ac:dyDescent="0.35">
      <c r="B18" s="18"/>
      <c r="E18" s="18"/>
      <c r="F18" s="18"/>
      <c r="G18" s="128"/>
    </row>
    <row r="19" spans="2:15" ht="18" customHeight="1" x14ac:dyDescent="0.35"/>
    <row r="20" spans="2:15" ht="18" customHeight="1" x14ac:dyDescent="0.35"/>
    <row r="21" spans="2:15" ht="82.5" customHeight="1" x14ac:dyDescent="0.35"/>
    <row r="22" spans="2:15" ht="13.5" customHeight="1" x14ac:dyDescent="0.35">
      <c r="N22" s="245"/>
      <c r="O22" s="245"/>
    </row>
    <row r="40" spans="1:9" ht="17.649999999999999" x14ac:dyDescent="0.35">
      <c r="A40" s="134"/>
      <c r="B40" s="240" t="str">
        <f>"      رز مكسيكي   1 / " &amp; COUNTIF($C$15:$C$17, "&gt;0")</f>
        <v xml:space="preserve">      رز مكسيكي  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Mexican Rice   1 / " &amp; COUNTIF($C$15:$C$17, "&gt;0")</f>
        <v xml:space="preserve">  Mexican Rice   1 / 1</v>
      </c>
      <c r="C41" s="240"/>
      <c r="D41" s="240"/>
      <c r="E41" s="240"/>
      <c r="F41" s="240"/>
      <c r="G41" s="240"/>
      <c r="H41" s="240"/>
      <c r="I41" s="240"/>
    </row>
    <row r="42" spans="1:9" ht="78.7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ht="13.5" customHeight="1" x14ac:dyDescent="0.35">
      <c r="B43" s="24" t="str">
        <f t="shared" ref="B43:D49" si="7">B5</f>
        <v>Rice - رز</v>
      </c>
      <c r="C43" s="24" t="str">
        <f t="shared" si="7"/>
        <v>KG</v>
      </c>
      <c r="D43" s="24">
        <f t="shared" si="7"/>
        <v>8.33</v>
      </c>
      <c r="E43" s="58">
        <f t="shared" ref="E43:E49" si="8">$C$15</f>
        <v>0.96899999999999997</v>
      </c>
      <c r="F43" s="58">
        <f t="shared" ref="F43:F49" si="9">$D$15</f>
        <v>29070</v>
      </c>
      <c r="G43" s="28">
        <f t="shared" ref="G43:G49" si="10">F5</f>
        <v>1</v>
      </c>
      <c r="H43" s="84">
        <f t="shared" ref="H43:H49" si="11">D43*E43</f>
        <v>8.071769999999999</v>
      </c>
      <c r="I43" s="32">
        <f t="shared" ref="I43:I49" si="12">H43*G43</f>
        <v>8.071769999999999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20000</v>
      </c>
      <c r="E44" s="58">
        <f t="shared" si="8"/>
        <v>0.96899999999999997</v>
      </c>
      <c r="F44" s="58">
        <f t="shared" si="9"/>
        <v>29070</v>
      </c>
      <c r="G44" s="28">
        <f t="shared" si="10"/>
        <v>1</v>
      </c>
      <c r="H44" s="84">
        <f t="shared" si="11"/>
        <v>19380</v>
      </c>
      <c r="I44" s="32">
        <f t="shared" si="12"/>
        <v>19380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8">
        <f t="shared" si="8"/>
        <v>0.96899999999999997</v>
      </c>
      <c r="F45" s="58">
        <f t="shared" si="9"/>
        <v>29070</v>
      </c>
      <c r="G45" s="28">
        <f t="shared" si="10"/>
        <v>1</v>
      </c>
      <c r="H45" s="84">
        <f t="shared" si="11"/>
        <v>145.35</v>
      </c>
      <c r="I45" s="32">
        <f t="shared" si="12"/>
        <v>145.35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8">
        <f t="shared" si="8"/>
        <v>0.96899999999999997</v>
      </c>
      <c r="F46" s="58">
        <f t="shared" si="9"/>
        <v>29070</v>
      </c>
      <c r="G46" s="28">
        <f t="shared" si="10"/>
        <v>1</v>
      </c>
      <c r="H46" s="84">
        <f t="shared" si="11"/>
        <v>387.59999999999997</v>
      </c>
      <c r="I46" s="32">
        <f t="shared" si="12"/>
        <v>387.59999999999997</v>
      </c>
    </row>
    <row r="47" spans="1:9" x14ac:dyDescent="0.35">
      <c r="B47" s="24" t="str">
        <f t="shared" si="7"/>
        <v>Orange Color - لون برتقالي</v>
      </c>
      <c r="C47" s="24" t="str">
        <f t="shared" si="7"/>
        <v>gm</v>
      </c>
      <c r="D47" s="24">
        <f t="shared" si="7"/>
        <v>20</v>
      </c>
      <c r="E47" s="58">
        <f t="shared" si="8"/>
        <v>0.96899999999999997</v>
      </c>
      <c r="F47" s="58">
        <f t="shared" si="9"/>
        <v>29070</v>
      </c>
      <c r="G47" s="28">
        <f t="shared" si="10"/>
        <v>1</v>
      </c>
      <c r="H47" s="84">
        <f t="shared" si="11"/>
        <v>19.38</v>
      </c>
      <c r="I47" s="32">
        <f t="shared" si="12"/>
        <v>19.38</v>
      </c>
    </row>
    <row r="48" spans="1:9" x14ac:dyDescent="0.35">
      <c r="B48" s="24" t="str">
        <f t="shared" si="7"/>
        <v>Cardamom Whole - هيل حب</v>
      </c>
      <c r="C48" s="24" t="str">
        <f t="shared" si="7"/>
        <v>gm</v>
      </c>
      <c r="D48" s="24">
        <f t="shared" si="7"/>
        <v>20</v>
      </c>
      <c r="E48" s="58">
        <f t="shared" si="8"/>
        <v>0.96899999999999997</v>
      </c>
      <c r="F48" s="58">
        <f t="shared" si="9"/>
        <v>29070</v>
      </c>
      <c r="G48" s="28">
        <f t="shared" si="10"/>
        <v>1</v>
      </c>
      <c r="H48" s="84">
        <f t="shared" si="11"/>
        <v>19.38</v>
      </c>
      <c r="I48" s="32">
        <f t="shared" si="12"/>
        <v>19.38</v>
      </c>
    </row>
    <row r="49" spans="1:9" x14ac:dyDescent="0.35">
      <c r="B49" s="24" t="str">
        <f t="shared" si="7"/>
        <v>Veg. with Sauce - خضار مشكل مع الصوص</v>
      </c>
      <c r="C49" s="24" t="str">
        <f t="shared" si="7"/>
        <v>KG</v>
      </c>
      <c r="D49" s="24">
        <f t="shared" si="7"/>
        <v>5</v>
      </c>
      <c r="E49" s="58">
        <f t="shared" si="8"/>
        <v>0.96899999999999997</v>
      </c>
      <c r="F49" s="58">
        <f t="shared" si="9"/>
        <v>29070</v>
      </c>
      <c r="G49" s="28">
        <f t="shared" si="10"/>
        <v>1</v>
      </c>
      <c r="H49" s="84">
        <f t="shared" si="11"/>
        <v>4.8449999999999998</v>
      </c>
      <c r="I49" s="32">
        <f t="shared" si="12"/>
        <v>4.8449999999999998</v>
      </c>
    </row>
    <row r="50" spans="1:9" x14ac:dyDescent="0.35">
      <c r="B50" s="18"/>
      <c r="E50" s="18"/>
      <c r="F50" s="18"/>
      <c r="H50" s="103"/>
    </row>
    <row r="51" spans="1:9" ht="13.5" x14ac:dyDescent="0.35">
      <c r="B51" s="18"/>
      <c r="C51" s="1"/>
      <c r="D51" s="105"/>
      <c r="E51" s="106"/>
      <c r="F51" s="18"/>
      <c r="H51" s="103"/>
    </row>
    <row r="52" spans="1:9" x14ac:dyDescent="0.35">
      <c r="B52" s="18"/>
      <c r="E52" s="18"/>
      <c r="F52" s="18"/>
      <c r="H52" s="103"/>
    </row>
    <row r="53" spans="1:9" ht="17.649999999999999" x14ac:dyDescent="0.35">
      <c r="A53" s="134"/>
      <c r="B53" s="240" t="str">
        <f>"      رز مكسيكي   2 / " &amp; COUNTIF($C$15:$C$17, "&gt;0")</f>
        <v xml:space="preserve">      رز مكسيكي   2 / 1</v>
      </c>
      <c r="C53" s="240"/>
      <c r="D53" s="240"/>
      <c r="E53" s="240"/>
      <c r="F53" s="240"/>
      <c r="G53" s="240"/>
      <c r="H53" s="240"/>
      <c r="I53" s="240"/>
    </row>
    <row r="54" spans="1:9" ht="17.649999999999999" x14ac:dyDescent="0.35">
      <c r="A54" s="134"/>
      <c r="B54" s="240" t="str">
        <f>"  Mexican Rice   2 / " &amp; COUNTIF($C$15:$C$17, "&gt;0")</f>
        <v xml:space="preserve">  Mexican Rice   2 / 1</v>
      </c>
      <c r="C54" s="240"/>
      <c r="D54" s="240"/>
      <c r="E54" s="240"/>
      <c r="F54" s="240"/>
      <c r="G54" s="240"/>
      <c r="H54" s="240"/>
      <c r="I54" s="240"/>
    </row>
    <row r="55" spans="1:9" ht="78.75" x14ac:dyDescent="0.35">
      <c r="B55" s="19" t="s">
        <v>60</v>
      </c>
      <c r="C55" s="20" t="s">
        <v>61</v>
      </c>
      <c r="D55" s="19" t="s">
        <v>62</v>
      </c>
      <c r="E55" s="21" t="s">
        <v>63</v>
      </c>
      <c r="F55" s="55" t="s">
        <v>77</v>
      </c>
      <c r="G55" s="21" t="s">
        <v>64</v>
      </c>
      <c r="H55" s="104" t="s">
        <v>65</v>
      </c>
      <c r="I55" s="55" t="s">
        <v>78</v>
      </c>
    </row>
    <row r="56" spans="1:9" x14ac:dyDescent="0.35">
      <c r="B56" s="24" t="str">
        <f t="shared" ref="B56:D62" si="13">B5</f>
        <v>Rice - رز</v>
      </c>
      <c r="C56" s="24" t="str">
        <f t="shared" si="13"/>
        <v>KG</v>
      </c>
      <c r="D56" s="24">
        <f t="shared" si="13"/>
        <v>8.33</v>
      </c>
      <c r="E56" s="27">
        <f t="shared" ref="E56:E62" si="14">$C$16</f>
        <v>0</v>
      </c>
      <c r="F56" s="68">
        <f t="shared" ref="F56:F62" si="15">$D$16</f>
        <v>0</v>
      </c>
      <c r="G56" s="28">
        <f t="shared" ref="G56:G62" si="16">F5</f>
        <v>1</v>
      </c>
      <c r="H56" s="84">
        <f t="shared" ref="H56:H62" si="17">D56*E56</f>
        <v>0</v>
      </c>
      <c r="I56" s="32">
        <f t="shared" ref="I56:I62" si="18">H56*G56</f>
        <v>0</v>
      </c>
    </row>
    <row r="57" spans="1:9" x14ac:dyDescent="0.35">
      <c r="B57" s="24" t="str">
        <f t="shared" si="13"/>
        <v>Water - ماء</v>
      </c>
      <c r="C57" s="24" t="str">
        <f t="shared" si="13"/>
        <v>ml</v>
      </c>
      <c r="D57" s="24">
        <f t="shared" si="13"/>
        <v>20000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5">
      <c r="B58" s="24" t="str">
        <f t="shared" si="13"/>
        <v>Butter - زبدة</v>
      </c>
      <c r="C58" s="24" t="str">
        <f t="shared" si="13"/>
        <v>gm</v>
      </c>
      <c r="D58" s="24">
        <f t="shared" si="13"/>
        <v>150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Salt - ملح</v>
      </c>
      <c r="C59" s="24" t="str">
        <f t="shared" si="13"/>
        <v>gm</v>
      </c>
      <c r="D59" s="24">
        <f t="shared" si="13"/>
        <v>400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x14ac:dyDescent="0.35">
      <c r="B60" s="24" t="str">
        <f t="shared" si="13"/>
        <v>Orange Color - لون برتقالي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  <row r="61" spans="1:9" x14ac:dyDescent="0.35">
      <c r="B61" s="24" t="str">
        <f t="shared" si="13"/>
        <v>Cardamom Whole - هيل حب</v>
      </c>
      <c r="C61" s="24" t="str">
        <f t="shared" si="13"/>
        <v>gm</v>
      </c>
      <c r="D61" s="24">
        <f t="shared" si="13"/>
        <v>20</v>
      </c>
      <c r="E61" s="27">
        <f t="shared" si="14"/>
        <v>0</v>
      </c>
      <c r="F61" s="68">
        <f t="shared" si="15"/>
        <v>0</v>
      </c>
      <c r="G61" s="28">
        <f t="shared" si="16"/>
        <v>1</v>
      </c>
      <c r="H61" s="84">
        <f t="shared" si="17"/>
        <v>0</v>
      </c>
      <c r="I61" s="32">
        <f t="shared" si="18"/>
        <v>0</v>
      </c>
    </row>
    <row r="62" spans="1:9" x14ac:dyDescent="0.35">
      <c r="B62" s="24" t="str">
        <f t="shared" si="13"/>
        <v>Veg. with Sauce - خضار مشكل مع الصوص</v>
      </c>
      <c r="C62" s="24" t="str">
        <f t="shared" si="13"/>
        <v>KG</v>
      </c>
      <c r="D62" s="24">
        <f t="shared" si="13"/>
        <v>5</v>
      </c>
      <c r="E62" s="27">
        <f t="shared" si="14"/>
        <v>0</v>
      </c>
      <c r="F62" s="68">
        <f t="shared" si="15"/>
        <v>0</v>
      </c>
      <c r="G62" s="28">
        <f t="shared" si="16"/>
        <v>1</v>
      </c>
      <c r="H62" s="84">
        <f t="shared" si="17"/>
        <v>0</v>
      </c>
      <c r="I62" s="32">
        <f t="shared" si="18"/>
        <v>0</v>
      </c>
    </row>
  </sheetData>
  <mergeCells count="9">
    <mergeCell ref="B53:I53"/>
    <mergeCell ref="B54:I54"/>
    <mergeCell ref="N22:O22"/>
    <mergeCell ref="A2:A3"/>
    <mergeCell ref="K2:K3"/>
    <mergeCell ref="M11:N11"/>
    <mergeCell ref="B2:H3"/>
    <mergeCell ref="B40:I40"/>
    <mergeCell ref="B41:I41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2F5597"/>
    <pageSetUpPr fitToPage="1"/>
  </sheetPr>
  <dimension ref="A1:AB62"/>
  <sheetViews>
    <sheetView topLeftCell="J5" zoomScaleNormal="100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30.6875" style="10" customWidth="1"/>
    <col min="3" max="3" width="24" style="10" customWidth="1"/>
    <col min="4" max="4" width="21.8125" style="10" customWidth="1"/>
    <col min="5" max="5" width="16.1875" style="10" customWidth="1"/>
    <col min="6" max="6" width="19.6875" style="10" customWidth="1"/>
    <col min="7" max="7" width="25.1875" style="10" customWidth="1"/>
    <col min="8" max="8" width="17.3125" style="10" customWidth="1"/>
    <col min="9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19800</v>
      </c>
      <c r="F1" s="11" t="s">
        <v>55</v>
      </c>
      <c r="G1" s="15">
        <f>E1/C1</f>
        <v>0.66</v>
      </c>
      <c r="H1" s="11" t="s">
        <v>56</v>
      </c>
      <c r="I1" s="110">
        <f>(G1/K1)</f>
        <v>0.66</v>
      </c>
      <c r="J1" s="111" t="s">
        <v>57</v>
      </c>
      <c r="K1" s="39">
        <v>1</v>
      </c>
      <c r="L1" s="18"/>
      <c r="M1" s="18"/>
      <c r="N1" s="18"/>
      <c r="Y1" s="150" t="s">
        <v>209</v>
      </c>
      <c r="Z1" s="148">
        <v>19800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107</v>
      </c>
      <c r="C2" s="244"/>
      <c r="D2" s="244"/>
      <c r="E2" s="244"/>
      <c r="F2" s="244"/>
      <c r="G2" s="244"/>
      <c r="H2" s="244"/>
      <c r="I2" s="118"/>
      <c r="J2" s="118"/>
      <c r="K2" s="24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12"/>
      <c r="J3" s="112"/>
      <c r="K3" s="249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8.33</v>
      </c>
      <c r="E5" s="27">
        <f>$G$1</f>
        <v>0.66</v>
      </c>
      <c r="F5" s="28">
        <v>1</v>
      </c>
      <c r="G5" s="29">
        <f t="shared" ref="G5:G10" si="0">D5*E5</f>
        <v>5.4978000000000007</v>
      </c>
      <c r="H5" s="30">
        <f t="shared" ref="H5:H10" si="1">G5*F5</f>
        <v>5.4978000000000007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5.4978000000000007</v>
      </c>
      <c r="L5" s="31">
        <f>K5*J5</f>
        <v>31.612350000000003</v>
      </c>
    </row>
    <row r="6" spans="1:28" x14ac:dyDescent="0.35">
      <c r="B6" s="24" t="s">
        <v>11</v>
      </c>
      <c r="C6" s="25" t="s">
        <v>213</v>
      </c>
      <c r="D6" s="26">
        <v>20000</v>
      </c>
      <c r="E6" s="27">
        <f t="shared" ref="E6:E10" si="2">$G$1</f>
        <v>0.66</v>
      </c>
      <c r="F6" s="28">
        <v>1</v>
      </c>
      <c r="G6" s="29">
        <f t="shared" si="0"/>
        <v>13200</v>
      </c>
      <c r="H6" s="31">
        <f t="shared" si="1"/>
        <v>13200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13.2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2"/>
        <v>0.66</v>
      </c>
      <c r="F7" s="28">
        <v>1</v>
      </c>
      <c r="G7" s="29">
        <f t="shared" si="0"/>
        <v>99</v>
      </c>
      <c r="H7" s="32">
        <f t="shared" si="1"/>
        <v>99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9.9000000000000005E-2</v>
      </c>
      <c r="L7" s="31">
        <f t="shared" si="3"/>
        <v>2.97</v>
      </c>
      <c r="V7" s="251"/>
    </row>
    <row r="8" spans="1:28" ht="13.15" x14ac:dyDescent="0.4">
      <c r="B8" s="24" t="s">
        <v>22</v>
      </c>
      <c r="C8" s="25" t="s">
        <v>17</v>
      </c>
      <c r="D8" s="26">
        <v>400</v>
      </c>
      <c r="E8" s="27">
        <f t="shared" si="2"/>
        <v>0.66</v>
      </c>
      <c r="F8" s="28">
        <v>1</v>
      </c>
      <c r="G8" s="29">
        <f t="shared" si="0"/>
        <v>264</v>
      </c>
      <c r="H8" s="32">
        <f t="shared" si="1"/>
        <v>264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0.26400000000000001</v>
      </c>
      <c r="L8" s="31">
        <f t="shared" si="3"/>
        <v>0.19536000000000001</v>
      </c>
      <c r="V8" s="215" t="s">
        <v>17</v>
      </c>
      <c r="W8" s="216">
        <v>1</v>
      </c>
      <c r="X8" s="215" t="s">
        <v>250</v>
      </c>
      <c r="Y8" s="217">
        <f>(N16*W8)/N15</f>
        <v>1.7714500000000002E-3</v>
      </c>
    </row>
    <row r="9" spans="1:28" ht="25.5" x14ac:dyDescent="0.35">
      <c r="B9" s="24" t="s">
        <v>239</v>
      </c>
      <c r="C9" s="25" t="s">
        <v>17</v>
      </c>
      <c r="D9" s="26">
        <v>20</v>
      </c>
      <c r="E9" s="35">
        <f t="shared" si="2"/>
        <v>0.66</v>
      </c>
      <c r="F9" s="36">
        <v>1</v>
      </c>
      <c r="G9" s="37">
        <f t="shared" si="0"/>
        <v>13.200000000000001</v>
      </c>
      <c r="H9" s="38">
        <f t="shared" si="1"/>
        <v>13.200000000000001</v>
      </c>
      <c r="I9" s="59">
        <f>VLOOKUP(B9,Ordering!$A$1:$J$45,6,FALSE)</f>
        <v>1</v>
      </c>
      <c r="J9" s="59">
        <f>VLOOKUP(B9,Ordering!$A$1:$J$45,10,FALSE)</f>
        <v>22.5</v>
      </c>
      <c r="K9" s="59">
        <f t="shared" si="4"/>
        <v>1.3200000000000002E-2</v>
      </c>
      <c r="L9" s="31">
        <f t="shared" si="3"/>
        <v>0.29700000000000004</v>
      </c>
    </row>
    <row r="10" spans="1:28" x14ac:dyDescent="0.35">
      <c r="B10" s="24" t="s">
        <v>51</v>
      </c>
      <c r="C10" s="25" t="s">
        <v>6</v>
      </c>
      <c r="D10" s="26">
        <v>5</v>
      </c>
      <c r="E10" s="35">
        <f t="shared" si="2"/>
        <v>0.66</v>
      </c>
      <c r="F10" s="36">
        <v>1</v>
      </c>
      <c r="G10" s="37">
        <f t="shared" si="0"/>
        <v>3.3000000000000003</v>
      </c>
      <c r="H10" s="38">
        <f t="shared" si="1"/>
        <v>3.3000000000000003</v>
      </c>
      <c r="I10" s="59"/>
      <c r="J10" s="59"/>
      <c r="K10" s="59"/>
      <c r="L10" s="31"/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220"/>
      <c r="J11" s="220"/>
      <c r="K11" s="220"/>
      <c r="L11" s="221"/>
      <c r="M11" s="242" t="s">
        <v>107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 t="s">
        <v>69</v>
      </c>
      <c r="N12" s="48" t="s">
        <v>70</v>
      </c>
    </row>
    <row r="13" spans="1:28" ht="13.5" customHeight="1" x14ac:dyDescent="0.35">
      <c r="B13" s="48" t="s">
        <v>71</v>
      </c>
      <c r="C13" s="49">
        <f>I1</f>
        <v>0.66</v>
      </c>
      <c r="D13" s="50">
        <f>E1</f>
        <v>19800</v>
      </c>
      <c r="F13" s="18"/>
      <c r="I13" s="18"/>
      <c r="J13" s="18"/>
      <c r="K13" s="18"/>
      <c r="M13" s="48" t="s">
        <v>72</v>
      </c>
      <c r="N13" s="130">
        <f>$Z$1</f>
        <v>19800</v>
      </c>
    </row>
    <row r="14" spans="1:28" ht="13.5" customHeight="1" x14ac:dyDescent="0.35">
      <c r="B14" s="48" t="s">
        <v>73</v>
      </c>
      <c r="C14" s="51">
        <f>MIN($C$13,1)</f>
        <v>0.66</v>
      </c>
      <c r="D14" s="50">
        <f>C14*$C$1</f>
        <v>19800</v>
      </c>
      <c r="E14" s="18"/>
      <c r="F14" s="18"/>
      <c r="I14" s="18"/>
      <c r="J14" s="18"/>
      <c r="K14" s="18"/>
      <c r="M14" s="48" t="s">
        <v>74</v>
      </c>
      <c r="N14" s="133">
        <f>$AB$1</f>
        <v>0</v>
      </c>
    </row>
    <row r="15" spans="1:28" ht="14.25" customHeight="1" thickBot="1" x14ac:dyDescent="0.4">
      <c r="B15" s="48" t="s">
        <v>75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71</v>
      </c>
      <c r="N15" s="54">
        <f>N13+N14</f>
        <v>19800</v>
      </c>
    </row>
    <row r="16" spans="1:28" ht="14.25" customHeight="1" thickBot="1" x14ac:dyDescent="0.4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250</v>
      </c>
      <c r="N16" s="214">
        <f>SUM(L5:L10)</f>
        <v>35.074710000000003</v>
      </c>
    </row>
    <row r="20" spans="14:15" ht="82.5" customHeight="1" x14ac:dyDescent="0.35"/>
    <row r="21" spans="14:15" ht="13.5" customHeight="1" x14ac:dyDescent="0.35">
      <c r="N21" s="245"/>
      <c r="O21" s="245"/>
    </row>
    <row r="40" spans="1:9" ht="17.649999999999999" x14ac:dyDescent="0.35">
      <c r="A40" s="134"/>
      <c r="B40" s="240" t="str">
        <f>"      رز بالخضار    1 / " &amp; COUNTIF($C$14:$C$16, "&gt;0")</f>
        <v xml:space="preserve">      رز بالخضار    1 / 1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Vegetables Rice    1 / " &amp; COUNTIF($C$14:$C$16, "&gt;0")</f>
        <v xml:space="preserve">  Vegetables Rice    1 / 1</v>
      </c>
      <c r="C41" s="240"/>
      <c r="D41" s="240"/>
      <c r="E41" s="240"/>
      <c r="F41" s="240"/>
      <c r="G41" s="240"/>
      <c r="H41" s="240"/>
      <c r="I41" s="240"/>
    </row>
    <row r="42" spans="1:9" ht="42.5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x14ac:dyDescent="0.35">
      <c r="B43" s="24" t="str">
        <f t="shared" ref="B43:D48" si="5">B5</f>
        <v>Rice - رز</v>
      </c>
      <c r="C43" s="24" t="str">
        <f t="shared" si="5"/>
        <v>KG</v>
      </c>
      <c r="D43" s="24">
        <f t="shared" si="5"/>
        <v>8.33</v>
      </c>
      <c r="E43" s="58">
        <f t="shared" ref="E43:E48" si="6">$C$14</f>
        <v>0.66</v>
      </c>
      <c r="F43" s="58">
        <f t="shared" ref="F43:F48" si="7">$D$14</f>
        <v>19800</v>
      </c>
      <c r="G43" s="28">
        <f t="shared" ref="G43:G48" si="8">F5</f>
        <v>1</v>
      </c>
      <c r="H43" s="119">
        <f t="shared" ref="H43:H48" si="9">D43*E43</f>
        <v>5.4978000000000007</v>
      </c>
      <c r="I43" s="32">
        <f t="shared" ref="I43:I48" si="10">H43*G43</f>
        <v>5.4978000000000007</v>
      </c>
    </row>
    <row r="44" spans="1:9" x14ac:dyDescent="0.35">
      <c r="B44" s="24" t="str">
        <f t="shared" si="5"/>
        <v>Water - ماء</v>
      </c>
      <c r="C44" s="24" t="str">
        <f t="shared" si="5"/>
        <v>ml</v>
      </c>
      <c r="D44" s="24">
        <f t="shared" si="5"/>
        <v>20000</v>
      </c>
      <c r="E44" s="58">
        <f t="shared" si="6"/>
        <v>0.66</v>
      </c>
      <c r="F44" s="58">
        <f t="shared" si="7"/>
        <v>19800</v>
      </c>
      <c r="G44" s="28">
        <f t="shared" si="8"/>
        <v>1</v>
      </c>
      <c r="H44" s="119">
        <f t="shared" si="9"/>
        <v>13200</v>
      </c>
      <c r="I44" s="32">
        <f t="shared" si="10"/>
        <v>13200</v>
      </c>
    </row>
    <row r="45" spans="1:9" x14ac:dyDescent="0.35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58">
        <f t="shared" si="6"/>
        <v>0.66</v>
      </c>
      <c r="F45" s="58">
        <f t="shared" si="7"/>
        <v>19800</v>
      </c>
      <c r="G45" s="28">
        <f t="shared" si="8"/>
        <v>1</v>
      </c>
      <c r="H45" s="119">
        <f t="shared" si="9"/>
        <v>99</v>
      </c>
      <c r="I45" s="32">
        <f t="shared" si="10"/>
        <v>99</v>
      </c>
    </row>
    <row r="46" spans="1:9" x14ac:dyDescent="0.35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8">
        <f t="shared" si="6"/>
        <v>0.66</v>
      </c>
      <c r="F46" s="58">
        <f t="shared" si="7"/>
        <v>19800</v>
      </c>
      <c r="G46" s="28">
        <f t="shared" si="8"/>
        <v>1</v>
      </c>
      <c r="H46" s="119">
        <f t="shared" si="9"/>
        <v>264</v>
      </c>
      <c r="I46" s="32">
        <f t="shared" si="10"/>
        <v>264</v>
      </c>
    </row>
    <row r="47" spans="1:9" ht="25.5" x14ac:dyDescent="0.35">
      <c r="B47" s="24" t="str">
        <f t="shared" si="5"/>
        <v>لون صفار زعفران بودر - Saffron yellow color powder</v>
      </c>
      <c r="C47" s="24" t="str">
        <f t="shared" si="5"/>
        <v>gm</v>
      </c>
      <c r="D47" s="24">
        <f t="shared" si="5"/>
        <v>20</v>
      </c>
      <c r="E47" s="58">
        <f t="shared" si="6"/>
        <v>0.66</v>
      </c>
      <c r="F47" s="58">
        <f t="shared" si="7"/>
        <v>19800</v>
      </c>
      <c r="G47" s="28">
        <f t="shared" si="8"/>
        <v>1</v>
      </c>
      <c r="H47" s="119">
        <f t="shared" si="9"/>
        <v>13.200000000000001</v>
      </c>
      <c r="I47" s="32">
        <f t="shared" si="10"/>
        <v>13.200000000000001</v>
      </c>
    </row>
    <row r="48" spans="1:9" x14ac:dyDescent="0.35">
      <c r="B48" s="24" t="str">
        <f t="shared" si="5"/>
        <v>Mixed Vegetables - خضار مشكل</v>
      </c>
      <c r="C48" s="24" t="str">
        <f t="shared" si="5"/>
        <v>KG</v>
      </c>
      <c r="D48" s="24">
        <f t="shared" si="5"/>
        <v>5</v>
      </c>
      <c r="E48" s="58">
        <f t="shared" si="6"/>
        <v>0.66</v>
      </c>
      <c r="F48" s="58">
        <f t="shared" si="7"/>
        <v>19800</v>
      </c>
      <c r="G48" s="28">
        <f t="shared" si="8"/>
        <v>1</v>
      </c>
      <c r="H48" s="119">
        <f t="shared" si="9"/>
        <v>3.3000000000000003</v>
      </c>
      <c r="I48" s="32">
        <f t="shared" si="10"/>
        <v>3.3000000000000003</v>
      </c>
    </row>
    <row r="54" spans="2:9" ht="17.649999999999999" x14ac:dyDescent="0.35">
      <c r="B54" s="240" t="str">
        <f>"      رز بالخضار   2 / " &amp; COUNTIF($C$14:$C$16, "&gt;0")</f>
        <v xml:space="preserve">      رز بالخضار   2 / 1</v>
      </c>
      <c r="C54" s="240"/>
      <c r="D54" s="240"/>
      <c r="E54" s="240"/>
      <c r="F54" s="240"/>
      <c r="G54" s="240"/>
      <c r="H54" s="240"/>
      <c r="I54" s="240"/>
    </row>
    <row r="55" spans="2:9" ht="17.649999999999999" x14ac:dyDescent="0.35">
      <c r="B55" s="240" t="str">
        <f>"  Vegetables Rice    2 / " &amp; COUNTIF($C$14:$C$16, "&gt;0")</f>
        <v xml:space="preserve">  Vegetables Rice    2 / 1</v>
      </c>
      <c r="C55" s="240"/>
      <c r="D55" s="240"/>
      <c r="E55" s="240"/>
      <c r="F55" s="240"/>
      <c r="G55" s="240"/>
      <c r="H55" s="240"/>
      <c r="I55" s="240"/>
    </row>
    <row r="56" spans="2:9" ht="78.75" x14ac:dyDescent="0.35">
      <c r="B56" s="19" t="s">
        <v>60</v>
      </c>
      <c r="C56" s="20" t="s">
        <v>61</v>
      </c>
      <c r="D56" s="19" t="s">
        <v>62</v>
      </c>
      <c r="E56" s="21" t="s">
        <v>63</v>
      </c>
      <c r="F56" s="55" t="s">
        <v>77</v>
      </c>
      <c r="G56" s="21" t="s">
        <v>64</v>
      </c>
      <c r="H56" s="104" t="s">
        <v>65</v>
      </c>
      <c r="I56" s="55" t="s">
        <v>78</v>
      </c>
    </row>
    <row r="57" spans="2:9" x14ac:dyDescent="0.35">
      <c r="B57" s="24" t="str">
        <f t="shared" ref="B57:D62" si="11">B5</f>
        <v>Rice - رز</v>
      </c>
      <c r="C57" s="24" t="str">
        <f t="shared" si="11"/>
        <v>KG</v>
      </c>
      <c r="D57" s="24">
        <f t="shared" si="11"/>
        <v>8.33</v>
      </c>
      <c r="E57" s="27">
        <f t="shared" ref="E57:E62" si="12">$C$15</f>
        <v>0</v>
      </c>
      <c r="F57" s="68">
        <f t="shared" ref="F57:F62" si="13">$D$15</f>
        <v>0</v>
      </c>
      <c r="G57" s="28">
        <f t="shared" ref="G57:G62" si="14">F5</f>
        <v>1</v>
      </c>
      <c r="H57" s="84">
        <f t="shared" ref="H57:H62" si="15">D57*E57</f>
        <v>0</v>
      </c>
      <c r="I57" s="32">
        <f t="shared" ref="I57:I62" si="16">H57*G57</f>
        <v>0</v>
      </c>
    </row>
    <row r="58" spans="2:9" x14ac:dyDescent="0.35">
      <c r="B58" s="24" t="str">
        <f t="shared" si="11"/>
        <v>Water - ماء</v>
      </c>
      <c r="C58" s="24" t="str">
        <f t="shared" si="11"/>
        <v>ml</v>
      </c>
      <c r="D58" s="24">
        <f t="shared" si="11"/>
        <v>20000</v>
      </c>
      <c r="E58" s="27">
        <f t="shared" si="12"/>
        <v>0</v>
      </c>
      <c r="F58" s="68">
        <f t="shared" si="13"/>
        <v>0</v>
      </c>
      <c r="G58" s="28">
        <f t="shared" si="14"/>
        <v>1</v>
      </c>
      <c r="H58" s="84">
        <f t="shared" si="15"/>
        <v>0</v>
      </c>
      <c r="I58" s="32">
        <f t="shared" si="16"/>
        <v>0</v>
      </c>
    </row>
    <row r="59" spans="2:9" x14ac:dyDescent="0.35">
      <c r="B59" s="24" t="str">
        <f t="shared" si="11"/>
        <v>Butter - زبدة</v>
      </c>
      <c r="C59" s="24" t="str">
        <f t="shared" si="11"/>
        <v>gm</v>
      </c>
      <c r="D59" s="24">
        <f t="shared" si="11"/>
        <v>150</v>
      </c>
      <c r="E59" s="27">
        <f t="shared" si="12"/>
        <v>0</v>
      </c>
      <c r="F59" s="68">
        <f t="shared" si="13"/>
        <v>0</v>
      </c>
      <c r="G59" s="28">
        <f t="shared" si="14"/>
        <v>1</v>
      </c>
      <c r="H59" s="84">
        <f t="shared" si="15"/>
        <v>0</v>
      </c>
      <c r="I59" s="32">
        <f t="shared" si="16"/>
        <v>0</v>
      </c>
    </row>
    <row r="60" spans="2:9" x14ac:dyDescent="0.35">
      <c r="B60" s="24" t="str">
        <f t="shared" si="11"/>
        <v>Salt - ملح</v>
      </c>
      <c r="C60" s="24" t="str">
        <f t="shared" si="11"/>
        <v>gm</v>
      </c>
      <c r="D60" s="24">
        <f t="shared" si="11"/>
        <v>400</v>
      </c>
      <c r="E60" s="27">
        <f t="shared" si="12"/>
        <v>0</v>
      </c>
      <c r="F60" s="68">
        <f t="shared" si="13"/>
        <v>0</v>
      </c>
      <c r="G60" s="28">
        <f t="shared" si="14"/>
        <v>1</v>
      </c>
      <c r="H60" s="84">
        <f t="shared" si="15"/>
        <v>0</v>
      </c>
      <c r="I60" s="32">
        <f t="shared" si="16"/>
        <v>0</v>
      </c>
    </row>
    <row r="61" spans="2:9" ht="25.5" x14ac:dyDescent="0.35">
      <c r="B61" s="24" t="str">
        <f t="shared" si="11"/>
        <v>لون صفار زعفران بودر - Saffron yellow color powder</v>
      </c>
      <c r="C61" s="24" t="str">
        <f t="shared" si="11"/>
        <v>gm</v>
      </c>
      <c r="D61" s="24">
        <f t="shared" si="11"/>
        <v>20</v>
      </c>
      <c r="E61" s="27">
        <f t="shared" si="12"/>
        <v>0</v>
      </c>
      <c r="F61" s="68">
        <f t="shared" si="13"/>
        <v>0</v>
      </c>
      <c r="G61" s="28">
        <f t="shared" si="14"/>
        <v>1</v>
      </c>
      <c r="H61" s="84">
        <f t="shared" si="15"/>
        <v>0</v>
      </c>
      <c r="I61" s="32">
        <f t="shared" si="16"/>
        <v>0</v>
      </c>
    </row>
    <row r="62" spans="2:9" x14ac:dyDescent="0.35">
      <c r="B62" s="24" t="str">
        <f t="shared" si="11"/>
        <v>Mixed Vegetables - خضار مشكل</v>
      </c>
      <c r="C62" s="24" t="str">
        <f t="shared" si="11"/>
        <v>KG</v>
      </c>
      <c r="D62" s="24">
        <f t="shared" si="11"/>
        <v>5</v>
      </c>
      <c r="E62" s="27">
        <f t="shared" si="12"/>
        <v>0</v>
      </c>
      <c r="F62" s="68">
        <f t="shared" si="13"/>
        <v>0</v>
      </c>
      <c r="G62" s="28">
        <f t="shared" si="14"/>
        <v>1</v>
      </c>
      <c r="H62" s="84">
        <f t="shared" si="15"/>
        <v>0</v>
      </c>
      <c r="I62" s="32">
        <f t="shared" si="16"/>
        <v>0</v>
      </c>
    </row>
  </sheetData>
  <mergeCells count="9">
    <mergeCell ref="B54:I54"/>
    <mergeCell ref="B55:I55"/>
    <mergeCell ref="B2:H3"/>
    <mergeCell ref="N21:O21"/>
    <mergeCell ref="A2:A3"/>
    <mergeCell ref="K2:K3"/>
    <mergeCell ref="M11:N11"/>
    <mergeCell ref="B40:I40"/>
    <mergeCell ref="B41:I41"/>
  </mergeCells>
  <printOptions horizontalCentered="1"/>
  <pageMargins left="0.5" right="0.5" top="1" bottom="0.5" header="0.3" footer="0.511811023622047"/>
  <pageSetup paperSize="9" scale="23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2F5597"/>
    <pageSetUpPr fitToPage="1"/>
  </sheetPr>
  <dimension ref="A1:AB74"/>
  <sheetViews>
    <sheetView zoomScale="70" zoomScaleNormal="70" workbookViewId="0">
      <selection activeCell="J5" sqref="I5:J17"/>
    </sheetView>
  </sheetViews>
  <sheetFormatPr defaultColWidth="12.5" defaultRowHeight="12.75" x14ac:dyDescent="0.35"/>
  <cols>
    <col min="1" max="1" width="10.1875" style="10" customWidth="1"/>
    <col min="2" max="2" width="30.6875" style="10" customWidth="1"/>
    <col min="3" max="3" width="11.6875" style="10" customWidth="1"/>
    <col min="4" max="4" width="21.8125" style="10" customWidth="1"/>
    <col min="5" max="5" width="16.1875" style="10" customWidth="1"/>
    <col min="6" max="6" width="13" style="10" customWidth="1"/>
    <col min="7" max="7" width="12.6875" style="10" customWidth="1"/>
    <col min="8" max="8" width="20.25" style="10" customWidth="1"/>
    <col min="9" max="12" width="12.5" style="10"/>
    <col min="13" max="13" width="30.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56060</v>
      </c>
      <c r="F1" s="11" t="s">
        <v>55</v>
      </c>
      <c r="G1" s="15">
        <f>E1/C1</f>
        <v>1.8686666666666667</v>
      </c>
      <c r="H1" s="11" t="s">
        <v>56</v>
      </c>
      <c r="I1" s="16">
        <f>(G1/K1)</f>
        <v>1.8686666666666667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56060</v>
      </c>
      <c r="AA1" s="150" t="s">
        <v>207</v>
      </c>
      <c r="AB1" s="148">
        <v>0</v>
      </c>
    </row>
    <row r="2" spans="1:28" ht="12.75" customHeight="1" x14ac:dyDescent="0.35">
      <c r="A2" s="241"/>
      <c r="B2" s="241" t="s">
        <v>84</v>
      </c>
      <c r="C2" s="241"/>
      <c r="D2" s="241"/>
      <c r="E2" s="241"/>
      <c r="F2" s="241"/>
      <c r="G2" s="241"/>
      <c r="H2" s="241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82"/>
      <c r="C3" s="77"/>
      <c r="D3" s="77"/>
      <c r="E3" s="82"/>
      <c r="F3" s="82"/>
      <c r="G3" s="82"/>
      <c r="H3" s="82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ht="13.15" x14ac:dyDescent="0.35">
      <c r="B5" s="108" t="s">
        <v>5</v>
      </c>
      <c r="C5" s="25" t="s">
        <v>6</v>
      </c>
      <c r="D5" s="109">
        <v>8.33</v>
      </c>
      <c r="E5" s="27">
        <f t="shared" ref="E5:E17" si="0">$G$1</f>
        <v>1.8686666666666667</v>
      </c>
      <c r="F5" s="28">
        <v>1</v>
      </c>
      <c r="G5" s="29">
        <f t="shared" ref="G5:G17" si="1">D5*E5</f>
        <v>15.565993333333333</v>
      </c>
      <c r="H5" s="30">
        <f t="shared" ref="H5:H17" si="2">G5*F5</f>
        <v>15.565993333333333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15.565993333333333</v>
      </c>
      <c r="L5" s="25">
        <f>K5*J5</f>
        <v>89.504461666666671</v>
      </c>
    </row>
    <row r="6" spans="1:28" ht="13.15" x14ac:dyDescent="0.35">
      <c r="B6" s="108" t="s">
        <v>11</v>
      </c>
      <c r="C6" s="25" t="s">
        <v>213</v>
      </c>
      <c r="D6" s="26">
        <v>30000</v>
      </c>
      <c r="E6" s="27">
        <f t="shared" si="0"/>
        <v>1.8686666666666667</v>
      </c>
      <c r="F6" s="28">
        <v>1</v>
      </c>
      <c r="G6" s="29">
        <f t="shared" si="1"/>
        <v>56060</v>
      </c>
      <c r="H6" s="31">
        <f t="shared" si="2"/>
        <v>56060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56.06</v>
      </c>
      <c r="L6" s="25">
        <f t="shared" ref="L6:L9" si="3">K6*J6</f>
        <v>0</v>
      </c>
    </row>
    <row r="7" spans="1:28" ht="13.15" x14ac:dyDescent="0.35">
      <c r="B7" s="108" t="s">
        <v>16</v>
      </c>
      <c r="C7" s="25" t="s">
        <v>17</v>
      </c>
      <c r="D7" s="109">
        <v>300</v>
      </c>
      <c r="E7" s="27">
        <f t="shared" si="0"/>
        <v>1.8686666666666667</v>
      </c>
      <c r="F7" s="28">
        <v>1</v>
      </c>
      <c r="G7" s="29">
        <f t="shared" si="1"/>
        <v>560.6</v>
      </c>
      <c r="H7" s="32">
        <f t="shared" si="2"/>
        <v>560.6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0.56059999999999999</v>
      </c>
      <c r="L7" s="25">
        <f t="shared" si="3"/>
        <v>16.817999999999998</v>
      </c>
    </row>
    <row r="8" spans="1:28" ht="13.15" x14ac:dyDescent="0.35">
      <c r="B8" s="108" t="s">
        <v>22</v>
      </c>
      <c r="C8" s="25" t="s">
        <v>17</v>
      </c>
      <c r="D8" s="109">
        <v>400</v>
      </c>
      <c r="E8" s="27">
        <f t="shared" si="0"/>
        <v>1.8686666666666667</v>
      </c>
      <c r="F8" s="28">
        <v>1</v>
      </c>
      <c r="G8" s="29">
        <f t="shared" si="1"/>
        <v>747.4666666666667</v>
      </c>
      <c r="H8" s="32">
        <f t="shared" si="2"/>
        <v>747.4666666666667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0.74746666666666672</v>
      </c>
      <c r="L8" s="25">
        <f t="shared" si="3"/>
        <v>0.55312533333333336</v>
      </c>
    </row>
    <row r="9" spans="1:28" ht="13.15" x14ac:dyDescent="0.35">
      <c r="B9" s="108" t="s">
        <v>27</v>
      </c>
      <c r="C9" s="25" t="s">
        <v>17</v>
      </c>
      <c r="D9" s="109">
        <v>20</v>
      </c>
      <c r="E9" s="27">
        <f t="shared" si="0"/>
        <v>1.8686666666666667</v>
      </c>
      <c r="F9" s="28">
        <v>1</v>
      </c>
      <c r="G9" s="29">
        <f t="shared" si="1"/>
        <v>37.373333333333335</v>
      </c>
      <c r="H9" s="32">
        <f t="shared" si="2"/>
        <v>37.373333333333335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3.7373333333333335E-2</v>
      </c>
      <c r="L9" s="25">
        <f t="shared" si="3"/>
        <v>1.1585733333333335</v>
      </c>
    </row>
    <row r="10" spans="1:28" ht="13.15" x14ac:dyDescent="0.35">
      <c r="B10" s="108" t="s">
        <v>218</v>
      </c>
      <c r="C10" s="25" t="s">
        <v>17</v>
      </c>
      <c r="D10" s="109">
        <v>1200</v>
      </c>
      <c r="E10" s="27">
        <f t="shared" si="0"/>
        <v>1.8686666666666667</v>
      </c>
      <c r="F10" s="28">
        <v>1</v>
      </c>
      <c r="G10" s="29">
        <f t="shared" si="1"/>
        <v>2242.4</v>
      </c>
      <c r="H10" s="32">
        <f t="shared" si="2"/>
        <v>2242.4</v>
      </c>
      <c r="I10" s="12">
        <f>VLOOKUP(B10,Ordering!$A$1:$J$45,6,FALSE)</f>
        <v>1</v>
      </c>
      <c r="J10" s="12">
        <f>VLOOKUP(B10,Ordering!$A$1:$J$45,10,FALSE)</f>
        <v>8.1520833333333336</v>
      </c>
      <c r="K10" s="12">
        <f t="shared" ref="K10:K17" si="5">(H10/I10)/1000</f>
        <v>2.2423999999999999</v>
      </c>
      <c r="L10" s="25">
        <f t="shared" ref="L10:L17" si="6">K10*J10</f>
        <v>18.280231666666666</v>
      </c>
    </row>
    <row r="11" spans="1:28" ht="13.5" customHeight="1" x14ac:dyDescent="0.35">
      <c r="B11" s="108" t="s">
        <v>24</v>
      </c>
      <c r="C11" s="25" t="s">
        <v>17</v>
      </c>
      <c r="D11" s="109">
        <v>40</v>
      </c>
      <c r="E11" s="27">
        <f t="shared" si="0"/>
        <v>1.8686666666666667</v>
      </c>
      <c r="F11" s="28">
        <v>1</v>
      </c>
      <c r="G11" s="29">
        <f t="shared" si="1"/>
        <v>74.74666666666667</v>
      </c>
      <c r="H11" s="32">
        <f t="shared" si="2"/>
        <v>74.74666666666667</v>
      </c>
      <c r="I11" s="12">
        <f>VLOOKUP(B11,Ordering!$A$1:$J$45,6,FALSE)</f>
        <v>1</v>
      </c>
      <c r="J11" s="12">
        <f>VLOOKUP(B11,Ordering!$A$1:$J$45,10,FALSE)</f>
        <v>15.277777777777779</v>
      </c>
      <c r="K11" s="12">
        <f t="shared" si="5"/>
        <v>7.474666666666667E-2</v>
      </c>
      <c r="L11" s="25">
        <f t="shared" si="6"/>
        <v>1.1419629629629631</v>
      </c>
      <c r="M11" s="243" t="s">
        <v>84</v>
      </c>
      <c r="N11" s="242"/>
    </row>
    <row r="12" spans="1:28" ht="13.5" customHeight="1" x14ac:dyDescent="0.35">
      <c r="B12" s="108" t="s">
        <v>30</v>
      </c>
      <c r="C12" s="25" t="s">
        <v>17</v>
      </c>
      <c r="D12" s="109">
        <v>20</v>
      </c>
      <c r="E12" s="27">
        <f t="shared" si="0"/>
        <v>1.8686666666666667</v>
      </c>
      <c r="F12" s="28">
        <v>1</v>
      </c>
      <c r="G12" s="29">
        <f t="shared" si="1"/>
        <v>37.373333333333335</v>
      </c>
      <c r="H12" s="32">
        <f t="shared" si="2"/>
        <v>37.373333333333335</v>
      </c>
      <c r="I12" s="12">
        <f>VLOOKUP(B12,Ordering!$A$1:$J$45,6,FALSE)</f>
        <v>1</v>
      </c>
      <c r="J12" s="12">
        <f>VLOOKUP(B12,Ordering!$A$1:$J$45,10,FALSE)</f>
        <v>15</v>
      </c>
      <c r="K12" s="12">
        <f t="shared" si="5"/>
        <v>3.7373333333333335E-2</v>
      </c>
      <c r="L12" s="25">
        <f t="shared" si="6"/>
        <v>0.56059999999999999</v>
      </c>
      <c r="M12" s="205" t="s">
        <v>69</v>
      </c>
      <c r="N12" s="48" t="s">
        <v>70</v>
      </c>
    </row>
    <row r="13" spans="1:28" ht="13.5" customHeight="1" x14ac:dyDescent="0.35">
      <c r="B13" s="108" t="s">
        <v>32</v>
      </c>
      <c r="C13" s="25" t="s">
        <v>17</v>
      </c>
      <c r="D13" s="109">
        <v>10</v>
      </c>
      <c r="E13" s="27">
        <f t="shared" si="0"/>
        <v>1.8686666666666667</v>
      </c>
      <c r="F13" s="28">
        <v>1</v>
      </c>
      <c r="G13" s="29">
        <f t="shared" si="1"/>
        <v>18.686666666666667</v>
      </c>
      <c r="H13" s="32">
        <f t="shared" si="2"/>
        <v>18.686666666666667</v>
      </c>
      <c r="I13" s="12">
        <f>VLOOKUP(B13,Ordering!$A$1:$J$45,6,FALSE)</f>
        <v>1</v>
      </c>
      <c r="J13" s="12">
        <f>VLOOKUP(B13,Ordering!$A$1:$J$45,10,FALSE)</f>
        <v>15</v>
      </c>
      <c r="K13" s="12">
        <f t="shared" si="5"/>
        <v>1.8686666666666667E-2</v>
      </c>
      <c r="L13" s="25">
        <f t="shared" si="6"/>
        <v>0.28029999999999999</v>
      </c>
      <c r="M13" s="205" t="s">
        <v>72</v>
      </c>
      <c r="N13" s="130">
        <f>$Z$1</f>
        <v>56060</v>
      </c>
    </row>
    <row r="14" spans="1:28" ht="13.5" customHeight="1" x14ac:dyDescent="0.35">
      <c r="B14" s="108" t="s">
        <v>210</v>
      </c>
      <c r="C14" s="25" t="s">
        <v>17</v>
      </c>
      <c r="D14" s="109">
        <v>20</v>
      </c>
      <c r="E14" s="27">
        <f t="shared" si="0"/>
        <v>1.8686666666666667</v>
      </c>
      <c r="F14" s="28">
        <v>1</v>
      </c>
      <c r="G14" s="29">
        <f t="shared" si="1"/>
        <v>37.373333333333335</v>
      </c>
      <c r="H14" s="32">
        <f t="shared" si="2"/>
        <v>37.373333333333335</v>
      </c>
      <c r="I14" s="12">
        <f>VLOOKUP(B14,Ordering!$A$1:$J$45,6,FALSE)</f>
        <v>1</v>
      </c>
      <c r="J14" s="12">
        <f>VLOOKUP(B14,Ordering!$A$1:$J$45,10,FALSE)</f>
        <v>8</v>
      </c>
      <c r="K14" s="12">
        <f t="shared" si="5"/>
        <v>3.7373333333333335E-2</v>
      </c>
      <c r="L14" s="25">
        <f t="shared" si="6"/>
        <v>0.29898666666666668</v>
      </c>
      <c r="M14" s="205" t="s">
        <v>74</v>
      </c>
      <c r="N14" s="133">
        <f>$AB$1</f>
        <v>0</v>
      </c>
    </row>
    <row r="15" spans="1:28" ht="14.25" customHeight="1" x14ac:dyDescent="0.35">
      <c r="B15" s="108" t="s">
        <v>35</v>
      </c>
      <c r="C15" s="25" t="s">
        <v>17</v>
      </c>
      <c r="D15" s="109">
        <v>5</v>
      </c>
      <c r="E15" s="27">
        <f t="shared" si="0"/>
        <v>1.8686666666666667</v>
      </c>
      <c r="F15" s="28">
        <v>1</v>
      </c>
      <c r="G15" s="29">
        <f t="shared" si="1"/>
        <v>9.3433333333333337</v>
      </c>
      <c r="H15" s="32">
        <f t="shared" si="2"/>
        <v>9.3433333333333337</v>
      </c>
      <c r="I15" s="12">
        <f>VLOOKUP(B15,Ordering!$A$1:$J$45,6,FALSE)</f>
        <v>1</v>
      </c>
      <c r="J15" s="12">
        <f>VLOOKUP(B15,Ordering!$A$1:$J$45,10,FALSE)</f>
        <v>14</v>
      </c>
      <c r="K15" s="12">
        <f t="shared" si="5"/>
        <v>9.3433333333333337E-3</v>
      </c>
      <c r="L15" s="25">
        <f t="shared" si="6"/>
        <v>0.13080666666666668</v>
      </c>
      <c r="M15" s="205" t="s">
        <v>71</v>
      </c>
      <c r="N15" s="52">
        <f>N13+N14</f>
        <v>56060</v>
      </c>
    </row>
    <row r="16" spans="1:28" ht="14.25" customHeight="1" x14ac:dyDescent="0.35">
      <c r="B16" s="108" t="s">
        <v>49</v>
      </c>
      <c r="C16" s="25" t="s">
        <v>17</v>
      </c>
      <c r="D16" s="109">
        <v>6000</v>
      </c>
      <c r="E16" s="27">
        <f t="shared" si="0"/>
        <v>1.8686666666666667</v>
      </c>
      <c r="F16" s="28">
        <v>1</v>
      </c>
      <c r="G16" s="29">
        <f t="shared" si="1"/>
        <v>11212</v>
      </c>
      <c r="H16" s="32">
        <f t="shared" si="2"/>
        <v>11212</v>
      </c>
      <c r="I16" s="12">
        <f>VLOOKUP(B16,Ordering!$A$1:$J$45,6,FALSE)</f>
        <v>0.9</v>
      </c>
      <c r="J16" s="12">
        <f>VLOOKUP(B16,Ordering!$A$1:$J$45,10,FALSE)</f>
        <v>3</v>
      </c>
      <c r="K16" s="12">
        <f t="shared" si="5"/>
        <v>12.457777777777777</v>
      </c>
      <c r="L16" s="25">
        <f t="shared" si="6"/>
        <v>37.373333333333328</v>
      </c>
    </row>
    <row r="17" spans="2:15" ht="13.5" customHeight="1" x14ac:dyDescent="0.35">
      <c r="B17" s="24" t="s">
        <v>104</v>
      </c>
      <c r="C17" s="25" t="s">
        <v>213</v>
      </c>
      <c r="D17" s="26">
        <v>200</v>
      </c>
      <c r="E17" s="27">
        <f t="shared" si="0"/>
        <v>1.8686666666666667</v>
      </c>
      <c r="F17" s="28">
        <v>1</v>
      </c>
      <c r="G17" s="29">
        <f t="shared" si="1"/>
        <v>373.73333333333335</v>
      </c>
      <c r="H17" s="32">
        <f t="shared" si="2"/>
        <v>373.73333333333335</v>
      </c>
      <c r="I17" s="12">
        <f>VLOOKUP(B17,Ordering!$A$1:$J$45,6,FALSE)</f>
        <v>1</v>
      </c>
      <c r="J17" s="12">
        <f>VLOOKUP(B17,Ordering!$A$1:$J$45,10,FALSE)</f>
        <v>22.666666666666668</v>
      </c>
      <c r="K17" s="12">
        <f t="shared" si="5"/>
        <v>0.37373333333333336</v>
      </c>
      <c r="L17" s="25">
        <f t="shared" si="6"/>
        <v>8.4712888888888891</v>
      </c>
    </row>
    <row r="18" spans="2:15" x14ac:dyDescent="0.35">
      <c r="B18" s="40"/>
      <c r="C18" s="41"/>
      <c r="D18" s="42"/>
      <c r="E18" s="43"/>
      <c r="F18" s="44"/>
      <c r="G18" s="45"/>
      <c r="H18" s="46"/>
      <c r="I18" s="18"/>
      <c r="J18" s="18"/>
      <c r="K18" s="18"/>
    </row>
    <row r="19" spans="2:15" ht="13.5" x14ac:dyDescent="0.35">
      <c r="B19" s="47"/>
      <c r="C19" s="47" t="s">
        <v>55</v>
      </c>
      <c r="D19" s="47" t="s">
        <v>68</v>
      </c>
      <c r="E19" s="18"/>
      <c r="F19" s="18"/>
      <c r="I19" s="18"/>
      <c r="J19" s="18"/>
      <c r="K19" s="18"/>
    </row>
    <row r="20" spans="2:15" ht="13.5" customHeight="1" x14ac:dyDescent="0.35">
      <c r="B20" s="48" t="s">
        <v>71</v>
      </c>
      <c r="C20" s="49">
        <f>I1</f>
        <v>1.8686666666666667</v>
      </c>
      <c r="D20" s="50">
        <f>E1</f>
        <v>56060</v>
      </c>
      <c r="G20" s="18"/>
      <c r="I20" s="18"/>
      <c r="J20" s="18"/>
      <c r="K20" s="18"/>
    </row>
    <row r="21" spans="2:15" ht="13.5" customHeight="1" x14ac:dyDescent="0.35">
      <c r="B21" s="48" t="s">
        <v>73</v>
      </c>
      <c r="C21" s="51">
        <f>MIN($C$20,1)</f>
        <v>1</v>
      </c>
      <c r="D21" s="50">
        <f>C21*$C$1</f>
        <v>30000</v>
      </c>
      <c r="E21" s="18"/>
      <c r="F21" s="18"/>
      <c r="G21" s="18"/>
      <c r="J21" s="18"/>
      <c r="K21" s="18"/>
    </row>
    <row r="22" spans="2:15" ht="13.5" customHeight="1" x14ac:dyDescent="0.35">
      <c r="B22" s="48" t="s">
        <v>75</v>
      </c>
      <c r="C22" s="51">
        <f>MIN(MAX($C$20-C21,0),30)</f>
        <v>0.8686666666666667</v>
      </c>
      <c r="D22" s="50">
        <f>C22*$C$1</f>
        <v>26060</v>
      </c>
      <c r="E22" s="18"/>
      <c r="F22" s="18"/>
      <c r="G22" s="18"/>
    </row>
    <row r="23" spans="2:15" ht="13.5" customHeight="1" x14ac:dyDescent="0.35">
      <c r="B23" s="48"/>
      <c r="C23" s="66">
        <f>MIN(MAX($C$20-C21-C22,0),10)</f>
        <v>0</v>
      </c>
      <c r="D23" s="67">
        <f>C23*$K$1</f>
        <v>0</v>
      </c>
      <c r="E23" s="18"/>
      <c r="F23" s="18"/>
      <c r="G23" s="18"/>
    </row>
    <row r="24" spans="2:15" ht="13.5" customHeight="1" x14ac:dyDescent="0.35">
      <c r="B24" s="18"/>
      <c r="E24" s="18"/>
      <c r="F24" s="18"/>
      <c r="G24" s="18"/>
    </row>
    <row r="26" spans="2:15" ht="18" customHeight="1" x14ac:dyDescent="0.35"/>
    <row r="28" spans="2:15" ht="13.5" x14ac:dyDescent="0.35">
      <c r="N28" s="245"/>
      <c r="O28" s="245"/>
    </row>
    <row r="40" spans="1:9" ht="17.649999999999999" x14ac:dyDescent="0.35">
      <c r="A40" s="134"/>
      <c r="B40" s="240" t="str">
        <f>"    رز صيادية   1 / " &amp; COUNTIF($C$21:$C$23, "&gt;0")</f>
        <v xml:space="preserve">    رز صيادية   1 / 2</v>
      </c>
      <c r="C40" s="240"/>
      <c r="D40" s="240"/>
      <c r="E40" s="240"/>
      <c r="F40" s="240"/>
      <c r="G40" s="240"/>
      <c r="H40" s="240"/>
      <c r="I40" s="240"/>
    </row>
    <row r="41" spans="1:9" ht="17.649999999999999" x14ac:dyDescent="0.35">
      <c r="A41" s="134"/>
      <c r="B41" s="240" t="str">
        <f>"  Sayadieh Rice   1 / " &amp; COUNTIF($C$21:$C$23, "&gt;0")</f>
        <v xml:space="preserve">  Sayadieh Rice   1 / 2</v>
      </c>
      <c r="C41" s="240"/>
      <c r="D41" s="240"/>
      <c r="E41" s="240"/>
      <c r="F41" s="240"/>
      <c r="G41" s="240"/>
      <c r="H41" s="240"/>
      <c r="I41" s="240"/>
    </row>
    <row r="42" spans="1:9" ht="78.75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ht="13.5" customHeight="1" x14ac:dyDescent="0.35">
      <c r="B43" s="86" t="str">
        <f t="shared" ref="B43:D55" si="7">B5</f>
        <v>Rice - رز</v>
      </c>
      <c r="C43" s="86" t="str">
        <f t="shared" si="7"/>
        <v>KG</v>
      </c>
      <c r="D43" s="86">
        <f t="shared" si="7"/>
        <v>8.33</v>
      </c>
      <c r="E43" s="87">
        <f t="shared" ref="E43:E55" si="8">$C$21</f>
        <v>1</v>
      </c>
      <c r="F43" s="88">
        <f t="shared" ref="F43:F55" si="9">$D$21</f>
        <v>30000</v>
      </c>
      <c r="G43" s="89">
        <f t="shared" ref="G43:G55" si="10">F5</f>
        <v>1</v>
      </c>
      <c r="H43" s="107">
        <f t="shared" ref="H43:H55" si="11">D43*E43</f>
        <v>8.33</v>
      </c>
      <c r="I43" s="90">
        <f t="shared" ref="I43:I55" si="12">H43*G43</f>
        <v>8.33</v>
      </c>
    </row>
    <row r="44" spans="1:9" ht="18" customHeight="1" x14ac:dyDescent="0.35">
      <c r="B44" s="86" t="str">
        <f t="shared" si="7"/>
        <v>Water - ماء</v>
      </c>
      <c r="C44" s="86" t="str">
        <f t="shared" si="7"/>
        <v>ml</v>
      </c>
      <c r="D44" s="86">
        <f t="shared" si="7"/>
        <v>30000</v>
      </c>
      <c r="E44" s="87">
        <f t="shared" si="8"/>
        <v>1</v>
      </c>
      <c r="F44" s="88">
        <f t="shared" si="9"/>
        <v>30000</v>
      </c>
      <c r="G44" s="89">
        <f t="shared" si="10"/>
        <v>1</v>
      </c>
      <c r="H44" s="107">
        <f t="shared" si="11"/>
        <v>30000</v>
      </c>
      <c r="I44" s="90">
        <f t="shared" si="12"/>
        <v>30000</v>
      </c>
    </row>
    <row r="45" spans="1:9" ht="18" customHeight="1" x14ac:dyDescent="0.35">
      <c r="B45" s="86" t="str">
        <f t="shared" si="7"/>
        <v>Butter - زبدة</v>
      </c>
      <c r="C45" s="86" t="str">
        <f t="shared" si="7"/>
        <v>gm</v>
      </c>
      <c r="D45" s="86">
        <f t="shared" si="7"/>
        <v>300</v>
      </c>
      <c r="E45" s="57">
        <f t="shared" si="8"/>
        <v>1</v>
      </c>
      <c r="F45" s="58">
        <f t="shared" si="9"/>
        <v>30000</v>
      </c>
      <c r="G45" s="89">
        <f t="shared" si="10"/>
        <v>1</v>
      </c>
      <c r="H45" s="107">
        <f t="shared" si="11"/>
        <v>300</v>
      </c>
      <c r="I45" s="90">
        <f t="shared" si="12"/>
        <v>300</v>
      </c>
    </row>
    <row r="46" spans="1:9" x14ac:dyDescent="0.35">
      <c r="B46" s="86" t="str">
        <f t="shared" si="7"/>
        <v>Salt - ملح</v>
      </c>
      <c r="C46" s="86" t="str">
        <f t="shared" si="7"/>
        <v>gm</v>
      </c>
      <c r="D46" s="86">
        <f t="shared" si="7"/>
        <v>400</v>
      </c>
      <c r="E46" s="57">
        <f t="shared" si="8"/>
        <v>1</v>
      </c>
      <c r="F46" s="58">
        <f t="shared" si="9"/>
        <v>30000</v>
      </c>
      <c r="G46" s="89">
        <f t="shared" si="10"/>
        <v>1</v>
      </c>
      <c r="H46" s="107">
        <f t="shared" si="11"/>
        <v>400</v>
      </c>
      <c r="I46" s="90">
        <f t="shared" si="12"/>
        <v>400</v>
      </c>
    </row>
    <row r="47" spans="1:9" x14ac:dyDescent="0.35">
      <c r="B47" s="86" t="str">
        <f t="shared" si="7"/>
        <v>Cardamom Whole - هيل حب</v>
      </c>
      <c r="C47" s="86" t="str">
        <f t="shared" si="7"/>
        <v>gm</v>
      </c>
      <c r="D47" s="86">
        <f t="shared" si="7"/>
        <v>20</v>
      </c>
      <c r="E47" s="57">
        <f t="shared" si="8"/>
        <v>1</v>
      </c>
      <c r="F47" s="58">
        <f t="shared" si="9"/>
        <v>30000</v>
      </c>
      <c r="G47" s="89">
        <f t="shared" si="10"/>
        <v>1</v>
      </c>
      <c r="H47" s="107">
        <f t="shared" si="11"/>
        <v>20</v>
      </c>
      <c r="I47" s="90">
        <f t="shared" si="12"/>
        <v>20</v>
      </c>
    </row>
    <row r="48" spans="1:9" x14ac:dyDescent="0.35">
      <c r="B48" s="86" t="str">
        <f t="shared" si="7"/>
        <v>Tomato Paste - صلصة طماطم</v>
      </c>
      <c r="C48" s="86" t="str">
        <f t="shared" si="7"/>
        <v>gm</v>
      </c>
      <c r="D48" s="86">
        <f t="shared" si="7"/>
        <v>1200</v>
      </c>
      <c r="E48" s="57">
        <f t="shared" si="8"/>
        <v>1</v>
      </c>
      <c r="F48" s="58">
        <f t="shared" si="9"/>
        <v>30000</v>
      </c>
      <c r="G48" s="89">
        <f t="shared" si="10"/>
        <v>1</v>
      </c>
      <c r="H48" s="107">
        <f t="shared" si="11"/>
        <v>1200</v>
      </c>
      <c r="I48" s="90">
        <f t="shared" si="12"/>
        <v>1200</v>
      </c>
    </row>
    <row r="49" spans="1:9" x14ac:dyDescent="0.35">
      <c r="B49" s="86" t="str">
        <f t="shared" si="7"/>
        <v>Maggi Cubes - مكعبات ماجي</v>
      </c>
      <c r="C49" s="86" t="str">
        <f t="shared" si="7"/>
        <v>gm</v>
      </c>
      <c r="D49" s="86">
        <f t="shared" si="7"/>
        <v>40</v>
      </c>
      <c r="E49" s="57">
        <f t="shared" si="8"/>
        <v>1</v>
      </c>
      <c r="F49" s="58">
        <f t="shared" si="9"/>
        <v>30000</v>
      </c>
      <c r="G49" s="89">
        <f t="shared" si="10"/>
        <v>1</v>
      </c>
      <c r="H49" s="107">
        <f t="shared" si="11"/>
        <v>40</v>
      </c>
      <c r="I49" s="90">
        <f t="shared" si="12"/>
        <v>40</v>
      </c>
    </row>
    <row r="50" spans="1:9" x14ac:dyDescent="0.35">
      <c r="B50" s="86" t="str">
        <f t="shared" si="7"/>
        <v>Cumin Powder - كمون مطحون</v>
      </c>
      <c r="C50" s="86" t="str">
        <f t="shared" si="7"/>
        <v>gm</v>
      </c>
      <c r="D50" s="86">
        <f t="shared" si="7"/>
        <v>20</v>
      </c>
      <c r="E50" s="57">
        <f t="shared" si="8"/>
        <v>1</v>
      </c>
      <c r="F50" s="58">
        <f t="shared" si="9"/>
        <v>30000</v>
      </c>
      <c r="G50" s="89">
        <f t="shared" si="10"/>
        <v>1</v>
      </c>
      <c r="H50" s="107">
        <f t="shared" si="11"/>
        <v>20</v>
      </c>
      <c r="I50" s="90">
        <f t="shared" si="12"/>
        <v>20</v>
      </c>
    </row>
    <row r="51" spans="1:9" x14ac:dyDescent="0.35">
      <c r="B51" s="86" t="str">
        <f t="shared" si="7"/>
        <v>Coriander Powder - كزبرة مطحونة</v>
      </c>
      <c r="C51" s="86" t="str">
        <f t="shared" si="7"/>
        <v>gm</v>
      </c>
      <c r="D51" s="86">
        <f t="shared" si="7"/>
        <v>10</v>
      </c>
      <c r="E51" s="57">
        <f t="shared" si="8"/>
        <v>1</v>
      </c>
      <c r="F51" s="58">
        <f t="shared" si="9"/>
        <v>30000</v>
      </c>
      <c r="G51" s="89">
        <f t="shared" si="10"/>
        <v>1</v>
      </c>
      <c r="H51" s="107">
        <f t="shared" si="11"/>
        <v>10</v>
      </c>
      <c r="I51" s="90">
        <f t="shared" si="12"/>
        <v>10</v>
      </c>
    </row>
    <row r="52" spans="1:9" x14ac:dyDescent="0.35">
      <c r="B52" s="86" t="str">
        <f t="shared" si="7"/>
        <v>Cinnamon Powder - قرفة مطحونة</v>
      </c>
      <c r="C52" s="86" t="str">
        <f t="shared" si="7"/>
        <v>gm</v>
      </c>
      <c r="D52" s="86">
        <f t="shared" si="7"/>
        <v>20</v>
      </c>
      <c r="E52" s="57">
        <f t="shared" si="8"/>
        <v>1</v>
      </c>
      <c r="F52" s="58">
        <f t="shared" si="9"/>
        <v>30000</v>
      </c>
      <c r="G52" s="89">
        <f t="shared" si="10"/>
        <v>1</v>
      </c>
      <c r="H52" s="107">
        <f t="shared" si="11"/>
        <v>20</v>
      </c>
      <c r="I52" s="90">
        <f t="shared" si="12"/>
        <v>20</v>
      </c>
    </row>
    <row r="53" spans="1:9" x14ac:dyDescent="0.35">
      <c r="B53" s="86" t="str">
        <f t="shared" si="7"/>
        <v>Black Pepper Powder - فلفل أسود مطحون</v>
      </c>
      <c r="C53" s="86" t="str">
        <f t="shared" si="7"/>
        <v>gm</v>
      </c>
      <c r="D53" s="86">
        <f t="shared" si="7"/>
        <v>5</v>
      </c>
      <c r="E53" s="57">
        <f t="shared" si="8"/>
        <v>1</v>
      </c>
      <c r="F53" s="58">
        <f t="shared" si="9"/>
        <v>30000</v>
      </c>
      <c r="G53" s="89">
        <f t="shared" si="10"/>
        <v>1</v>
      </c>
      <c r="H53" s="107">
        <f t="shared" si="11"/>
        <v>5</v>
      </c>
      <c r="I53" s="90">
        <f t="shared" si="12"/>
        <v>5</v>
      </c>
    </row>
    <row r="54" spans="1:9" x14ac:dyDescent="0.35">
      <c r="B54" s="86" t="str">
        <f t="shared" si="7"/>
        <v>Onion - بصل</v>
      </c>
      <c r="C54" s="86" t="str">
        <f t="shared" si="7"/>
        <v>gm</v>
      </c>
      <c r="D54" s="86">
        <f t="shared" si="7"/>
        <v>6000</v>
      </c>
      <c r="E54" s="57">
        <f t="shared" si="8"/>
        <v>1</v>
      </c>
      <c r="F54" s="58">
        <f t="shared" si="9"/>
        <v>30000</v>
      </c>
      <c r="G54" s="89">
        <f t="shared" si="10"/>
        <v>1</v>
      </c>
      <c r="H54" s="107">
        <f t="shared" si="11"/>
        <v>6000</v>
      </c>
      <c r="I54" s="90">
        <f t="shared" si="12"/>
        <v>6000</v>
      </c>
    </row>
    <row r="55" spans="1:9" x14ac:dyDescent="0.35">
      <c r="B55" s="86" t="str">
        <f t="shared" si="7"/>
        <v>Sweet Soy Sauce - صويا صوص حلو</v>
      </c>
      <c r="C55" s="86" t="str">
        <f t="shared" si="7"/>
        <v>ml</v>
      </c>
      <c r="D55" s="86">
        <f t="shared" si="7"/>
        <v>200</v>
      </c>
      <c r="E55" s="87">
        <f t="shared" si="8"/>
        <v>1</v>
      </c>
      <c r="F55" s="88">
        <f t="shared" si="9"/>
        <v>30000</v>
      </c>
      <c r="G55" s="89">
        <f t="shared" si="10"/>
        <v>1</v>
      </c>
      <c r="H55" s="107">
        <f t="shared" si="11"/>
        <v>200</v>
      </c>
      <c r="I55" s="90">
        <f t="shared" si="12"/>
        <v>200</v>
      </c>
    </row>
    <row r="56" spans="1:9" x14ac:dyDescent="0.35">
      <c r="B56" s="18"/>
      <c r="E56" s="18"/>
      <c r="F56" s="18"/>
      <c r="H56" s="103"/>
    </row>
    <row r="58" spans="1:9" x14ac:dyDescent="0.35">
      <c r="B58" s="18"/>
      <c r="E58" s="18"/>
      <c r="F58" s="18"/>
    </row>
    <row r="59" spans="1:9" ht="17.649999999999999" x14ac:dyDescent="0.35">
      <c r="A59" s="134"/>
      <c r="B59" s="240" t="str">
        <f>"    رز صيادية   2 / " &amp; COUNTIF($C$21:$C$23, "&gt;0")</f>
        <v xml:space="preserve">    رز صيادية   2 / 2</v>
      </c>
      <c r="C59" s="240"/>
      <c r="D59" s="240"/>
      <c r="E59" s="240"/>
      <c r="F59" s="240"/>
      <c r="G59" s="240"/>
      <c r="H59" s="240"/>
      <c r="I59" s="240"/>
    </row>
    <row r="60" spans="1:9" ht="17.649999999999999" x14ac:dyDescent="0.35">
      <c r="A60" s="134"/>
      <c r="B60" s="240" t="str">
        <f>"  Sayadieh Rice   2 / " &amp; COUNTIF($C$21:$C$23, "&gt;0")</f>
        <v xml:space="preserve">  Sayadieh Rice   2 / 2</v>
      </c>
      <c r="C60" s="240"/>
      <c r="D60" s="240"/>
      <c r="E60" s="240"/>
      <c r="F60" s="240"/>
      <c r="G60" s="240"/>
      <c r="H60" s="240"/>
      <c r="I60" s="240"/>
    </row>
    <row r="61" spans="1:9" ht="66" customHeight="1" x14ac:dyDescent="0.35">
      <c r="B61" s="19" t="s">
        <v>60</v>
      </c>
      <c r="C61" s="20" t="s">
        <v>61</v>
      </c>
      <c r="D61" s="19" t="s">
        <v>62</v>
      </c>
      <c r="E61" s="21" t="s">
        <v>63</v>
      </c>
      <c r="F61" s="55" t="s">
        <v>77</v>
      </c>
      <c r="G61" s="21" t="s">
        <v>64</v>
      </c>
      <c r="H61" s="104" t="s">
        <v>65</v>
      </c>
      <c r="I61" s="23" t="s">
        <v>66</v>
      </c>
    </row>
    <row r="62" spans="1:9" x14ac:dyDescent="0.35">
      <c r="B62" s="24" t="str">
        <f t="shared" ref="B62:D74" si="13">B5</f>
        <v>Rice - رز</v>
      </c>
      <c r="C62" s="24" t="str">
        <f t="shared" si="13"/>
        <v>KG</v>
      </c>
      <c r="D62" s="24">
        <f t="shared" si="13"/>
        <v>8.33</v>
      </c>
      <c r="E62" s="27">
        <f t="shared" ref="E62:E74" si="14">$C$22</f>
        <v>0.8686666666666667</v>
      </c>
      <c r="F62" s="68">
        <f t="shared" ref="F62:F74" si="15">$D$22</f>
        <v>26060</v>
      </c>
      <c r="G62" s="28">
        <f t="shared" ref="G62:G74" si="16">F5</f>
        <v>1</v>
      </c>
      <c r="H62" s="84">
        <f t="shared" ref="H62:H74" si="17">D62*E62</f>
        <v>7.2359933333333339</v>
      </c>
      <c r="I62" s="32">
        <f t="shared" ref="I62:I74" si="18">H62*G62</f>
        <v>7.2359933333333339</v>
      </c>
    </row>
    <row r="63" spans="1:9" x14ac:dyDescent="0.35">
      <c r="B63" s="24" t="str">
        <f t="shared" si="13"/>
        <v>Water - ماء</v>
      </c>
      <c r="C63" s="24" t="str">
        <f t="shared" si="13"/>
        <v>ml</v>
      </c>
      <c r="D63" s="24">
        <f t="shared" si="13"/>
        <v>30000</v>
      </c>
      <c r="E63" s="27">
        <f t="shared" si="14"/>
        <v>0.8686666666666667</v>
      </c>
      <c r="F63" s="68">
        <f t="shared" si="15"/>
        <v>26060</v>
      </c>
      <c r="G63" s="28">
        <f t="shared" si="16"/>
        <v>1</v>
      </c>
      <c r="H63" s="84">
        <f t="shared" si="17"/>
        <v>26060</v>
      </c>
      <c r="I63" s="32">
        <f t="shared" si="18"/>
        <v>26060</v>
      </c>
    </row>
    <row r="64" spans="1:9" x14ac:dyDescent="0.35">
      <c r="B64" s="24" t="str">
        <f t="shared" si="13"/>
        <v>Butter - زبدة</v>
      </c>
      <c r="C64" s="24" t="str">
        <f t="shared" si="13"/>
        <v>gm</v>
      </c>
      <c r="D64" s="24">
        <f t="shared" si="13"/>
        <v>300</v>
      </c>
      <c r="E64" s="27">
        <f t="shared" si="14"/>
        <v>0.8686666666666667</v>
      </c>
      <c r="F64" s="68">
        <f t="shared" si="15"/>
        <v>26060</v>
      </c>
      <c r="G64" s="28">
        <f t="shared" si="16"/>
        <v>1</v>
      </c>
      <c r="H64" s="84">
        <f t="shared" si="17"/>
        <v>260.60000000000002</v>
      </c>
      <c r="I64" s="32">
        <f t="shared" si="18"/>
        <v>260.60000000000002</v>
      </c>
    </row>
    <row r="65" spans="2:9" x14ac:dyDescent="0.35">
      <c r="B65" s="24" t="str">
        <f t="shared" si="13"/>
        <v>Salt - ملح</v>
      </c>
      <c r="C65" s="24" t="str">
        <f t="shared" si="13"/>
        <v>gm</v>
      </c>
      <c r="D65" s="24">
        <f t="shared" si="13"/>
        <v>400</v>
      </c>
      <c r="E65" s="27">
        <f t="shared" si="14"/>
        <v>0.8686666666666667</v>
      </c>
      <c r="F65" s="68">
        <f t="shared" si="15"/>
        <v>26060</v>
      </c>
      <c r="G65" s="28">
        <f t="shared" si="16"/>
        <v>1</v>
      </c>
      <c r="H65" s="84">
        <f t="shared" si="17"/>
        <v>347.4666666666667</v>
      </c>
      <c r="I65" s="32">
        <f t="shared" si="18"/>
        <v>347.4666666666667</v>
      </c>
    </row>
    <row r="66" spans="2:9" x14ac:dyDescent="0.35">
      <c r="B66" s="24" t="str">
        <f t="shared" si="13"/>
        <v>Cardamom Whole - هيل حب</v>
      </c>
      <c r="C66" s="24" t="str">
        <f t="shared" si="13"/>
        <v>gm</v>
      </c>
      <c r="D66" s="24">
        <f t="shared" si="13"/>
        <v>20</v>
      </c>
      <c r="E66" s="27">
        <f t="shared" si="14"/>
        <v>0.8686666666666667</v>
      </c>
      <c r="F66" s="68">
        <f t="shared" si="15"/>
        <v>26060</v>
      </c>
      <c r="G66" s="28">
        <f t="shared" si="16"/>
        <v>1</v>
      </c>
      <c r="H66" s="84">
        <f t="shared" si="17"/>
        <v>17.373333333333335</v>
      </c>
      <c r="I66" s="32">
        <f t="shared" si="18"/>
        <v>17.373333333333335</v>
      </c>
    </row>
    <row r="67" spans="2:9" x14ac:dyDescent="0.35">
      <c r="B67" s="24" t="str">
        <f t="shared" si="13"/>
        <v>Tomato Paste - صلصة طماطم</v>
      </c>
      <c r="C67" s="24" t="str">
        <f t="shared" si="13"/>
        <v>gm</v>
      </c>
      <c r="D67" s="24">
        <f t="shared" si="13"/>
        <v>1200</v>
      </c>
      <c r="E67" s="27">
        <f t="shared" si="14"/>
        <v>0.8686666666666667</v>
      </c>
      <c r="F67" s="68">
        <f t="shared" si="15"/>
        <v>26060</v>
      </c>
      <c r="G67" s="28">
        <f t="shared" si="16"/>
        <v>1</v>
      </c>
      <c r="H67" s="84">
        <f t="shared" si="17"/>
        <v>1042.4000000000001</v>
      </c>
      <c r="I67" s="32">
        <f t="shared" si="18"/>
        <v>1042.4000000000001</v>
      </c>
    </row>
    <row r="68" spans="2:9" x14ac:dyDescent="0.35">
      <c r="B68" s="24" t="str">
        <f t="shared" si="13"/>
        <v>Maggi Cubes - مكعبات ماجي</v>
      </c>
      <c r="C68" s="24" t="str">
        <f t="shared" si="13"/>
        <v>gm</v>
      </c>
      <c r="D68" s="24">
        <f t="shared" si="13"/>
        <v>40</v>
      </c>
      <c r="E68" s="27">
        <f t="shared" si="14"/>
        <v>0.8686666666666667</v>
      </c>
      <c r="F68" s="68">
        <f t="shared" si="15"/>
        <v>26060</v>
      </c>
      <c r="G68" s="28">
        <f t="shared" si="16"/>
        <v>1</v>
      </c>
      <c r="H68" s="84">
        <f t="shared" si="17"/>
        <v>34.74666666666667</v>
      </c>
      <c r="I68" s="32">
        <f t="shared" si="18"/>
        <v>34.74666666666667</v>
      </c>
    </row>
    <row r="69" spans="2:9" x14ac:dyDescent="0.35">
      <c r="B69" s="24" t="str">
        <f t="shared" si="13"/>
        <v>Cumin Powder - كمون مطحون</v>
      </c>
      <c r="C69" s="24" t="str">
        <f t="shared" si="13"/>
        <v>gm</v>
      </c>
      <c r="D69" s="24">
        <f t="shared" si="13"/>
        <v>20</v>
      </c>
      <c r="E69" s="27">
        <f t="shared" si="14"/>
        <v>0.8686666666666667</v>
      </c>
      <c r="F69" s="68">
        <f t="shared" si="15"/>
        <v>26060</v>
      </c>
      <c r="G69" s="28">
        <f t="shared" si="16"/>
        <v>1</v>
      </c>
      <c r="H69" s="84">
        <f t="shared" si="17"/>
        <v>17.373333333333335</v>
      </c>
      <c r="I69" s="32">
        <f t="shared" si="18"/>
        <v>17.373333333333335</v>
      </c>
    </row>
    <row r="70" spans="2:9" x14ac:dyDescent="0.35">
      <c r="B70" s="24" t="str">
        <f t="shared" si="13"/>
        <v>Coriander Powder - كزبرة مطحونة</v>
      </c>
      <c r="C70" s="24" t="str">
        <f t="shared" si="13"/>
        <v>gm</v>
      </c>
      <c r="D70" s="24">
        <f t="shared" si="13"/>
        <v>10</v>
      </c>
      <c r="E70" s="27">
        <f t="shared" si="14"/>
        <v>0.8686666666666667</v>
      </c>
      <c r="F70" s="68">
        <f t="shared" si="15"/>
        <v>26060</v>
      </c>
      <c r="G70" s="28">
        <f t="shared" si="16"/>
        <v>1</v>
      </c>
      <c r="H70" s="84">
        <f t="shared" si="17"/>
        <v>8.6866666666666674</v>
      </c>
      <c r="I70" s="32">
        <f t="shared" si="18"/>
        <v>8.6866666666666674</v>
      </c>
    </row>
    <row r="71" spans="2:9" x14ac:dyDescent="0.35">
      <c r="B71" s="24" t="str">
        <f t="shared" si="13"/>
        <v>Cinnamon Powder - قرفة مطحونة</v>
      </c>
      <c r="C71" s="24" t="str">
        <f t="shared" si="13"/>
        <v>gm</v>
      </c>
      <c r="D71" s="24">
        <f t="shared" si="13"/>
        <v>20</v>
      </c>
      <c r="E71" s="27">
        <f t="shared" si="14"/>
        <v>0.8686666666666667</v>
      </c>
      <c r="F71" s="68">
        <f t="shared" si="15"/>
        <v>26060</v>
      </c>
      <c r="G71" s="28">
        <f t="shared" si="16"/>
        <v>1</v>
      </c>
      <c r="H71" s="84">
        <f t="shared" si="17"/>
        <v>17.373333333333335</v>
      </c>
      <c r="I71" s="32">
        <f t="shared" si="18"/>
        <v>17.373333333333335</v>
      </c>
    </row>
    <row r="72" spans="2:9" x14ac:dyDescent="0.35">
      <c r="B72" s="24" t="str">
        <f t="shared" si="13"/>
        <v>Black Pepper Powder - فلفل أسود مطحون</v>
      </c>
      <c r="C72" s="24" t="str">
        <f t="shared" si="13"/>
        <v>gm</v>
      </c>
      <c r="D72" s="24">
        <f t="shared" si="13"/>
        <v>5</v>
      </c>
      <c r="E72" s="27">
        <f t="shared" si="14"/>
        <v>0.8686666666666667</v>
      </c>
      <c r="F72" s="68">
        <f t="shared" si="15"/>
        <v>26060</v>
      </c>
      <c r="G72" s="28">
        <f t="shared" si="16"/>
        <v>1</v>
      </c>
      <c r="H72" s="84">
        <f t="shared" si="17"/>
        <v>4.3433333333333337</v>
      </c>
      <c r="I72" s="32">
        <f t="shared" si="18"/>
        <v>4.3433333333333337</v>
      </c>
    </row>
    <row r="73" spans="2:9" x14ac:dyDescent="0.35">
      <c r="B73" s="24" t="str">
        <f t="shared" si="13"/>
        <v>Onion - بصل</v>
      </c>
      <c r="C73" s="24" t="str">
        <f t="shared" si="13"/>
        <v>gm</v>
      </c>
      <c r="D73" s="24">
        <f t="shared" si="13"/>
        <v>6000</v>
      </c>
      <c r="E73" s="27">
        <f t="shared" si="14"/>
        <v>0.8686666666666667</v>
      </c>
      <c r="F73" s="68">
        <f t="shared" si="15"/>
        <v>26060</v>
      </c>
      <c r="G73" s="28">
        <f t="shared" si="16"/>
        <v>1</v>
      </c>
      <c r="H73" s="84">
        <f t="shared" si="17"/>
        <v>5212</v>
      </c>
      <c r="I73" s="32">
        <f t="shared" si="18"/>
        <v>5212</v>
      </c>
    </row>
    <row r="74" spans="2:9" x14ac:dyDescent="0.35">
      <c r="B74" s="24" t="str">
        <f t="shared" si="13"/>
        <v>Sweet Soy Sauce - صويا صوص حلو</v>
      </c>
      <c r="C74" s="24" t="str">
        <f t="shared" si="13"/>
        <v>ml</v>
      </c>
      <c r="D74" s="24">
        <f t="shared" si="13"/>
        <v>200</v>
      </c>
      <c r="E74" s="27">
        <f t="shared" si="14"/>
        <v>0.8686666666666667</v>
      </c>
      <c r="F74" s="68">
        <f t="shared" si="15"/>
        <v>26060</v>
      </c>
      <c r="G74" s="28">
        <f t="shared" si="16"/>
        <v>1</v>
      </c>
      <c r="H74" s="84">
        <f t="shared" si="17"/>
        <v>173.73333333333335</v>
      </c>
      <c r="I74" s="32">
        <f t="shared" si="18"/>
        <v>173.73333333333335</v>
      </c>
    </row>
  </sheetData>
  <mergeCells count="8">
    <mergeCell ref="B59:I59"/>
    <mergeCell ref="B60:I60"/>
    <mergeCell ref="B2:H2"/>
    <mergeCell ref="N28:O28"/>
    <mergeCell ref="A2:A3"/>
    <mergeCell ref="M11:N11"/>
    <mergeCell ref="B40:I40"/>
    <mergeCell ref="B41:I41"/>
  </mergeCells>
  <printOptions horizontalCentered="1"/>
  <pageMargins left="0.5" right="0.5" top="1" bottom="0.5" header="0.3" footer="0.511811023622047"/>
  <pageSetup paperSize="9" scale="25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2F5597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75" x14ac:dyDescent="0.35"/>
  <cols>
    <col min="1" max="1" width="8.0625" style="10" customWidth="1"/>
    <col min="2" max="2" width="20.4375" style="10" customWidth="1"/>
    <col min="3" max="3" width="23.9375" style="10" customWidth="1"/>
    <col min="4" max="4" width="21.75" style="10" customWidth="1"/>
    <col min="5" max="5" width="16.1875" style="10" customWidth="1"/>
    <col min="6" max="6" width="19.0625" style="10" customWidth="1"/>
    <col min="7" max="8" width="16.8125" style="10" customWidth="1"/>
    <col min="9" max="9" width="19.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18470</v>
      </c>
      <c r="F1" s="11" t="s">
        <v>55</v>
      </c>
      <c r="G1" s="15">
        <f>E1/C1</f>
        <v>0.6156666666666667</v>
      </c>
      <c r="H1" s="11" t="s">
        <v>56</v>
      </c>
      <c r="I1" s="16">
        <f>(G1/K1)</f>
        <v>0.6156666666666667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18470</v>
      </c>
      <c r="AA1" s="150" t="s">
        <v>207</v>
      </c>
      <c r="AB1" s="148">
        <v>0</v>
      </c>
    </row>
    <row r="2" spans="1:28" ht="12.75" customHeight="1" x14ac:dyDescent="0.35">
      <c r="A2" s="241"/>
      <c r="B2" s="244" t="s">
        <v>92</v>
      </c>
      <c r="C2" s="244"/>
      <c r="D2" s="244"/>
      <c r="E2" s="244"/>
      <c r="F2" s="244"/>
      <c r="G2" s="244"/>
      <c r="H2" s="244"/>
      <c r="I2" s="18"/>
      <c r="J2" s="18"/>
      <c r="K2" s="18"/>
      <c r="L2" s="18"/>
      <c r="M2" s="18"/>
      <c r="N2" s="18"/>
    </row>
    <row r="3" spans="1:28" ht="12.75" customHeight="1" x14ac:dyDescent="0.35">
      <c r="A3" s="241"/>
      <c r="B3" s="241"/>
      <c r="C3" s="241"/>
      <c r="D3" s="241"/>
      <c r="E3" s="241"/>
      <c r="F3" s="241"/>
      <c r="G3" s="241"/>
      <c r="H3" s="241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103</v>
      </c>
      <c r="C5" s="25" t="s">
        <v>6</v>
      </c>
      <c r="D5" s="123">
        <v>7</v>
      </c>
      <c r="E5" s="27">
        <f>$G$1</f>
        <v>0.6156666666666667</v>
      </c>
      <c r="F5" s="28">
        <v>1</v>
      </c>
      <c r="G5" s="29">
        <f>D5*E5</f>
        <v>4.3096666666666668</v>
      </c>
      <c r="H5" s="30">
        <f>G5*F5</f>
        <v>4.3096666666666668</v>
      </c>
      <c r="I5" s="12">
        <f>VLOOKUP(B5,Ordering!$A$1:$J$45,6,FALSE)</f>
        <v>1</v>
      </c>
      <c r="J5" s="12">
        <f>VLOOKUP(B5,Ordering!$A$1:$J$45,10,FALSE)</f>
        <v>5.2</v>
      </c>
      <c r="K5" s="12">
        <f>(H5/I5)</f>
        <v>4.3096666666666668</v>
      </c>
      <c r="L5" s="25">
        <f>K5*J5</f>
        <v>22.410266666666669</v>
      </c>
    </row>
    <row r="6" spans="1:28" x14ac:dyDescent="0.35">
      <c r="B6" s="24" t="s">
        <v>13</v>
      </c>
      <c r="C6" s="25" t="s">
        <v>213</v>
      </c>
      <c r="D6" s="26">
        <v>10000</v>
      </c>
      <c r="E6" s="27">
        <f>$G$1</f>
        <v>0.6156666666666667</v>
      </c>
      <c r="F6" s="28">
        <v>1</v>
      </c>
      <c r="G6" s="29">
        <f>D6*E6</f>
        <v>6156.666666666667</v>
      </c>
      <c r="H6" s="31">
        <f>G6*F6</f>
        <v>6156.666666666667</v>
      </c>
      <c r="I6" s="12">
        <f>VLOOKUP(B6,Ordering!$A$1:$J$45,6,FALSE)</f>
        <v>1</v>
      </c>
      <c r="J6" s="12">
        <f>VLOOKUP(B6,Ordering!$A$1:$J$45,10,FALSE)</f>
        <v>4.2033333333333331</v>
      </c>
      <c r="K6" s="12">
        <f>(H6/I6)/1000</f>
        <v>6.1566666666666672</v>
      </c>
      <c r="L6" s="25">
        <f t="shared" ref="L6:L9" si="0">K6*J6</f>
        <v>25.878522222222223</v>
      </c>
    </row>
    <row r="7" spans="1:28" ht="18" customHeight="1" x14ac:dyDescent="0.35">
      <c r="B7" s="24" t="s">
        <v>27</v>
      </c>
      <c r="C7" s="25" t="s">
        <v>17</v>
      </c>
      <c r="D7" s="26">
        <v>50</v>
      </c>
      <c r="E7" s="27">
        <f>$G$1</f>
        <v>0.6156666666666667</v>
      </c>
      <c r="F7" s="28">
        <v>1</v>
      </c>
      <c r="G7" s="29">
        <f>D7*E7</f>
        <v>30.783333333333335</v>
      </c>
      <c r="H7" s="32">
        <f>G7*F7</f>
        <v>30.783333333333335</v>
      </c>
      <c r="I7" s="12">
        <f>VLOOKUP(B7,Ordering!$A$1:$J$45,6,FALSE)</f>
        <v>1</v>
      </c>
      <c r="J7" s="12">
        <f>VLOOKUP(B7,Ordering!$A$1:$J$45,10,FALSE)</f>
        <v>31</v>
      </c>
      <c r="K7" s="12">
        <f t="shared" ref="K7:K9" si="1">(H7/I7)/1000</f>
        <v>3.0783333333333336E-2</v>
      </c>
      <c r="L7" s="25">
        <f t="shared" si="0"/>
        <v>0.95428333333333337</v>
      </c>
    </row>
    <row r="8" spans="1:28" x14ac:dyDescent="0.35">
      <c r="B8" s="24" t="s">
        <v>22</v>
      </c>
      <c r="C8" s="25" t="s">
        <v>17</v>
      </c>
      <c r="D8" s="26">
        <v>200</v>
      </c>
      <c r="E8" s="27">
        <f>$G$1</f>
        <v>0.6156666666666667</v>
      </c>
      <c r="F8" s="28">
        <v>1</v>
      </c>
      <c r="G8" s="29">
        <f>D8*E8</f>
        <v>123.13333333333334</v>
      </c>
      <c r="H8" s="32">
        <f>G8*F8</f>
        <v>123.13333333333334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0.12313333333333334</v>
      </c>
      <c r="L8" s="25">
        <f t="shared" si="0"/>
        <v>9.1118666666666667E-2</v>
      </c>
    </row>
    <row r="9" spans="1:28" ht="25.5" x14ac:dyDescent="0.35">
      <c r="B9" s="24" t="s">
        <v>212</v>
      </c>
      <c r="C9" s="25" t="s">
        <v>17</v>
      </c>
      <c r="D9" s="34">
        <v>1550</v>
      </c>
      <c r="E9" s="35">
        <f>$G$1</f>
        <v>0.6156666666666667</v>
      </c>
      <c r="F9" s="36">
        <v>0.8</v>
      </c>
      <c r="G9" s="37">
        <f>D9*E9</f>
        <v>954.28333333333342</v>
      </c>
      <c r="H9" s="38">
        <f>G9*F9</f>
        <v>763.42666666666673</v>
      </c>
      <c r="I9" s="12">
        <f>VLOOKUP(B9,Ordering!$A$1:$J$45,6,FALSE)</f>
        <v>1</v>
      </c>
      <c r="J9" s="12">
        <f>VLOOKUP(B9,Ordering!$A$1:$J$45,10,FALSE)</f>
        <v>11.304</v>
      </c>
      <c r="K9" s="12">
        <f t="shared" si="1"/>
        <v>0.7634266666666667</v>
      </c>
      <c r="L9" s="25">
        <f t="shared" si="0"/>
        <v>8.6297750400000002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55</v>
      </c>
      <c r="D11" s="47" t="s">
        <v>68</v>
      </c>
      <c r="E11" s="18"/>
      <c r="F11" s="18"/>
      <c r="I11" s="18"/>
      <c r="J11" s="18"/>
      <c r="K11" s="18"/>
      <c r="M11" s="242" t="s">
        <v>92</v>
      </c>
      <c r="N11" s="242"/>
    </row>
    <row r="12" spans="1:28" ht="13.5" customHeight="1" x14ac:dyDescent="0.35">
      <c r="B12" s="48" t="s">
        <v>71</v>
      </c>
      <c r="C12" s="49">
        <f>I1</f>
        <v>0.6156666666666667</v>
      </c>
      <c r="D12" s="50">
        <f>E1</f>
        <v>18470</v>
      </c>
      <c r="F12" s="18"/>
      <c r="I12" s="18"/>
      <c r="J12" s="18"/>
      <c r="K12" s="18"/>
      <c r="M12" s="48"/>
      <c r="N12" s="48" t="s">
        <v>70</v>
      </c>
    </row>
    <row r="13" spans="1:28" ht="13.5" customHeight="1" x14ac:dyDescent="0.35">
      <c r="B13" s="48" t="s">
        <v>73</v>
      </c>
      <c r="C13" s="51">
        <f>MIN($C$12,1)</f>
        <v>0.6156666666666667</v>
      </c>
      <c r="D13" s="50">
        <f>C13*$C$1</f>
        <v>18470</v>
      </c>
      <c r="E13" s="18"/>
      <c r="F13" s="18"/>
      <c r="I13" s="18"/>
      <c r="J13" s="18"/>
      <c r="K13" s="18"/>
      <c r="M13" s="48" t="s">
        <v>86</v>
      </c>
      <c r="N13" s="130">
        <f>$Z$1</f>
        <v>18470</v>
      </c>
    </row>
    <row r="14" spans="1:28" ht="14.25" customHeight="1" x14ac:dyDescent="0.35">
      <c r="B14" s="48" t="s">
        <v>75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87</v>
      </c>
      <c r="N14" s="133">
        <f>$AB$1</f>
        <v>0</v>
      </c>
    </row>
    <row r="15" spans="1:28" ht="14.25" customHeight="1" x14ac:dyDescent="0.35">
      <c r="B15" s="48" t="s">
        <v>76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48" t="s">
        <v>88</v>
      </c>
      <c r="N15" s="52">
        <f>N13+N14</f>
        <v>18470</v>
      </c>
    </row>
    <row r="40" spans="1:9" ht="17.649999999999999" x14ac:dyDescent="0.35">
      <c r="A40" s="134"/>
      <c r="B40" s="240" t="str">
        <f>"  رز السليق  1 / " &amp; COUNTIF($C$13:$C$15, "&gt;0")</f>
        <v xml:space="preserve">  رز السليق  1 / 1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 Saleq Rice  1 / " &amp; COUNTIF($C$13:$C$15, "&gt;0")</f>
        <v xml:space="preserve">  Saleq Rice  1 / 1</v>
      </c>
      <c r="C41" s="240"/>
      <c r="D41" s="240"/>
      <c r="E41" s="240"/>
      <c r="F41" s="240"/>
      <c r="G41" s="240"/>
      <c r="H41" s="240"/>
      <c r="I41" s="240"/>
    </row>
    <row r="42" spans="1:9" ht="37.25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104" t="s">
        <v>65</v>
      </c>
      <c r="I42" s="55" t="s">
        <v>78</v>
      </c>
    </row>
    <row r="43" spans="1:9" x14ac:dyDescent="0.35">
      <c r="B43" s="24" t="str">
        <f t="shared" ref="B43:D47" si="2">B5</f>
        <v>Rice - رز امريكي</v>
      </c>
      <c r="C43" s="24" t="str">
        <f t="shared" si="2"/>
        <v>KG</v>
      </c>
      <c r="D43" s="24">
        <f t="shared" si="2"/>
        <v>7</v>
      </c>
      <c r="E43" s="57">
        <f>$C$13</f>
        <v>0.6156666666666667</v>
      </c>
      <c r="F43" s="58">
        <f>$D$13</f>
        <v>18470</v>
      </c>
      <c r="G43" s="28">
        <f>F5</f>
        <v>1</v>
      </c>
      <c r="H43" s="83">
        <f>D43*E43</f>
        <v>4.3096666666666668</v>
      </c>
      <c r="I43" s="32">
        <f>H43*G43</f>
        <v>4.3096666666666668</v>
      </c>
    </row>
    <row r="44" spans="1:9" x14ac:dyDescent="0.35">
      <c r="B44" s="24" t="str">
        <f t="shared" si="2"/>
        <v>Milk - حليب</v>
      </c>
      <c r="C44" s="24" t="str">
        <f t="shared" si="2"/>
        <v>ml</v>
      </c>
      <c r="D44" s="24">
        <f t="shared" si="2"/>
        <v>10000</v>
      </c>
      <c r="E44" s="57">
        <f>$C$13</f>
        <v>0.6156666666666667</v>
      </c>
      <c r="F44" s="58">
        <f>$D$13</f>
        <v>18470</v>
      </c>
      <c r="G44" s="28">
        <f>F6</f>
        <v>1</v>
      </c>
      <c r="H44" s="83">
        <f>D44*E44</f>
        <v>6156.666666666667</v>
      </c>
      <c r="I44" s="32">
        <f>H44*G44</f>
        <v>6156.666666666667</v>
      </c>
    </row>
    <row r="45" spans="1:9" ht="25.5" x14ac:dyDescent="0.35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50</v>
      </c>
      <c r="E45" s="57">
        <f>$C$13</f>
        <v>0.6156666666666667</v>
      </c>
      <c r="F45" s="58">
        <f>$D$13</f>
        <v>18470</v>
      </c>
      <c r="G45" s="28">
        <f>F7</f>
        <v>1</v>
      </c>
      <c r="H45" s="83">
        <f>D45*E45</f>
        <v>30.783333333333335</v>
      </c>
      <c r="I45" s="32">
        <f>H45*G45</f>
        <v>30.783333333333335</v>
      </c>
    </row>
    <row r="46" spans="1:9" ht="12.5" customHeight="1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200</v>
      </c>
      <c r="E46" s="57">
        <f>$C$13</f>
        <v>0.6156666666666667</v>
      </c>
      <c r="F46" s="58">
        <f>$D$13</f>
        <v>18470</v>
      </c>
      <c r="G46" s="28">
        <f>F8</f>
        <v>1</v>
      </c>
      <c r="H46" s="83">
        <f>D46*E46</f>
        <v>123.13333333333334</v>
      </c>
      <c r="I46" s="32">
        <f>H46*G46</f>
        <v>123.13333333333334</v>
      </c>
    </row>
    <row r="47" spans="1:9" ht="25.5" x14ac:dyDescent="0.35">
      <c r="B47" s="24" t="str">
        <f t="shared" si="2"/>
        <v>Fresh Cream (Qishta)- قشطة</v>
      </c>
      <c r="C47" s="24" t="str">
        <f t="shared" si="2"/>
        <v>gm</v>
      </c>
      <c r="D47" s="24">
        <f t="shared" si="2"/>
        <v>1550</v>
      </c>
      <c r="E47" s="57">
        <f>$C$13</f>
        <v>0.6156666666666667</v>
      </c>
      <c r="F47" s="58">
        <f>$D$13</f>
        <v>18470</v>
      </c>
      <c r="G47" s="28">
        <f>F9</f>
        <v>0.8</v>
      </c>
      <c r="H47" s="83">
        <f>D47*E47</f>
        <v>954.28333333333342</v>
      </c>
      <c r="I47" s="32">
        <f>H47*G47</f>
        <v>763.42666666666673</v>
      </c>
    </row>
    <row r="52" spans="2:9" ht="17.649999999999999" x14ac:dyDescent="0.35">
      <c r="B52" s="240" t="str">
        <f>"  رز السليق  2 / " &amp; COUNTIF($C$13:$C$15, "&gt;0")</f>
        <v xml:space="preserve">  رز السليق  2 / 1</v>
      </c>
      <c r="C52" s="240"/>
      <c r="D52" s="240"/>
      <c r="E52" s="240"/>
      <c r="F52" s="240"/>
      <c r="G52" s="240"/>
      <c r="H52" s="240"/>
      <c r="I52" s="240"/>
    </row>
    <row r="53" spans="2:9" ht="17.649999999999999" x14ac:dyDescent="0.35">
      <c r="B53" s="240" t="str">
        <f>"  Saleq Rice  2 / " &amp; COUNTIF($C$13:$C$15, "&gt;0")</f>
        <v xml:space="preserve">  Saleq Rice  2 / 1</v>
      </c>
      <c r="C53" s="240"/>
      <c r="D53" s="240"/>
      <c r="E53" s="240"/>
      <c r="F53" s="240"/>
      <c r="G53" s="240"/>
      <c r="H53" s="240"/>
      <c r="I53" s="240"/>
    </row>
    <row r="54" spans="2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104" t="s">
        <v>65</v>
      </c>
      <c r="I54" s="23" t="s">
        <v>79</v>
      </c>
    </row>
    <row r="55" spans="2:9" x14ac:dyDescent="0.35">
      <c r="B55" s="24" t="str">
        <f t="shared" ref="B55:D59" si="3">B5</f>
        <v>Rice - رز امريكي</v>
      </c>
      <c r="C55" s="24" t="str">
        <f t="shared" si="3"/>
        <v>KG</v>
      </c>
      <c r="D55" s="24">
        <f t="shared" si="3"/>
        <v>7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si="3"/>
        <v>Milk - حليب</v>
      </c>
      <c r="C56" s="24" t="str">
        <f t="shared" si="3"/>
        <v>ml</v>
      </c>
      <c r="D56" s="24">
        <f t="shared" si="3"/>
        <v>10000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2:9" ht="24" customHeight="1" x14ac:dyDescent="0.35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50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2:9" ht="28.5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200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2:9" ht="25.5" x14ac:dyDescent="0.35">
      <c r="B59" s="24" t="str">
        <f t="shared" si="3"/>
        <v>Fresh Cream (Qishta)- قشطة</v>
      </c>
      <c r="C59" s="24" t="str">
        <f t="shared" si="3"/>
        <v>gm</v>
      </c>
      <c r="D59" s="24">
        <f t="shared" si="3"/>
        <v>1550</v>
      </c>
      <c r="E59" s="27">
        <f>$C$14</f>
        <v>0</v>
      </c>
      <c r="F59" s="58">
        <f>$D$14</f>
        <v>0</v>
      </c>
      <c r="G59" s="28">
        <f>F9</f>
        <v>0.8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  <c r="H60" s="103"/>
    </row>
    <row r="61" spans="2:9" x14ac:dyDescent="0.35">
      <c r="B61" s="18"/>
      <c r="E61" s="18"/>
      <c r="F61" s="18"/>
      <c r="H61" s="103"/>
    </row>
    <row r="62" spans="2:9" ht="13.5" x14ac:dyDescent="0.35">
      <c r="B62" s="18"/>
      <c r="C62" s="1"/>
      <c r="D62" s="105"/>
      <c r="E62" s="106"/>
      <c r="F62" s="18"/>
      <c r="H62" s="103"/>
    </row>
    <row r="63" spans="2:9" x14ac:dyDescent="0.35">
      <c r="B63" s="18"/>
      <c r="E63" s="18"/>
      <c r="F63" s="18"/>
      <c r="H63" s="103"/>
    </row>
    <row r="64" spans="2:9" ht="17.649999999999999" x14ac:dyDescent="0.35">
      <c r="B64" s="240" t="str">
        <f>"  رز السليق  3 / " &amp; COUNTIF($C$13:$C$15, "&gt;0")</f>
        <v xml:space="preserve">  رز السليق  3 / 1</v>
      </c>
      <c r="C64" s="240"/>
      <c r="D64" s="240"/>
      <c r="E64" s="240"/>
      <c r="F64" s="240"/>
      <c r="G64" s="240"/>
      <c r="H64" s="240"/>
      <c r="I64" s="240"/>
    </row>
    <row r="65" spans="2:9" ht="36" customHeight="1" x14ac:dyDescent="0.35">
      <c r="B65" s="240" t="str">
        <f>"  Saleq Rice  3 / " &amp; COUNTIF($C$13:$C$15, "&gt;0")</f>
        <v xml:space="preserve">  Saleq Rice  3 / 1</v>
      </c>
      <c r="C65" s="240"/>
      <c r="D65" s="240"/>
      <c r="E65" s="240"/>
      <c r="F65" s="240"/>
      <c r="G65" s="240"/>
      <c r="H65" s="240"/>
      <c r="I65" s="240"/>
    </row>
    <row r="66" spans="2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104" t="s">
        <v>65</v>
      </c>
      <c r="I66" s="23" t="s">
        <v>66</v>
      </c>
    </row>
    <row r="67" spans="2:9" x14ac:dyDescent="0.35">
      <c r="B67" s="24" t="str">
        <f t="shared" ref="B67:D71" si="4">B5</f>
        <v>Rice - رز امريكي</v>
      </c>
      <c r="C67" s="24" t="str">
        <f t="shared" si="4"/>
        <v>KG</v>
      </c>
      <c r="D67" s="24">
        <f t="shared" si="4"/>
        <v>7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Milk - حليب</v>
      </c>
      <c r="C68" s="24" t="str">
        <f t="shared" si="4"/>
        <v>ml</v>
      </c>
      <c r="D68" s="24">
        <f t="shared" si="4"/>
        <v>10000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ht="25.5" x14ac:dyDescent="0.35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200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5.5" x14ac:dyDescent="0.35">
      <c r="B71" s="24" t="str">
        <f t="shared" si="4"/>
        <v>Fresh Cream (Qishta)- قشطة</v>
      </c>
      <c r="C71" s="24" t="str">
        <f t="shared" si="4"/>
        <v>gm</v>
      </c>
      <c r="D71" s="24">
        <f t="shared" si="4"/>
        <v>1550</v>
      </c>
      <c r="E71" s="27">
        <f>$C$15</f>
        <v>0</v>
      </c>
      <c r="F71" s="58">
        <f>$D$15</f>
        <v>0</v>
      </c>
      <c r="G71" s="28">
        <f>F9</f>
        <v>0.8</v>
      </c>
      <c r="H71" s="84">
        <f>D71*E71</f>
        <v>0</v>
      </c>
      <c r="I71" s="32">
        <f>H71*G71</f>
        <v>0</v>
      </c>
    </row>
  </sheetData>
  <mergeCells count="9">
    <mergeCell ref="B64:I64"/>
    <mergeCell ref="B65:I65"/>
    <mergeCell ref="B53:I53"/>
    <mergeCell ref="A2:A3"/>
    <mergeCell ref="M11:N11"/>
    <mergeCell ref="B2:H3"/>
    <mergeCell ref="B40:I40"/>
    <mergeCell ref="B41:I41"/>
    <mergeCell ref="B52:I52"/>
  </mergeCells>
  <printOptions horizontalCentered="1"/>
  <pageMargins left="0.5" right="0.5" top="1" bottom="0.5" header="0.3" footer="0.511811023622047"/>
  <pageSetup paperSize="9" scale="24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2F5597"/>
    <pageSetUpPr fitToPage="1"/>
  </sheetPr>
  <dimension ref="A1:AB72"/>
  <sheetViews>
    <sheetView topLeftCell="I4" zoomScaleNormal="100" workbookViewId="0">
      <selection activeCell="X8" sqref="X8"/>
    </sheetView>
  </sheetViews>
  <sheetFormatPr defaultColWidth="12.5" defaultRowHeight="12.75" x14ac:dyDescent="0.35"/>
  <cols>
    <col min="1" max="1" width="8.0625" style="10" customWidth="1"/>
    <col min="2" max="2" width="20.4375" style="10" customWidth="1"/>
    <col min="3" max="3" width="23.9375" style="10" customWidth="1"/>
    <col min="4" max="4" width="21.75" style="10" customWidth="1"/>
    <col min="5" max="5" width="16.1875" style="10" customWidth="1"/>
    <col min="6" max="6" width="15.9375" style="10" customWidth="1"/>
    <col min="7" max="7" width="16.8125" style="10" customWidth="1"/>
    <col min="8" max="8" width="16.4375" style="10" customWidth="1"/>
    <col min="9" max="9" width="26.4375" style="10" customWidth="1"/>
    <col min="10" max="12" width="12.5" style="10"/>
    <col min="13" max="13" width="32.25" style="10" customWidth="1"/>
    <col min="14" max="14" width="12.5" style="10"/>
    <col min="15" max="24" width="6.1875" style="10" customWidth="1"/>
    <col min="25" max="25" width="8.75" style="10" customWidth="1"/>
    <col min="26" max="16384" width="12.5" style="10"/>
  </cols>
  <sheetData>
    <row r="1" spans="1:28" ht="36" customHeight="1" x14ac:dyDescent="0.35">
      <c r="B1" s="11" t="s">
        <v>53</v>
      </c>
      <c r="C1" s="12">
        <v>30000</v>
      </c>
      <c r="D1" s="13" t="s">
        <v>54</v>
      </c>
      <c r="E1" s="14">
        <f>N15</f>
        <v>32620</v>
      </c>
      <c r="F1" s="11" t="s">
        <v>55</v>
      </c>
      <c r="G1" s="15">
        <f>E1/C1</f>
        <v>1.0873333333333333</v>
      </c>
      <c r="H1" s="11" t="s">
        <v>56</v>
      </c>
      <c r="I1" s="16">
        <f>(G1/K1)</f>
        <v>1.0873333333333333</v>
      </c>
      <c r="J1" s="17" t="s">
        <v>57</v>
      </c>
      <c r="K1" s="12">
        <v>1</v>
      </c>
      <c r="L1" s="18"/>
      <c r="M1" s="18"/>
      <c r="N1" s="18"/>
      <c r="Y1" s="150" t="s">
        <v>209</v>
      </c>
      <c r="Z1" s="148">
        <v>32620</v>
      </c>
      <c r="AA1" s="150" t="s">
        <v>207</v>
      </c>
      <c r="AB1" s="148">
        <v>0</v>
      </c>
    </row>
    <row r="2" spans="1:28" ht="12.75" customHeight="1" x14ac:dyDescent="0.35">
      <c r="A2" s="241"/>
      <c r="B2" s="82" t="s">
        <v>101</v>
      </c>
      <c r="C2" s="82"/>
      <c r="D2" s="82"/>
      <c r="E2" s="82"/>
      <c r="F2" s="82"/>
      <c r="G2" s="82"/>
      <c r="H2" s="82"/>
      <c r="L2" s="18"/>
      <c r="M2" s="18"/>
      <c r="N2" s="18"/>
    </row>
    <row r="3" spans="1:28" ht="12.75" customHeight="1" x14ac:dyDescent="0.35">
      <c r="A3" s="241"/>
      <c r="B3" s="82"/>
      <c r="C3" s="82"/>
      <c r="D3" s="82"/>
      <c r="E3" s="82"/>
      <c r="F3" s="82"/>
      <c r="G3" s="82"/>
      <c r="H3" s="82"/>
      <c r="L3" s="18"/>
      <c r="M3" s="18"/>
      <c r="N3" s="18"/>
    </row>
    <row r="4" spans="1:28" ht="57" customHeight="1" x14ac:dyDescent="0.35">
      <c r="A4" s="19" t="s">
        <v>59</v>
      </c>
      <c r="B4" s="19" t="s">
        <v>60</v>
      </c>
      <c r="C4" s="20" t="s">
        <v>61</v>
      </c>
      <c r="D4" s="19" t="s">
        <v>62</v>
      </c>
      <c r="E4" s="21" t="s">
        <v>63</v>
      </c>
      <c r="F4" s="21" t="s">
        <v>64</v>
      </c>
      <c r="G4" s="22" t="s">
        <v>65</v>
      </c>
      <c r="H4" s="23" t="s">
        <v>66</v>
      </c>
      <c r="I4" s="204" t="s">
        <v>247</v>
      </c>
      <c r="J4" s="204" t="s">
        <v>248</v>
      </c>
      <c r="K4" s="204" t="s">
        <v>249</v>
      </c>
      <c r="L4" s="204" t="s">
        <v>250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13</v>
      </c>
      <c r="E5" s="27">
        <f t="shared" ref="E5:E10" si="0">$G$1</f>
        <v>1.0873333333333333</v>
      </c>
      <c r="F5" s="28">
        <v>0.7</v>
      </c>
      <c r="G5" s="29">
        <f t="shared" ref="G5:G10" si="1">D5*E5</f>
        <v>14.135333333333332</v>
      </c>
      <c r="H5" s="30">
        <f t="shared" ref="H5:H10" si="2">G5*F5</f>
        <v>9.8947333333333312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9.8947333333333312</v>
      </c>
      <c r="L5" s="31">
        <f>K5*J5</f>
        <v>56.894716666666653</v>
      </c>
    </row>
    <row r="6" spans="1:28" x14ac:dyDescent="0.35">
      <c r="B6" s="24" t="s">
        <v>49</v>
      </c>
      <c r="C6" s="25" t="s">
        <v>17</v>
      </c>
      <c r="D6" s="26">
        <v>3000</v>
      </c>
      <c r="E6" s="27">
        <f t="shared" si="0"/>
        <v>1.0873333333333333</v>
      </c>
      <c r="F6" s="28">
        <v>1</v>
      </c>
      <c r="G6" s="29">
        <f t="shared" si="1"/>
        <v>3262</v>
      </c>
      <c r="H6" s="31">
        <f t="shared" si="2"/>
        <v>3262</v>
      </c>
      <c r="I6" s="59">
        <f>VLOOKUP(B6,Ordering!$A$1:$J$45,6,FALSE)</f>
        <v>0.9</v>
      </c>
      <c r="J6" s="59">
        <f>VLOOKUP(B6,Ordering!$A$1:$J$45,10,FALSE)</f>
        <v>3</v>
      </c>
      <c r="K6" s="59">
        <f>(H6/I6)/1000</f>
        <v>3.6244444444444444</v>
      </c>
      <c r="L6" s="31">
        <f t="shared" ref="L6:L9" si="3">K6*J6</f>
        <v>10.873333333333333</v>
      </c>
    </row>
    <row r="7" spans="1:28" ht="13.5" customHeight="1" x14ac:dyDescent="0.35">
      <c r="B7" s="24" t="s">
        <v>27</v>
      </c>
      <c r="C7" s="25" t="s">
        <v>17</v>
      </c>
      <c r="D7" s="26">
        <v>100</v>
      </c>
      <c r="E7" s="27">
        <f t="shared" si="0"/>
        <v>1.0873333333333333</v>
      </c>
      <c r="F7" s="28">
        <v>1</v>
      </c>
      <c r="G7" s="29">
        <f t="shared" si="1"/>
        <v>108.73333333333332</v>
      </c>
      <c r="H7" s="32">
        <f t="shared" si="2"/>
        <v>108.73333333333332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4">(H7/I7)/1000</f>
        <v>0.10873333333333332</v>
      </c>
      <c r="L7" s="31">
        <f t="shared" si="3"/>
        <v>3.3707333333333329</v>
      </c>
      <c r="V7" s="251"/>
    </row>
    <row r="8" spans="1:28" ht="13.15" x14ac:dyDescent="0.4">
      <c r="B8" s="24" t="s">
        <v>22</v>
      </c>
      <c r="C8" s="25" t="s">
        <v>17</v>
      </c>
      <c r="D8" s="26">
        <v>450</v>
      </c>
      <c r="E8" s="27">
        <f t="shared" si="0"/>
        <v>1.0873333333333333</v>
      </c>
      <c r="F8" s="28">
        <v>1</v>
      </c>
      <c r="G8" s="29">
        <f t="shared" si="1"/>
        <v>489.29999999999995</v>
      </c>
      <c r="H8" s="32">
        <f t="shared" si="2"/>
        <v>489.29999999999995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0.48929999999999996</v>
      </c>
      <c r="L8" s="31">
        <f t="shared" si="3"/>
        <v>0.36208199999999996</v>
      </c>
      <c r="V8" s="215" t="s">
        <v>17</v>
      </c>
      <c r="W8" s="216">
        <v>1</v>
      </c>
      <c r="X8" s="215" t="s">
        <v>250</v>
      </c>
      <c r="Y8" s="217">
        <f>(N16*W8)/N15</f>
        <v>2.3988083333333328E-3</v>
      </c>
    </row>
    <row r="9" spans="1:28" x14ac:dyDescent="0.35">
      <c r="B9" s="24" t="s">
        <v>16</v>
      </c>
      <c r="C9" s="33" t="s">
        <v>17</v>
      </c>
      <c r="D9" s="34">
        <v>150</v>
      </c>
      <c r="E9" s="35">
        <f t="shared" si="0"/>
        <v>1.0873333333333333</v>
      </c>
      <c r="F9" s="36">
        <v>1</v>
      </c>
      <c r="G9" s="37">
        <f t="shared" si="1"/>
        <v>163.1</v>
      </c>
      <c r="H9" s="38">
        <f t="shared" si="2"/>
        <v>163.1</v>
      </c>
      <c r="I9" s="59">
        <f>VLOOKUP(B9,Ordering!$A$1:$J$45,6,FALSE)</f>
        <v>1</v>
      </c>
      <c r="J9" s="59">
        <f>VLOOKUP(B9,Ordering!$A$1:$J$45,10,FALSE)</f>
        <v>30</v>
      </c>
      <c r="K9" s="59">
        <f t="shared" si="4"/>
        <v>0.16309999999999999</v>
      </c>
      <c r="L9" s="31">
        <f t="shared" si="3"/>
        <v>4.8929999999999998</v>
      </c>
    </row>
    <row r="10" spans="1:28" ht="13.5" customHeight="1" x14ac:dyDescent="0.35">
      <c r="B10" s="24" t="s">
        <v>105</v>
      </c>
      <c r="C10" s="33" t="s">
        <v>17</v>
      </c>
      <c r="D10" s="34">
        <v>130</v>
      </c>
      <c r="E10" s="35">
        <f t="shared" si="0"/>
        <v>1.0873333333333333</v>
      </c>
      <c r="F10" s="36">
        <v>0.75</v>
      </c>
      <c r="G10" s="37">
        <f t="shared" si="1"/>
        <v>141.35333333333332</v>
      </c>
      <c r="H10" s="38">
        <f t="shared" si="2"/>
        <v>106.01499999999999</v>
      </c>
      <c r="I10" s="59">
        <f>VLOOKUP(B10,Ordering!$A$1:$J$45,6,FALSE)</f>
        <v>1</v>
      </c>
      <c r="J10" s="59">
        <f>VLOOKUP(B10,Ordering!$A$1:$J$45,10,FALSE)</f>
        <v>17.5</v>
      </c>
      <c r="K10" s="59">
        <f t="shared" ref="K10" si="5">(H10/I10)/1000</f>
        <v>0.10601499999999998</v>
      </c>
      <c r="L10" s="31">
        <f t="shared" ref="L10" si="6">K10*J10</f>
        <v>1.8552624999999998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2" t="s">
        <v>102</v>
      </c>
      <c r="N11" s="242"/>
    </row>
    <row r="12" spans="1:28" ht="13.5" customHeight="1" x14ac:dyDescent="0.35">
      <c r="B12" s="47"/>
      <c r="C12" s="47" t="s">
        <v>55</v>
      </c>
      <c r="D12" s="47" t="s">
        <v>68</v>
      </c>
      <c r="E12" s="18"/>
      <c r="F12" s="18"/>
      <c r="I12" s="18"/>
      <c r="J12" s="18"/>
      <c r="K12" s="18"/>
      <c r="M12" s="48"/>
      <c r="N12" s="48" t="s">
        <v>70</v>
      </c>
    </row>
    <row r="13" spans="1:28" ht="13.5" customHeight="1" x14ac:dyDescent="0.35">
      <c r="B13" s="48" t="s">
        <v>71</v>
      </c>
      <c r="C13" s="49">
        <f>I1</f>
        <v>1.0873333333333333</v>
      </c>
      <c r="D13" s="50">
        <f>E1</f>
        <v>32620</v>
      </c>
      <c r="F13" s="18"/>
      <c r="I13" s="18"/>
      <c r="J13" s="18"/>
      <c r="K13" s="18"/>
      <c r="M13" s="48" t="s">
        <v>86</v>
      </c>
      <c r="N13" s="130">
        <f>$Z$1</f>
        <v>32620</v>
      </c>
    </row>
    <row r="14" spans="1:28" ht="14.25" customHeight="1" x14ac:dyDescent="0.35">
      <c r="B14" s="48" t="s">
        <v>73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87</v>
      </c>
      <c r="N14" s="133">
        <f>$AB$1</f>
        <v>0</v>
      </c>
    </row>
    <row r="15" spans="1:28" ht="14.25" customHeight="1" thickBot="1" x14ac:dyDescent="0.4">
      <c r="B15" s="48" t="s">
        <v>75</v>
      </c>
      <c r="C15" s="51">
        <f>MIN(MAX($C$13-C14,0),1)</f>
        <v>8.7333333333333263E-2</v>
      </c>
      <c r="D15" s="50">
        <f>C15*$C$1</f>
        <v>2619.9999999999977</v>
      </c>
      <c r="E15" s="18"/>
      <c r="F15" s="18"/>
      <c r="I15" s="18"/>
      <c r="J15" s="18"/>
      <c r="K15" s="18"/>
      <c r="M15" s="48" t="s">
        <v>88</v>
      </c>
      <c r="N15" s="52">
        <f>N13+N14</f>
        <v>32620</v>
      </c>
    </row>
    <row r="16" spans="1:28" ht="13.5" customHeight="1" thickBot="1" x14ac:dyDescent="0.45">
      <c r="B16" s="48" t="s">
        <v>76</v>
      </c>
      <c r="C16" s="51">
        <f>MIN(MAX($C$13-C14-C15,0),1)</f>
        <v>0</v>
      </c>
      <c r="D16" s="50">
        <f>C16*$C$1</f>
        <v>0</v>
      </c>
      <c r="E16" s="18"/>
      <c r="F16" s="18"/>
      <c r="M16" s="213" t="s">
        <v>250</v>
      </c>
      <c r="N16" s="214">
        <f>SUM(L5:L10)</f>
        <v>78.249127833333318</v>
      </c>
    </row>
    <row r="20" spans="14:15" ht="50.75" customHeight="1" x14ac:dyDescent="0.35">
      <c r="N20" s="245"/>
      <c r="O20" s="245"/>
    </row>
    <row r="40" spans="1:9" ht="17.649999999999999" x14ac:dyDescent="0.35">
      <c r="A40" s="134"/>
      <c r="B40" s="240" t="str">
        <f>"  رز الكبلى   1 / " &amp; COUNTIF($C$14:$C$16, "&gt;0")</f>
        <v xml:space="preserve">  رز الكبلى   1 / 2</v>
      </c>
      <c r="C40" s="240"/>
      <c r="D40" s="240"/>
      <c r="E40" s="240"/>
      <c r="F40" s="240"/>
      <c r="G40" s="240"/>
      <c r="H40" s="240"/>
      <c r="I40" s="240"/>
    </row>
    <row r="41" spans="1:9" ht="18" customHeight="1" x14ac:dyDescent="0.35">
      <c r="A41" s="134"/>
      <c r="B41" s="240" t="str">
        <f>"  Kabli Rice  1 / " &amp; COUNTIF($C$14:$C$16, "&gt;0")</f>
        <v xml:space="preserve">  Kabli Rice  1 / 2</v>
      </c>
      <c r="C41" s="240"/>
      <c r="D41" s="240"/>
      <c r="E41" s="240"/>
      <c r="F41" s="240"/>
      <c r="G41" s="240"/>
      <c r="H41" s="240"/>
      <c r="I41" s="240"/>
    </row>
    <row r="42" spans="1:9" ht="40.25" customHeight="1" x14ac:dyDescent="0.35">
      <c r="B42" s="19" t="s">
        <v>60</v>
      </c>
      <c r="C42" s="20" t="s">
        <v>61</v>
      </c>
      <c r="D42" s="19" t="s">
        <v>62</v>
      </c>
      <c r="E42" s="21" t="s">
        <v>63</v>
      </c>
      <c r="F42" s="55" t="s">
        <v>77</v>
      </c>
      <c r="G42" s="21" t="s">
        <v>64</v>
      </c>
      <c r="H42" s="22" t="s">
        <v>65</v>
      </c>
      <c r="I42" s="55" t="s">
        <v>78</v>
      </c>
    </row>
    <row r="43" spans="1:9" ht="16.25" customHeight="1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13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0.7</v>
      </c>
      <c r="H43" s="83">
        <f t="shared" ref="H43:H48" si="11">D43*E43</f>
        <v>13</v>
      </c>
      <c r="I43" s="32">
        <f t="shared" ref="I43:I48" si="12">H43*G43</f>
        <v>9.1</v>
      </c>
    </row>
    <row r="44" spans="1:9" x14ac:dyDescent="0.35">
      <c r="B44" s="24" t="str">
        <f t="shared" si="7"/>
        <v>Onion - بصل</v>
      </c>
      <c r="C44" s="24" t="str">
        <f t="shared" si="7"/>
        <v>gm</v>
      </c>
      <c r="D44" s="24">
        <f t="shared" si="7"/>
        <v>3000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83">
        <f t="shared" si="11"/>
        <v>3000</v>
      </c>
      <c r="I44" s="32">
        <f t="shared" si="12"/>
        <v>3000</v>
      </c>
    </row>
    <row r="45" spans="1:9" ht="25.5" x14ac:dyDescent="0.35">
      <c r="B45" s="24" t="str">
        <f t="shared" si="7"/>
        <v>Cardamom Whole - هيل حب</v>
      </c>
      <c r="C45" s="24" t="str">
        <f t="shared" si="7"/>
        <v>gm</v>
      </c>
      <c r="D45" s="24">
        <f t="shared" si="7"/>
        <v>100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83">
        <f t="shared" si="11"/>
        <v>100</v>
      </c>
      <c r="I45" s="32">
        <f t="shared" si="12"/>
        <v>100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450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83">
        <f t="shared" si="11"/>
        <v>450</v>
      </c>
      <c r="I46" s="32">
        <f t="shared" si="12"/>
        <v>450</v>
      </c>
    </row>
    <row r="47" spans="1:9" x14ac:dyDescent="0.35">
      <c r="B47" s="24" t="str">
        <f t="shared" si="7"/>
        <v>Butter - زبدة</v>
      </c>
      <c r="C47" s="24" t="str">
        <f t="shared" si="7"/>
        <v>gm</v>
      </c>
      <c r="D47" s="24">
        <f t="shared" si="7"/>
        <v>150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83">
        <f t="shared" si="11"/>
        <v>150</v>
      </c>
      <c r="I47" s="32">
        <f t="shared" si="12"/>
        <v>150</v>
      </c>
    </row>
    <row r="48" spans="1:9" x14ac:dyDescent="0.35">
      <c r="B48" s="24" t="str">
        <f t="shared" si="7"/>
        <v>Raisin - زبيب</v>
      </c>
      <c r="C48" s="24" t="str">
        <f t="shared" si="7"/>
        <v>gm</v>
      </c>
      <c r="D48" s="24">
        <f t="shared" si="7"/>
        <v>130</v>
      </c>
      <c r="E48" s="57">
        <f t="shared" si="8"/>
        <v>1</v>
      </c>
      <c r="F48" s="58">
        <f t="shared" si="9"/>
        <v>30000</v>
      </c>
      <c r="G48" s="28">
        <f t="shared" si="10"/>
        <v>0.75</v>
      </c>
      <c r="H48" s="83">
        <f t="shared" si="11"/>
        <v>130</v>
      </c>
      <c r="I48" s="32">
        <f t="shared" si="12"/>
        <v>97.5</v>
      </c>
    </row>
    <row r="52" spans="1:9" ht="17.649999999999999" x14ac:dyDescent="0.35">
      <c r="A52" s="134"/>
      <c r="B52" s="240" t="str">
        <f>"  رز الكبلى   2 / " &amp; COUNTIF($C$14:$C$16, "&gt;0")</f>
        <v xml:space="preserve">  رز الكبلى   2 / 2</v>
      </c>
      <c r="C52" s="240"/>
      <c r="D52" s="240"/>
      <c r="E52" s="240"/>
      <c r="F52" s="240"/>
      <c r="G52" s="240"/>
      <c r="H52" s="240"/>
      <c r="I52" s="240"/>
    </row>
    <row r="53" spans="1:9" ht="17.649999999999999" x14ac:dyDescent="0.35">
      <c r="A53" s="134"/>
      <c r="B53" s="240" t="str">
        <f>"  Kabli Rice  2 / " &amp; COUNTIF($C$14:$C$16, "&gt;0")</f>
        <v xml:space="preserve">  Kabli Rice  2 / 2</v>
      </c>
      <c r="C53" s="240"/>
      <c r="D53" s="240"/>
      <c r="E53" s="240"/>
      <c r="F53" s="240"/>
      <c r="G53" s="240"/>
      <c r="H53" s="240"/>
      <c r="I53" s="240"/>
    </row>
    <row r="54" spans="1:9" ht="52.5" x14ac:dyDescent="0.35">
      <c r="B54" s="19" t="s">
        <v>60</v>
      </c>
      <c r="C54" s="20" t="s">
        <v>61</v>
      </c>
      <c r="D54" s="19" t="s">
        <v>62</v>
      </c>
      <c r="E54" s="21" t="s">
        <v>63</v>
      </c>
      <c r="F54" s="55" t="s">
        <v>77</v>
      </c>
      <c r="G54" s="21" t="s">
        <v>64</v>
      </c>
      <c r="H54" s="22" t="s">
        <v>65</v>
      </c>
      <c r="I54" s="23" t="s">
        <v>79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13</v>
      </c>
      <c r="E55" s="27">
        <f t="shared" ref="E55:E60" si="14">$C$15</f>
        <v>8.7333333333333263E-2</v>
      </c>
      <c r="F55" s="58">
        <f t="shared" ref="F55:F60" si="15">$D$15</f>
        <v>2619.9999999999977</v>
      </c>
      <c r="G55" s="28">
        <f t="shared" ref="G55:G60" si="16">F5</f>
        <v>0.7</v>
      </c>
      <c r="H55" s="84">
        <f t="shared" ref="H55:H60" si="17">D55*E55</f>
        <v>1.1353333333333324</v>
      </c>
      <c r="I55" s="65">
        <f t="shared" ref="I55:I60" si="18">H55*G55</f>
        <v>0.79473333333333263</v>
      </c>
    </row>
    <row r="56" spans="1:9" x14ac:dyDescent="0.35">
      <c r="B56" s="24" t="str">
        <f t="shared" si="13"/>
        <v>Onion - بصل</v>
      </c>
      <c r="C56" s="24" t="str">
        <f t="shared" si="13"/>
        <v>gm</v>
      </c>
      <c r="D56" s="24">
        <f t="shared" si="13"/>
        <v>3000</v>
      </c>
      <c r="E56" s="27">
        <f t="shared" si="14"/>
        <v>8.7333333333333263E-2</v>
      </c>
      <c r="F56" s="58">
        <f t="shared" si="15"/>
        <v>2619.9999999999977</v>
      </c>
      <c r="G56" s="28">
        <f t="shared" si="16"/>
        <v>1</v>
      </c>
      <c r="H56" s="84">
        <f t="shared" si="17"/>
        <v>261.99999999999977</v>
      </c>
      <c r="I56" s="32">
        <f t="shared" si="18"/>
        <v>261.99999999999977</v>
      </c>
    </row>
    <row r="57" spans="1:9" ht="24" customHeight="1" x14ac:dyDescent="0.35">
      <c r="B57" s="24" t="str">
        <f t="shared" si="13"/>
        <v>Cardamom Whole - هيل حب</v>
      </c>
      <c r="C57" s="24" t="str">
        <f t="shared" si="13"/>
        <v>gm</v>
      </c>
      <c r="D57" s="24">
        <f t="shared" si="13"/>
        <v>100</v>
      </c>
      <c r="E57" s="27">
        <f t="shared" si="14"/>
        <v>8.7333333333333263E-2</v>
      </c>
      <c r="F57" s="58">
        <f t="shared" si="15"/>
        <v>2619.9999999999977</v>
      </c>
      <c r="G57" s="28">
        <f t="shared" si="16"/>
        <v>1</v>
      </c>
      <c r="H57" s="84">
        <f t="shared" si="17"/>
        <v>8.7333333333333272</v>
      </c>
      <c r="I57" s="32">
        <f t="shared" si="18"/>
        <v>8.7333333333333272</v>
      </c>
    </row>
    <row r="58" spans="1:9" ht="28.5" customHeight="1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450</v>
      </c>
      <c r="E58" s="27">
        <f t="shared" si="14"/>
        <v>8.7333333333333263E-2</v>
      </c>
      <c r="F58" s="58">
        <f t="shared" si="15"/>
        <v>2619.9999999999977</v>
      </c>
      <c r="G58" s="28">
        <f t="shared" si="16"/>
        <v>1</v>
      </c>
      <c r="H58" s="84">
        <f t="shared" si="17"/>
        <v>39.299999999999969</v>
      </c>
      <c r="I58" s="32">
        <f t="shared" si="18"/>
        <v>39.299999999999969</v>
      </c>
    </row>
    <row r="59" spans="1:9" x14ac:dyDescent="0.35">
      <c r="B59" s="24" t="str">
        <f t="shared" si="13"/>
        <v>Butter - زبدة</v>
      </c>
      <c r="C59" s="24" t="str">
        <f t="shared" si="13"/>
        <v>gm</v>
      </c>
      <c r="D59" s="24">
        <f t="shared" si="13"/>
        <v>150</v>
      </c>
      <c r="E59" s="27">
        <f t="shared" si="14"/>
        <v>8.7333333333333263E-2</v>
      </c>
      <c r="F59" s="58">
        <f t="shared" si="15"/>
        <v>2619.9999999999977</v>
      </c>
      <c r="G59" s="28">
        <f t="shared" si="16"/>
        <v>1</v>
      </c>
      <c r="H59" s="84">
        <f t="shared" si="17"/>
        <v>13.099999999999989</v>
      </c>
      <c r="I59" s="32">
        <f t="shared" si="18"/>
        <v>13.099999999999989</v>
      </c>
    </row>
    <row r="60" spans="1:9" x14ac:dyDescent="0.35">
      <c r="B60" s="24" t="str">
        <f t="shared" si="13"/>
        <v>Raisin - زبيب</v>
      </c>
      <c r="C60" s="24" t="str">
        <f t="shared" si="13"/>
        <v>gm</v>
      </c>
      <c r="D60" s="24">
        <f t="shared" si="13"/>
        <v>130</v>
      </c>
      <c r="E60" s="27">
        <f t="shared" si="14"/>
        <v>8.7333333333333263E-2</v>
      </c>
      <c r="F60" s="58">
        <f t="shared" si="15"/>
        <v>2619.9999999999977</v>
      </c>
      <c r="G60" s="28">
        <f t="shared" si="16"/>
        <v>0.75</v>
      </c>
      <c r="H60" s="84">
        <f t="shared" si="17"/>
        <v>11.353333333333325</v>
      </c>
      <c r="I60" s="32">
        <f t="shared" si="18"/>
        <v>8.5149999999999935</v>
      </c>
    </row>
    <row r="61" spans="1:9" x14ac:dyDescent="0.35">
      <c r="B61" s="18"/>
      <c r="E61" s="18"/>
      <c r="F61" s="18"/>
    </row>
    <row r="62" spans="1:9" ht="13.5" x14ac:dyDescent="0.35">
      <c r="B62" s="18"/>
      <c r="C62" s="1"/>
      <c r="D62" s="105"/>
      <c r="E62" s="106"/>
      <c r="F62" s="18"/>
    </row>
    <row r="63" spans="1:9" x14ac:dyDescent="0.35">
      <c r="B63" s="91"/>
      <c r="C63" s="85"/>
      <c r="D63" s="85"/>
      <c r="E63" s="91"/>
      <c r="F63" s="91"/>
      <c r="G63" s="85"/>
      <c r="H63" s="85"/>
      <c r="I63" s="85"/>
    </row>
    <row r="64" spans="1:9" ht="17.649999999999999" x14ac:dyDescent="0.35">
      <c r="B64" s="240" t="str">
        <f>"  رز الكبلى   3 / " &amp; COUNTIF($C$14:$C$16, "&gt;0")</f>
        <v xml:space="preserve">  رز الكبلى   3 / 2</v>
      </c>
      <c r="C64" s="240"/>
      <c r="D64" s="240"/>
      <c r="E64" s="240"/>
      <c r="F64" s="240"/>
      <c r="G64" s="240"/>
      <c r="H64" s="240"/>
      <c r="I64" s="240"/>
    </row>
    <row r="65" spans="2:9" ht="17.649999999999999" x14ac:dyDescent="0.35">
      <c r="B65" s="240" t="str">
        <f>"  Kabli Rice  3 / " &amp; COUNTIF($C$14:$C$16, "&gt;0")</f>
        <v xml:space="preserve">  Kabli Rice  3 / 2</v>
      </c>
      <c r="C65" s="240"/>
      <c r="D65" s="240"/>
      <c r="E65" s="240"/>
      <c r="F65" s="240"/>
      <c r="G65" s="240"/>
      <c r="H65" s="240"/>
      <c r="I65" s="240"/>
    </row>
    <row r="66" spans="2:9" ht="52.5" x14ac:dyDescent="0.35">
      <c r="B66" s="19" t="s">
        <v>60</v>
      </c>
      <c r="C66" s="20" t="s">
        <v>61</v>
      </c>
      <c r="D66" s="19" t="s">
        <v>62</v>
      </c>
      <c r="E66" s="21" t="s">
        <v>63</v>
      </c>
      <c r="F66" s="55" t="s">
        <v>77</v>
      </c>
      <c r="G66" s="21" t="s">
        <v>64</v>
      </c>
      <c r="H66" s="22" t="s">
        <v>65</v>
      </c>
      <c r="I66" s="23" t="s">
        <v>66</v>
      </c>
    </row>
    <row r="67" spans="2:9" x14ac:dyDescent="0.35">
      <c r="B67" s="24" t="str">
        <f t="shared" ref="B67:D72" si="19">B5</f>
        <v>Rice - رز</v>
      </c>
      <c r="C67" s="24" t="str">
        <f t="shared" si="19"/>
        <v>KG</v>
      </c>
      <c r="D67" s="24">
        <f t="shared" si="19"/>
        <v>13</v>
      </c>
      <c r="E67" s="27">
        <f t="shared" ref="E67:E72" si="20">$C$16</f>
        <v>0</v>
      </c>
      <c r="F67" s="58">
        <f t="shared" ref="F67:F72" si="21">$D$16</f>
        <v>0</v>
      </c>
      <c r="G67" s="28">
        <f t="shared" ref="G67:G72" si="22">F5</f>
        <v>0.7</v>
      </c>
      <c r="H67" s="84">
        <f t="shared" ref="H67:H72" si="23">D67*E67</f>
        <v>0</v>
      </c>
      <c r="I67" s="32">
        <f t="shared" ref="I67:I72" si="24">H67*G67</f>
        <v>0</v>
      </c>
    </row>
    <row r="68" spans="2:9" x14ac:dyDescent="0.35">
      <c r="B68" s="24" t="str">
        <f t="shared" si="19"/>
        <v>Onion - بصل</v>
      </c>
      <c r="C68" s="24" t="str">
        <f t="shared" si="19"/>
        <v>gm</v>
      </c>
      <c r="D68" s="24">
        <f t="shared" si="19"/>
        <v>3000</v>
      </c>
      <c r="E68" s="27">
        <f t="shared" si="20"/>
        <v>0</v>
      </c>
      <c r="F68" s="58">
        <f t="shared" si="21"/>
        <v>0</v>
      </c>
      <c r="G68" s="28">
        <f t="shared" si="22"/>
        <v>1</v>
      </c>
      <c r="H68" s="84">
        <f t="shared" si="23"/>
        <v>0</v>
      </c>
      <c r="I68" s="32">
        <f t="shared" si="24"/>
        <v>0</v>
      </c>
    </row>
    <row r="69" spans="2:9" ht="25.5" x14ac:dyDescent="0.35">
      <c r="B69" s="24" t="str">
        <f t="shared" si="19"/>
        <v>Cardamom Whole - هيل حب</v>
      </c>
      <c r="C69" s="24" t="str">
        <f t="shared" si="19"/>
        <v>gm</v>
      </c>
      <c r="D69" s="24">
        <f t="shared" si="19"/>
        <v>100</v>
      </c>
      <c r="E69" s="27">
        <f t="shared" si="20"/>
        <v>0</v>
      </c>
      <c r="F69" s="58">
        <f t="shared" si="21"/>
        <v>0</v>
      </c>
      <c r="G69" s="28">
        <f t="shared" si="22"/>
        <v>1</v>
      </c>
      <c r="H69" s="84">
        <f t="shared" si="23"/>
        <v>0</v>
      </c>
      <c r="I69" s="32">
        <f t="shared" si="24"/>
        <v>0</v>
      </c>
    </row>
    <row r="70" spans="2:9" x14ac:dyDescent="0.35">
      <c r="B70" s="24" t="str">
        <f t="shared" si="19"/>
        <v>Salt - ملح</v>
      </c>
      <c r="C70" s="24" t="str">
        <f t="shared" si="19"/>
        <v>gm</v>
      </c>
      <c r="D70" s="24">
        <f t="shared" si="19"/>
        <v>450</v>
      </c>
      <c r="E70" s="27">
        <f t="shared" si="20"/>
        <v>0</v>
      </c>
      <c r="F70" s="58">
        <f t="shared" si="21"/>
        <v>0</v>
      </c>
      <c r="G70" s="28">
        <f t="shared" si="22"/>
        <v>1</v>
      </c>
      <c r="H70" s="84">
        <f t="shared" si="23"/>
        <v>0</v>
      </c>
      <c r="I70" s="32">
        <f t="shared" si="24"/>
        <v>0</v>
      </c>
    </row>
    <row r="71" spans="2:9" x14ac:dyDescent="0.35">
      <c r="B71" s="24" t="str">
        <f t="shared" si="19"/>
        <v>Butter - زبدة</v>
      </c>
      <c r="C71" s="24" t="str">
        <f t="shared" si="19"/>
        <v>gm</v>
      </c>
      <c r="D71" s="24">
        <f t="shared" si="19"/>
        <v>150</v>
      </c>
      <c r="E71" s="27">
        <f t="shared" si="20"/>
        <v>0</v>
      </c>
      <c r="F71" s="58">
        <f t="shared" si="21"/>
        <v>0</v>
      </c>
      <c r="G71" s="28">
        <f t="shared" si="22"/>
        <v>1</v>
      </c>
      <c r="H71" s="84">
        <f t="shared" si="23"/>
        <v>0</v>
      </c>
      <c r="I71" s="32">
        <f t="shared" si="24"/>
        <v>0</v>
      </c>
    </row>
    <row r="72" spans="2:9" x14ac:dyDescent="0.35">
      <c r="B72" s="24" t="str">
        <f t="shared" si="19"/>
        <v>Raisin - زبيب</v>
      </c>
      <c r="C72" s="24" t="str">
        <f t="shared" si="19"/>
        <v>gm</v>
      </c>
      <c r="D72" s="24">
        <f t="shared" si="19"/>
        <v>130</v>
      </c>
      <c r="E72" s="27">
        <f t="shared" si="20"/>
        <v>0</v>
      </c>
      <c r="F72" s="58">
        <f t="shared" si="21"/>
        <v>0</v>
      </c>
      <c r="G72" s="28">
        <f t="shared" si="22"/>
        <v>0.75</v>
      </c>
      <c r="H72" s="84">
        <f t="shared" si="23"/>
        <v>0</v>
      </c>
      <c r="I72" s="32">
        <f t="shared" si="24"/>
        <v>0</v>
      </c>
    </row>
  </sheetData>
  <mergeCells count="9">
    <mergeCell ref="B65:I65"/>
    <mergeCell ref="A2:A3"/>
    <mergeCell ref="M11:N11"/>
    <mergeCell ref="B40:I40"/>
    <mergeCell ref="N20:O20"/>
    <mergeCell ref="B41:I41"/>
    <mergeCell ref="B52:I52"/>
    <mergeCell ref="B53:I53"/>
    <mergeCell ref="B64:I64"/>
  </mergeCells>
  <printOptions horizontalCentered="1"/>
  <pageMargins left="0.5" right="0.5" top="1" bottom="0.5" header="0.3" footer="0.511811023622047"/>
  <pageSetup paperSize="9" scale="2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6</vt:i4>
      </vt:variant>
    </vt:vector>
  </HeadingPairs>
  <TitlesOfParts>
    <vt:vector size="37" baseType="lpstr">
      <vt:lpstr>Ordering</vt:lpstr>
      <vt:lpstr>رز أبيض (2)</vt:lpstr>
      <vt:lpstr> رز بريانى-رز زعفران (2)</vt:lpstr>
      <vt:lpstr>رز صيادية</vt:lpstr>
      <vt:lpstr>رز كبسه</vt:lpstr>
      <vt:lpstr>رز  المندى</vt:lpstr>
      <vt:lpstr>رز أبيض (3)</vt:lpstr>
      <vt:lpstr> رز بريانى-رز زعفران (3)</vt:lpstr>
      <vt:lpstr>رز جولوف</vt:lpstr>
      <vt:lpstr>رز الزربيان</vt:lpstr>
      <vt:lpstr>رز أبيض</vt:lpstr>
      <vt:lpstr> رز بريانى-رز زعفران</vt:lpstr>
      <vt:lpstr>رز بالمكسرات</vt:lpstr>
      <vt:lpstr>رز السليق</vt:lpstr>
      <vt:lpstr>رز  المندى (2)</vt:lpstr>
      <vt:lpstr>رز أبيض (4)</vt:lpstr>
      <vt:lpstr>رز مصرى</vt:lpstr>
      <vt:lpstr> رز بريانى-رز زعفران (4)</vt:lpstr>
      <vt:lpstr>رز المقلوبة</vt:lpstr>
      <vt:lpstr>رز أبيض (5)</vt:lpstr>
      <vt:lpstr>رز مصرى (2)</vt:lpstr>
      <vt:lpstr> رز بريانى-رز زعفران (5)</vt:lpstr>
      <vt:lpstr>رز بالخضار الاربعاء</vt:lpstr>
      <vt:lpstr>رز مشكل</vt:lpstr>
      <vt:lpstr>رز  البخارى </vt:lpstr>
      <vt:lpstr>رز أبيض (6)</vt:lpstr>
      <vt:lpstr>رز مكسيكي</vt:lpstr>
      <vt:lpstr>رز بالخضار الخميس</vt:lpstr>
      <vt:lpstr>رز صيادية (2)</vt:lpstr>
      <vt:lpstr>رز السليق (2)</vt:lpstr>
      <vt:lpstr>رز الكابلى</vt:lpstr>
      <vt:lpstr>' رز بريانى-رز زعفران'!Print_Area</vt:lpstr>
      <vt:lpstr>' رز بريانى-رز زعفران (2)'!Print_Area</vt:lpstr>
      <vt:lpstr>' رز بريانى-رز زعفران (3)'!Print_Area</vt:lpstr>
      <vt:lpstr>' رز بريانى-رز زعفران (4)'!Print_Area</vt:lpstr>
      <vt:lpstr>' رز بريانى-رز زعفران (5)'!Print_Area</vt:lpstr>
      <vt:lpstr>'رز  البخارى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Amira Fathy</dc:creator>
  <dc:description/>
  <cp:lastModifiedBy>Kamal Alshareef</cp:lastModifiedBy>
  <cp:revision>0</cp:revision>
  <cp:lastPrinted>2026-06-28T16:38:42Z</cp:lastPrinted>
  <dcterms:created xsi:type="dcterms:W3CDTF">2026-04-06T13:38:55Z</dcterms:created>
  <dcterms:modified xsi:type="dcterms:W3CDTF">2026-06-29T03:35:44Z</dcterms:modified>
  <dc:language>en-US</dc:language>
</cp:coreProperties>
</file>